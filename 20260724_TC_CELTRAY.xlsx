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eirenuy-my.sharepoint.com/personal/sfabini_veiren_com_uy/Documents/"/>
    </mc:Choice>
  </mc:AlternateContent>
  <xr:revisionPtr revIDLastSave="0" documentId="8_{346C6648-0F44-42BD-BB62-AE68E8240C91}" xr6:coauthVersionLast="47" xr6:coauthVersionMax="47" xr10:uidLastSave="{00000000-0000-0000-0000-000000000000}"/>
  <bookViews>
    <workbookView xWindow="-120" yWindow="-120" windowWidth="29040" windowHeight="15720" xr2:uid="{F994AEBD-3FF6-4F93-9708-3FE8A999D2AC}"/>
  </bookViews>
  <sheets>
    <sheet name="Efecto TC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'Efecto TC'!$D$5:$I$999</definedName>
    <definedName name="_xlnm._FilterDatabase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">#REF!</definedName>
    <definedName name="Ajuste_porcen">#REF!</definedName>
    <definedName name="Ajustes">#REF!</definedName>
    <definedName name="Año_ocupacion_of">#REF!</definedName>
    <definedName name="Año_ocupacion_viv">#REF!</definedName>
    <definedName name="AS2DocOpenMode" hidden="1">"AS2DocumentEdit"</definedName>
    <definedName name="CIQWBGuid" hidden="1">"58f88229-839e-4e71-9677-d0537336d02e"</definedName>
    <definedName name="CIQWBInfo" hidden="1">"{ ""CIQVersion"":""9.47.1108.4092"" }"</definedName>
    <definedName name="CuentaUS">'[1]U$S'!$F$5:$Q$1008</definedName>
    <definedName name="CuentaUS2">#REF!</definedName>
    <definedName name="CuentaUY">'[1]UY$'!$E$5:$O$993</definedName>
    <definedName name="d">#REF!</definedName>
    <definedName name="fecha_fin">#REF!</definedName>
    <definedName name="fecha_inicio">#REF!</definedName>
    <definedName name="Fin_obra_of">#REF!</definedName>
    <definedName name="Fin_obra_viv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44448.7903703704</definedName>
    <definedName name="IQ_QTD" hidden="1">750000</definedName>
    <definedName name="IQ_TODAY" hidden="1">0</definedName>
    <definedName name="IQ_YTDMONTH" hidden="1">130000</definedName>
    <definedName name="m2_alquiler_of">#REF!</definedName>
    <definedName name="m2_alquiler_viv">#REF!</definedName>
    <definedName name="m2_comerciales_of">#REF!</definedName>
    <definedName name="m2_comerciales_viv">#REF!</definedName>
    <definedName name="m2_mixto_of">#REF!</definedName>
    <definedName name="m2_mixto_viv">#REF!</definedName>
    <definedName name="m2_oficinas_of">#REF!</definedName>
    <definedName name="m2_oficinas_viv">#REF!</definedName>
    <definedName name="m2_totales">#REF!</definedName>
    <definedName name="m2_totales_of">#REF!</definedName>
    <definedName name="m2_totales_viv">#REF!</definedName>
    <definedName name="m2_venta_of">#REF!</definedName>
    <definedName name="m2_venta_viv">#REF!</definedName>
    <definedName name="m2_vivienda_of">#REF!</definedName>
    <definedName name="m2_vivienda_viv">#REF!</definedName>
    <definedName name="Ocupacion_an_of">#REF!</definedName>
    <definedName name="Ocupacion_an_viv">#REF!</definedName>
    <definedName name="Pal_Workbook_GUID" hidden="1">"K3FUD6RU8PDL6FQBGA1GYNT8"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US">#REF!</definedName>
    <definedName name="wrn.Aging._.and._.Trend._.Analysis.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ColumnsCount" hidden="1">1</definedName>
    <definedName name="XRefCopy1" hidden="1">#REF!</definedName>
    <definedName name="XRefCopyRangeCount" hidden="1">1</definedName>
    <definedName name="XRefPaste1" hidden="1">#REF!</definedName>
    <definedName name="XRefPaste2" hidden="1">#REF!</definedName>
    <definedName name="XRefPaste3" hidden="1">#REF!</definedName>
    <definedName name="XRefPaste4" hidden="1">#REF!</definedName>
    <definedName name="XRefPasteRangeCount" hidden="1">4</definedName>
    <definedName name="Z_2A7076C5_E3EA_4006_BEDC_0943BBFE50BA_.wvu.FilterData" hidden="1">#REF!</definedName>
    <definedName name="Z_335793BD_F0C8_11D5_9DE4_0030F103C1A1_.wvu.FilterData" hidden="1">#REF!</definedName>
    <definedName name="Z_3645D35A_34E7_497D_8938_634FC96F3076_.wvu.FilterData" hidden="1">#REF!</definedName>
    <definedName name="Z_559994F5_DCAA_4278_9E74_016FB79E0B5B_.wvu.FilterData" hidden="1">#REF!</definedName>
    <definedName name="Z_55EE4DDF_50BD_4B47_AA67_5B18E6CA744E_.wvu.FilterData" hidden="1">#REF!</definedName>
    <definedName name="Z_59082854_99A7_453E_8E86_2ABCA544D96C_.wvu.FilterData" hidden="1">#REF!</definedName>
    <definedName name="Z_7E628F38_9442_401C_B7B3_4CA757B11515_.wvu.FilterData" hidden="1">#REF!</definedName>
    <definedName name="Z_CFA02B0A_5F8E_4FB6_AA43_B8CA842B30B3_.wvu.FilterData" hidden="1">#REF!</definedName>
    <definedName name="Z_ECBFB624_D6BB_4AFA_9FDC_4711CFCF8DD1_.wvu.FilterData" hidden="1">#REF!</definedName>
    <definedName name="Z_EF49ADA1_626D_4B25_B4EE_2ED781FC9DF3_.wvu.Rows" hidden="1">#REF!,#REF!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00" i="1" l="1"/>
  <c r="E1000" i="1" a="1"/>
  <c r="D1000" i="1" a="1"/>
  <c r="B1000" i="1"/>
  <c r="A1000" i="1"/>
  <c r="E999" i="1" a="1"/>
  <c r="D999" i="1" a="1"/>
  <c r="B999" i="1"/>
  <c r="A999" i="1"/>
  <c r="E998" i="1" a="1"/>
  <c r="D998" i="1" a="1"/>
  <c r="B998" i="1"/>
  <c r="A998" i="1"/>
  <c r="E997" i="1" a="1"/>
  <c r="D997" i="1" a="1"/>
  <c r="B997" i="1"/>
  <c r="A997" i="1"/>
  <c r="E996" i="1" a="1"/>
  <c r="D996" i="1" a="1"/>
  <c r="E995" i="1" a="1"/>
  <c r="D995" i="1" a="1"/>
  <c r="E994" i="1" a="1"/>
  <c r="D994" i="1" a="1"/>
  <c r="E993" i="1" a="1"/>
  <c r="D993" i="1" a="1"/>
  <c r="E992" i="1" a="1"/>
  <c r="D992" i="1" a="1"/>
  <c r="E991" i="1" a="1"/>
  <c r="D991" i="1" a="1"/>
  <c r="E990" i="1" a="1"/>
  <c r="D990" i="1" a="1"/>
  <c r="E989" i="1" a="1"/>
  <c r="D989" i="1" a="1"/>
  <c r="E988" i="1" a="1"/>
  <c r="D988" i="1" a="1"/>
  <c r="E987" i="1" a="1"/>
  <c r="D987" i="1" a="1"/>
  <c r="E986" i="1" a="1"/>
  <c r="D986" i="1" a="1"/>
  <c r="E985" i="1" a="1"/>
  <c r="D985" i="1" a="1"/>
  <c r="E984" i="1" a="1"/>
  <c r="D984" i="1" a="1"/>
  <c r="E983" i="1" a="1"/>
  <c r="D983" i="1" a="1"/>
  <c r="E982" i="1" a="1"/>
  <c r="D982" i="1" a="1"/>
  <c r="E981" i="1" a="1"/>
  <c r="D981" i="1" a="1"/>
  <c r="E980" i="1" a="1"/>
  <c r="D980" i="1" a="1"/>
  <c r="E979" i="1" a="1"/>
  <c r="D979" i="1" a="1"/>
  <c r="E978" i="1" a="1"/>
  <c r="D978" i="1" a="1"/>
  <c r="E977" i="1" a="1"/>
  <c r="D977" i="1" a="1"/>
  <c r="E976" i="1" a="1"/>
  <c r="D976" i="1" a="1"/>
  <c r="E975" i="1" a="1"/>
  <c r="D975" i="1" a="1"/>
  <c r="E974" i="1" a="1"/>
  <c r="D974" i="1" a="1"/>
  <c r="E973" i="1" a="1"/>
  <c r="D973" i="1" a="1"/>
  <c r="E972" i="1" a="1"/>
  <c r="D972" i="1" a="1"/>
  <c r="E971" i="1" a="1"/>
  <c r="D971" i="1" a="1"/>
  <c r="E970" i="1" a="1"/>
  <c r="D970" i="1" a="1"/>
  <c r="E969" i="1" a="1"/>
  <c r="D969" i="1" a="1"/>
  <c r="E968" i="1" a="1"/>
  <c r="D968" i="1" a="1"/>
  <c r="E967" i="1" a="1"/>
  <c r="D967" i="1" a="1"/>
  <c r="E966" i="1" a="1"/>
  <c r="D966" i="1" a="1"/>
  <c r="E965" i="1" a="1"/>
  <c r="D965" i="1" a="1"/>
  <c r="E964" i="1" a="1"/>
  <c r="D964" i="1" a="1"/>
  <c r="E963" i="1" a="1"/>
  <c r="D963" i="1" a="1"/>
  <c r="E962" i="1" a="1"/>
  <c r="D962" i="1" a="1"/>
  <c r="E961" i="1" a="1"/>
  <c r="D961" i="1" a="1"/>
  <c r="E960" i="1" a="1"/>
  <c r="D960" i="1" a="1"/>
  <c r="E959" i="1" a="1"/>
  <c r="D959" i="1" a="1"/>
  <c r="E958" i="1" a="1"/>
  <c r="D958" i="1" a="1"/>
  <c r="E957" i="1" a="1"/>
  <c r="D957" i="1" a="1"/>
  <c r="E956" i="1" a="1"/>
  <c r="D956" i="1" a="1"/>
  <c r="E955" i="1" a="1"/>
  <c r="D955" i="1" a="1"/>
  <c r="E954" i="1" a="1"/>
  <c r="D954" i="1" a="1"/>
  <c r="E953" i="1" a="1"/>
  <c r="D953" i="1" a="1"/>
  <c r="E952" i="1" a="1"/>
  <c r="D952" i="1" a="1"/>
  <c r="E951" i="1" a="1"/>
  <c r="D951" i="1" a="1"/>
  <c r="E950" i="1" a="1"/>
  <c r="D950" i="1" a="1"/>
  <c r="E949" i="1" a="1"/>
  <c r="D949" i="1" a="1"/>
  <c r="E948" i="1" a="1"/>
  <c r="D948" i="1" a="1"/>
  <c r="E947" i="1" a="1"/>
  <c r="D947" i="1" a="1"/>
  <c r="E946" i="1" a="1"/>
  <c r="D946" i="1" a="1"/>
  <c r="E945" i="1" a="1"/>
  <c r="D945" i="1" a="1"/>
  <c r="E944" i="1" a="1"/>
  <c r="D944" i="1" a="1"/>
  <c r="E943" i="1" a="1"/>
  <c r="D943" i="1" a="1"/>
  <c r="E942" i="1" a="1"/>
  <c r="D942" i="1" a="1"/>
  <c r="E941" i="1" a="1"/>
  <c r="D941" i="1" a="1"/>
  <c r="E940" i="1" a="1"/>
  <c r="D940" i="1" a="1"/>
  <c r="E939" i="1" a="1"/>
  <c r="D939" i="1" a="1"/>
  <c r="E938" i="1" a="1"/>
  <c r="D938" i="1" a="1"/>
  <c r="E937" i="1" a="1"/>
  <c r="D937" i="1" a="1"/>
  <c r="E936" i="1" a="1"/>
  <c r="D936" i="1" a="1"/>
  <c r="E935" i="1" a="1"/>
  <c r="D935" i="1" a="1"/>
  <c r="E934" i="1" a="1"/>
  <c r="D934" i="1" a="1"/>
  <c r="E933" i="1" a="1"/>
  <c r="D933" i="1" a="1"/>
  <c r="E932" i="1" a="1"/>
  <c r="D932" i="1" a="1"/>
  <c r="E931" i="1" a="1"/>
  <c r="D931" i="1" a="1"/>
  <c r="E930" i="1" a="1"/>
  <c r="D930" i="1" a="1"/>
  <c r="E929" i="1" a="1"/>
  <c r="D929" i="1" a="1"/>
  <c r="E928" i="1" a="1"/>
  <c r="D928" i="1" a="1"/>
  <c r="E927" i="1" a="1"/>
  <c r="D927" i="1" a="1"/>
  <c r="E926" i="1" a="1"/>
  <c r="D926" i="1" a="1"/>
  <c r="E925" i="1" a="1"/>
  <c r="D925" i="1" a="1"/>
  <c r="E924" i="1" a="1"/>
  <c r="D924" i="1" a="1"/>
  <c r="E923" i="1" a="1"/>
  <c r="D923" i="1" a="1"/>
  <c r="E922" i="1" a="1"/>
  <c r="D922" i="1" a="1"/>
  <c r="E921" i="1" a="1"/>
  <c r="D921" i="1" a="1"/>
  <c r="E920" i="1" a="1"/>
  <c r="D920" i="1" a="1"/>
  <c r="E919" i="1" a="1"/>
  <c r="D919" i="1" a="1"/>
  <c r="E918" i="1" a="1"/>
  <c r="D918" i="1" a="1"/>
  <c r="E917" i="1" a="1"/>
  <c r="D917" i="1" a="1"/>
  <c r="E916" i="1" a="1"/>
  <c r="D916" i="1" a="1"/>
  <c r="E915" i="1" a="1"/>
  <c r="D915" i="1" a="1"/>
  <c r="E914" i="1" a="1"/>
  <c r="D914" i="1" a="1"/>
  <c r="E913" i="1" a="1"/>
  <c r="D913" i="1" a="1"/>
  <c r="E912" i="1" a="1"/>
  <c r="D912" i="1" a="1"/>
  <c r="E911" i="1" a="1"/>
  <c r="D911" i="1" a="1"/>
  <c r="E910" i="1" a="1"/>
  <c r="D910" i="1" a="1"/>
  <c r="E909" i="1" a="1"/>
  <c r="D909" i="1" a="1"/>
  <c r="E908" i="1" a="1"/>
  <c r="D908" i="1" a="1"/>
  <c r="E907" i="1" a="1"/>
  <c r="D907" i="1" a="1"/>
  <c r="E906" i="1" a="1"/>
  <c r="D906" i="1" a="1"/>
  <c r="E905" i="1" a="1"/>
  <c r="D905" i="1" a="1"/>
  <c r="E904" i="1" a="1"/>
  <c r="D904" i="1" a="1"/>
  <c r="E903" i="1" a="1"/>
  <c r="D903" i="1" a="1"/>
  <c r="E902" i="1" a="1"/>
  <c r="D902" i="1" a="1"/>
  <c r="E901" i="1" a="1"/>
  <c r="D901" i="1" a="1"/>
  <c r="E900" i="1" a="1"/>
  <c r="D900" i="1" a="1"/>
  <c r="E899" i="1" a="1"/>
  <c r="D899" i="1" a="1"/>
  <c r="E898" i="1" a="1"/>
  <c r="D898" i="1" a="1"/>
  <c r="E897" i="1" a="1"/>
  <c r="D897" i="1" a="1"/>
  <c r="E896" i="1" a="1"/>
  <c r="D896" i="1" a="1"/>
  <c r="E895" i="1" a="1"/>
  <c r="D895" i="1" a="1"/>
  <c r="E894" i="1" a="1"/>
  <c r="D894" i="1" a="1"/>
  <c r="E893" i="1" a="1"/>
  <c r="D893" i="1" a="1"/>
  <c r="E892" i="1" a="1"/>
  <c r="D892" i="1" a="1"/>
  <c r="E891" i="1" a="1"/>
  <c r="D891" i="1" a="1"/>
  <c r="E890" i="1" a="1"/>
  <c r="D890" i="1" a="1"/>
  <c r="E889" i="1" a="1"/>
  <c r="D889" i="1" a="1"/>
  <c r="E888" i="1" a="1"/>
  <c r="D888" i="1" a="1"/>
  <c r="E887" i="1" a="1"/>
  <c r="D887" i="1" a="1"/>
  <c r="E886" i="1" a="1"/>
  <c r="D886" i="1" a="1"/>
  <c r="E885" i="1" a="1"/>
  <c r="D885" i="1" a="1"/>
  <c r="E884" i="1" a="1"/>
  <c r="D884" i="1" a="1"/>
  <c r="E883" i="1" a="1"/>
  <c r="D883" i="1" a="1"/>
  <c r="E882" i="1" a="1"/>
  <c r="D882" i="1" a="1"/>
  <c r="E881" i="1" a="1"/>
  <c r="D881" i="1" a="1"/>
  <c r="E880" i="1" a="1"/>
  <c r="D880" i="1" a="1"/>
  <c r="E879" i="1" a="1"/>
  <c r="D879" i="1" a="1"/>
  <c r="E878" i="1" a="1"/>
  <c r="D878" i="1" a="1"/>
  <c r="E877" i="1" a="1"/>
  <c r="D877" i="1" a="1"/>
  <c r="E876" i="1" a="1"/>
  <c r="D876" i="1" a="1"/>
  <c r="E875" i="1" a="1"/>
  <c r="D875" i="1" a="1"/>
  <c r="E874" i="1" a="1"/>
  <c r="D874" i="1" a="1"/>
  <c r="E873" i="1" a="1"/>
  <c r="D873" i="1" a="1"/>
  <c r="E872" i="1" a="1"/>
  <c r="D872" i="1" a="1"/>
  <c r="E871" i="1" a="1"/>
  <c r="D871" i="1" a="1"/>
  <c r="E870" i="1" a="1"/>
  <c r="F870" i="1" s="1"/>
  <c r="G870" i="1" s="1"/>
  <c r="D870" i="1" a="1"/>
  <c r="E869" i="1" a="1"/>
  <c r="D869" i="1" a="1"/>
  <c r="E868" i="1" a="1"/>
  <c r="D868" i="1" a="1"/>
  <c r="E867" i="1" a="1"/>
  <c r="D867" i="1" a="1"/>
  <c r="E866" i="1" a="1"/>
  <c r="D866" i="1" a="1"/>
  <c r="E865" i="1" a="1"/>
  <c r="D865" i="1" a="1"/>
  <c r="E864" i="1" a="1"/>
  <c r="D864" i="1" a="1"/>
  <c r="E863" i="1" a="1"/>
  <c r="D863" i="1" a="1"/>
  <c r="E862" i="1" a="1"/>
  <c r="D862" i="1" a="1"/>
  <c r="E861" i="1" a="1"/>
  <c r="D861" i="1" a="1"/>
  <c r="E860" i="1" a="1"/>
  <c r="D860" i="1" a="1"/>
  <c r="E859" i="1" a="1"/>
  <c r="D859" i="1" a="1"/>
  <c r="E858" i="1" a="1"/>
  <c r="D858" i="1" a="1"/>
  <c r="E857" i="1" a="1"/>
  <c r="D857" i="1" a="1"/>
  <c r="E856" i="1" a="1"/>
  <c r="D856" i="1" a="1"/>
  <c r="E855" i="1" a="1"/>
  <c r="D855" i="1" a="1"/>
  <c r="E854" i="1" a="1"/>
  <c r="D854" i="1" a="1"/>
  <c r="E853" i="1" a="1"/>
  <c r="D853" i="1" a="1"/>
  <c r="E852" i="1" a="1"/>
  <c r="D852" i="1" a="1"/>
  <c r="E851" i="1" a="1"/>
  <c r="D851" i="1" a="1"/>
  <c r="E850" i="1" a="1"/>
  <c r="D850" i="1" a="1"/>
  <c r="E849" i="1" a="1"/>
  <c r="D849" i="1" a="1"/>
  <c r="E848" i="1" a="1"/>
  <c r="D848" i="1" a="1"/>
  <c r="E847" i="1" a="1"/>
  <c r="D847" i="1" a="1"/>
  <c r="E846" i="1" a="1"/>
  <c r="D846" i="1" a="1"/>
  <c r="E845" i="1" a="1"/>
  <c r="D845" i="1" a="1"/>
  <c r="E844" i="1" a="1"/>
  <c r="D844" i="1" a="1"/>
  <c r="E843" i="1" a="1"/>
  <c r="D843" i="1" a="1"/>
  <c r="E842" i="1" a="1"/>
  <c r="D842" i="1" a="1"/>
  <c r="E841" i="1" a="1"/>
  <c r="D841" i="1" a="1"/>
  <c r="E840" i="1" a="1"/>
  <c r="D840" i="1" a="1"/>
  <c r="E839" i="1" a="1"/>
  <c r="D839" i="1" a="1"/>
  <c r="E838" i="1" a="1"/>
  <c r="D838" i="1" a="1"/>
  <c r="E837" i="1" a="1"/>
  <c r="D837" i="1" a="1"/>
  <c r="E836" i="1" a="1"/>
  <c r="D836" i="1" a="1"/>
  <c r="E835" i="1" a="1"/>
  <c r="D835" i="1" a="1"/>
  <c r="E834" i="1" a="1"/>
  <c r="D834" i="1" a="1"/>
  <c r="E833" i="1" a="1"/>
  <c r="D833" i="1" a="1"/>
  <c r="E832" i="1" a="1"/>
  <c r="D832" i="1" a="1"/>
  <c r="E831" i="1" a="1"/>
  <c r="D831" i="1" a="1"/>
  <c r="E830" i="1" a="1"/>
  <c r="D830" i="1" a="1"/>
  <c r="E829" i="1" a="1"/>
  <c r="D829" i="1" a="1"/>
  <c r="E828" i="1" a="1"/>
  <c r="D828" i="1" a="1"/>
  <c r="E827" i="1" a="1"/>
  <c r="D827" i="1" a="1"/>
  <c r="E826" i="1" a="1"/>
  <c r="D826" i="1" a="1"/>
  <c r="E825" i="1" a="1"/>
  <c r="D825" i="1" a="1"/>
  <c r="E824" i="1" a="1"/>
  <c r="D824" i="1" a="1"/>
  <c r="E823" i="1" a="1"/>
  <c r="D823" i="1" a="1"/>
  <c r="E822" i="1" a="1"/>
  <c r="D822" i="1" a="1"/>
  <c r="E821" i="1" a="1"/>
  <c r="D821" i="1" a="1"/>
  <c r="E820" i="1" a="1"/>
  <c r="D820" i="1" a="1"/>
  <c r="E819" i="1" a="1"/>
  <c r="D819" i="1" a="1"/>
  <c r="E818" i="1" a="1"/>
  <c r="D818" i="1" a="1"/>
  <c r="E817" i="1" a="1"/>
  <c r="D817" i="1" a="1"/>
  <c r="E816" i="1" a="1"/>
  <c r="D816" i="1" a="1"/>
  <c r="E815" i="1" a="1"/>
  <c r="D815" i="1" a="1"/>
  <c r="E814" i="1" a="1"/>
  <c r="D814" i="1" a="1"/>
  <c r="E813" i="1" a="1"/>
  <c r="D813" i="1" a="1"/>
  <c r="E812" i="1" a="1"/>
  <c r="D812" i="1" a="1"/>
  <c r="E811" i="1" a="1"/>
  <c r="D811" i="1" a="1"/>
  <c r="E810" i="1" a="1"/>
  <c r="D810" i="1" a="1"/>
  <c r="E809" i="1" a="1"/>
  <c r="D809" i="1" a="1"/>
  <c r="E808" i="1" a="1"/>
  <c r="D808" i="1" a="1"/>
  <c r="E807" i="1" a="1"/>
  <c r="D807" i="1" a="1"/>
  <c r="E806" i="1" a="1"/>
  <c r="D806" i="1" a="1"/>
  <c r="E805" i="1" a="1"/>
  <c r="D805" i="1" a="1"/>
  <c r="E804" i="1" a="1"/>
  <c r="D804" i="1" a="1"/>
  <c r="E803" i="1" a="1"/>
  <c r="D803" i="1" a="1"/>
  <c r="E802" i="1" a="1"/>
  <c r="D802" i="1" a="1"/>
  <c r="E801" i="1" a="1"/>
  <c r="D801" i="1" a="1"/>
  <c r="E800" i="1" a="1"/>
  <c r="D800" i="1" a="1"/>
  <c r="E799" i="1" a="1"/>
  <c r="D799" i="1" a="1"/>
  <c r="E798" i="1" a="1"/>
  <c r="D798" i="1" a="1"/>
  <c r="E797" i="1" a="1"/>
  <c r="D797" i="1" a="1"/>
  <c r="E796" i="1" a="1"/>
  <c r="D796" i="1" a="1"/>
  <c r="E795" i="1" a="1"/>
  <c r="D795" i="1" a="1"/>
  <c r="E794" i="1" a="1"/>
  <c r="D794" i="1" a="1"/>
  <c r="E793" i="1" a="1"/>
  <c r="D793" i="1" a="1"/>
  <c r="E792" i="1" a="1"/>
  <c r="D792" i="1" a="1"/>
  <c r="E791" i="1" a="1"/>
  <c r="D791" i="1" a="1"/>
  <c r="E790" i="1" a="1"/>
  <c r="D790" i="1" a="1"/>
  <c r="E789" i="1" a="1"/>
  <c r="D789" i="1" a="1"/>
  <c r="E788" i="1" a="1"/>
  <c r="D788" i="1" a="1"/>
  <c r="E787" i="1" a="1"/>
  <c r="D787" i="1" a="1"/>
  <c r="E786" i="1" a="1"/>
  <c r="D786" i="1" a="1"/>
  <c r="E785" i="1" a="1"/>
  <c r="D785" i="1" a="1"/>
  <c r="E784" i="1" a="1"/>
  <c r="D784" i="1" a="1"/>
  <c r="E783" i="1" a="1"/>
  <c r="D783" i="1" a="1"/>
  <c r="E782" i="1" a="1"/>
  <c r="D782" i="1" a="1"/>
  <c r="E781" i="1" a="1"/>
  <c r="D781" i="1" a="1"/>
  <c r="E780" i="1" a="1"/>
  <c r="D780" i="1" a="1"/>
  <c r="E779" i="1" a="1"/>
  <c r="D779" i="1" a="1"/>
  <c r="E778" i="1" a="1"/>
  <c r="D778" i="1" a="1"/>
  <c r="E777" i="1" a="1"/>
  <c r="D777" i="1" a="1"/>
  <c r="E776" i="1" a="1"/>
  <c r="D776" i="1" a="1"/>
  <c r="E775" i="1" a="1"/>
  <c r="D775" i="1" a="1"/>
  <c r="E774" i="1" a="1"/>
  <c r="D774" i="1" a="1"/>
  <c r="E773" i="1" a="1"/>
  <c r="D773" i="1" a="1"/>
  <c r="E772" i="1" a="1"/>
  <c r="D772" i="1" a="1"/>
  <c r="E771" i="1" a="1"/>
  <c r="D771" i="1" a="1"/>
  <c r="E770" i="1" a="1"/>
  <c r="D770" i="1" a="1"/>
  <c r="E769" i="1" a="1"/>
  <c r="D769" i="1" a="1"/>
  <c r="E768" i="1" a="1"/>
  <c r="D768" i="1" a="1"/>
  <c r="E767" i="1" a="1"/>
  <c r="D767" i="1" a="1"/>
  <c r="E766" i="1" a="1"/>
  <c r="D766" i="1" a="1"/>
  <c r="E765" i="1" a="1"/>
  <c r="D765" i="1" a="1"/>
  <c r="E764" i="1" a="1"/>
  <c r="D764" i="1" a="1"/>
  <c r="E763" i="1" a="1"/>
  <c r="D763" i="1" a="1"/>
  <c r="E762" i="1" a="1"/>
  <c r="D762" i="1" a="1"/>
  <c r="E761" i="1" a="1"/>
  <c r="D761" i="1" a="1"/>
  <c r="E760" i="1" a="1"/>
  <c r="D760" i="1" a="1"/>
  <c r="E759" i="1" a="1"/>
  <c r="D759" i="1" a="1"/>
  <c r="E758" i="1" a="1"/>
  <c r="D758" i="1" a="1"/>
  <c r="E757" i="1" a="1"/>
  <c r="D757" i="1" a="1"/>
  <c r="E756" i="1" a="1"/>
  <c r="D756" i="1" a="1"/>
  <c r="E755" i="1" a="1"/>
  <c r="D755" i="1" a="1"/>
  <c r="E754" i="1" a="1"/>
  <c r="D754" i="1" a="1"/>
  <c r="E753" i="1" a="1"/>
  <c r="D753" i="1" a="1"/>
  <c r="E752" i="1" a="1"/>
  <c r="D752" i="1" a="1"/>
  <c r="E751" i="1" a="1"/>
  <c r="D751" i="1" a="1"/>
  <c r="E750" i="1" a="1"/>
  <c r="D750" i="1" a="1"/>
  <c r="E749" i="1" a="1"/>
  <c r="D749" i="1" a="1"/>
  <c r="E748" i="1" a="1"/>
  <c r="D748" i="1" a="1"/>
  <c r="E747" i="1" a="1"/>
  <c r="D747" i="1" a="1"/>
  <c r="E746" i="1" a="1"/>
  <c r="D746" i="1" a="1"/>
  <c r="E745" i="1" a="1"/>
  <c r="D745" i="1" a="1"/>
  <c r="E744" i="1" a="1"/>
  <c r="D744" i="1" a="1"/>
  <c r="E743" i="1" a="1"/>
  <c r="D743" i="1" a="1"/>
  <c r="E742" i="1" a="1"/>
  <c r="D742" i="1" a="1"/>
  <c r="E741" i="1" a="1"/>
  <c r="D741" i="1" a="1"/>
  <c r="E740" i="1" a="1"/>
  <c r="D740" i="1" a="1"/>
  <c r="E739" i="1" a="1"/>
  <c r="D739" i="1" a="1"/>
  <c r="E738" i="1" a="1"/>
  <c r="D738" i="1" a="1"/>
  <c r="E737" i="1" a="1"/>
  <c r="D737" i="1" a="1"/>
  <c r="E736" i="1" a="1"/>
  <c r="D736" i="1" a="1"/>
  <c r="E735" i="1" a="1"/>
  <c r="D735" i="1" a="1"/>
  <c r="E734" i="1" a="1"/>
  <c r="D734" i="1" a="1"/>
  <c r="E733" i="1" a="1"/>
  <c r="D733" i="1" a="1"/>
  <c r="E732" i="1" a="1"/>
  <c r="D732" i="1" a="1"/>
  <c r="E731" i="1" a="1"/>
  <c r="D731" i="1" a="1"/>
  <c r="E730" i="1" a="1"/>
  <c r="D730" i="1" a="1"/>
  <c r="E729" i="1" a="1"/>
  <c r="D729" i="1" a="1"/>
  <c r="E728" i="1" a="1"/>
  <c r="D728" i="1" a="1"/>
  <c r="E727" i="1" a="1"/>
  <c r="D727" i="1" a="1"/>
  <c r="E726" i="1" a="1"/>
  <c r="D726" i="1" a="1"/>
  <c r="E725" i="1" a="1"/>
  <c r="D725" i="1" a="1"/>
  <c r="E724" i="1" a="1"/>
  <c r="D724" i="1" a="1"/>
  <c r="E723" i="1" a="1"/>
  <c r="D723" i="1" a="1"/>
  <c r="E722" i="1" a="1"/>
  <c r="D722" i="1" a="1"/>
  <c r="E721" i="1" a="1"/>
  <c r="D721" i="1" a="1"/>
  <c r="E720" i="1" a="1"/>
  <c r="D720" i="1" a="1"/>
  <c r="E719" i="1" a="1"/>
  <c r="D719" i="1" a="1"/>
  <c r="E718" i="1" a="1"/>
  <c r="D718" i="1" a="1"/>
  <c r="E717" i="1" a="1"/>
  <c r="D717" i="1" a="1"/>
  <c r="E716" i="1" a="1"/>
  <c r="D716" i="1" a="1"/>
  <c r="E715" i="1" a="1"/>
  <c r="D715" i="1" a="1"/>
  <c r="E714" i="1" a="1"/>
  <c r="D714" i="1" a="1"/>
  <c r="E713" i="1" a="1"/>
  <c r="D713" i="1" a="1"/>
  <c r="E712" i="1" a="1"/>
  <c r="D712" i="1" a="1"/>
  <c r="E711" i="1" a="1"/>
  <c r="D711" i="1" a="1"/>
  <c r="E710" i="1" a="1"/>
  <c r="D710" i="1" a="1"/>
  <c r="E709" i="1" a="1"/>
  <c r="D709" i="1" a="1"/>
  <c r="E708" i="1" a="1"/>
  <c r="D708" i="1" a="1"/>
  <c r="E707" i="1" a="1"/>
  <c r="D707" i="1" a="1"/>
  <c r="E706" i="1" a="1"/>
  <c r="D706" i="1" a="1"/>
  <c r="E705" i="1" a="1"/>
  <c r="D705" i="1" a="1"/>
  <c r="E704" i="1" a="1"/>
  <c r="D704" i="1" a="1"/>
  <c r="E703" i="1" a="1"/>
  <c r="D703" i="1" a="1"/>
  <c r="E702" i="1" a="1"/>
  <c r="D702" i="1" a="1"/>
  <c r="E701" i="1" a="1"/>
  <c r="D701" i="1" a="1"/>
  <c r="E700" i="1" a="1"/>
  <c r="D700" i="1" a="1"/>
  <c r="E699" i="1" a="1"/>
  <c r="D699" i="1" a="1"/>
  <c r="E698" i="1" a="1"/>
  <c r="D698" i="1" a="1"/>
  <c r="E697" i="1" a="1"/>
  <c r="D697" i="1" a="1"/>
  <c r="E696" i="1" a="1"/>
  <c r="D696" i="1" a="1"/>
  <c r="E695" i="1" a="1"/>
  <c r="D695" i="1" a="1"/>
  <c r="E694" i="1" a="1"/>
  <c r="D694" i="1" a="1"/>
  <c r="E693" i="1" a="1"/>
  <c r="D693" i="1" a="1"/>
  <c r="E692" i="1" a="1"/>
  <c r="D692" i="1" a="1"/>
  <c r="E691" i="1" a="1"/>
  <c r="D691" i="1" a="1"/>
  <c r="E690" i="1" a="1"/>
  <c r="D690" i="1" a="1"/>
  <c r="E689" i="1" a="1"/>
  <c r="D689" i="1" a="1"/>
  <c r="E688" i="1" a="1"/>
  <c r="D688" i="1" a="1"/>
  <c r="E687" i="1" a="1"/>
  <c r="D687" i="1" a="1"/>
  <c r="E686" i="1" a="1"/>
  <c r="D686" i="1" a="1"/>
  <c r="E685" i="1" a="1"/>
  <c r="D685" i="1" a="1"/>
  <c r="E684" i="1" a="1"/>
  <c r="D684" i="1" a="1"/>
  <c r="E683" i="1" a="1"/>
  <c r="D683" i="1" a="1"/>
  <c r="E682" i="1" a="1"/>
  <c r="D682" i="1" a="1"/>
  <c r="E681" i="1" a="1"/>
  <c r="D681" i="1" a="1"/>
  <c r="E680" i="1" a="1"/>
  <c r="D680" i="1" a="1"/>
  <c r="E679" i="1" a="1"/>
  <c r="D679" i="1" a="1"/>
  <c r="E678" i="1" a="1"/>
  <c r="D678" i="1" a="1"/>
  <c r="E677" i="1" a="1"/>
  <c r="D677" i="1" a="1"/>
  <c r="E676" i="1" a="1"/>
  <c r="D676" i="1" a="1"/>
  <c r="E675" i="1" a="1"/>
  <c r="D675" i="1" a="1"/>
  <c r="E674" i="1" a="1"/>
  <c r="D674" i="1" a="1"/>
  <c r="E673" i="1" a="1"/>
  <c r="D673" i="1" a="1"/>
  <c r="E672" i="1" a="1"/>
  <c r="D672" i="1" a="1"/>
  <c r="E671" i="1" a="1"/>
  <c r="D671" i="1" a="1"/>
  <c r="E670" i="1" a="1"/>
  <c r="D670" i="1" a="1"/>
  <c r="E669" i="1" a="1"/>
  <c r="D669" i="1" a="1"/>
  <c r="E668" i="1" a="1"/>
  <c r="D668" i="1" a="1"/>
  <c r="E667" i="1" a="1"/>
  <c r="D667" i="1" a="1"/>
  <c r="E666" i="1" a="1"/>
  <c r="D666" i="1" a="1"/>
  <c r="E665" i="1" a="1"/>
  <c r="D665" i="1" a="1"/>
  <c r="E664" i="1" a="1"/>
  <c r="D664" i="1" a="1"/>
  <c r="E663" i="1" a="1"/>
  <c r="D663" i="1" a="1"/>
  <c r="E662" i="1" a="1"/>
  <c r="D662" i="1" a="1"/>
  <c r="E661" i="1" a="1"/>
  <c r="D661" i="1" a="1"/>
  <c r="E660" i="1" a="1"/>
  <c r="D660" i="1" a="1"/>
  <c r="E659" i="1" a="1"/>
  <c r="D659" i="1" a="1"/>
  <c r="E658" i="1" a="1"/>
  <c r="D658" i="1" a="1"/>
  <c r="E657" i="1" a="1"/>
  <c r="D657" i="1" a="1"/>
  <c r="E656" i="1" a="1"/>
  <c r="D656" i="1" a="1"/>
  <c r="E655" i="1" a="1"/>
  <c r="D655" i="1" a="1"/>
  <c r="E654" i="1" a="1"/>
  <c r="D654" i="1" a="1"/>
  <c r="E653" i="1" a="1"/>
  <c r="D653" i="1" a="1"/>
  <c r="E652" i="1" a="1"/>
  <c r="D652" i="1" a="1"/>
  <c r="E651" i="1" a="1"/>
  <c r="D651" i="1" a="1"/>
  <c r="E650" i="1" a="1"/>
  <c r="D650" i="1" a="1"/>
  <c r="E649" i="1" a="1"/>
  <c r="D649" i="1" a="1"/>
  <c r="E648" i="1" a="1"/>
  <c r="D648" i="1" a="1"/>
  <c r="E647" i="1" a="1"/>
  <c r="D647" i="1" a="1"/>
  <c r="E646" i="1" a="1"/>
  <c r="D646" i="1" a="1"/>
  <c r="E645" i="1" a="1"/>
  <c r="D645" i="1" a="1"/>
  <c r="E644" i="1" a="1"/>
  <c r="D644" i="1" a="1"/>
  <c r="E643" i="1" a="1"/>
  <c r="D643" i="1" a="1"/>
  <c r="E642" i="1" a="1"/>
  <c r="D642" i="1" a="1"/>
  <c r="E641" i="1" a="1"/>
  <c r="D641" i="1" a="1"/>
  <c r="E640" i="1" a="1"/>
  <c r="D640" i="1" a="1"/>
  <c r="E639" i="1" a="1"/>
  <c r="D639" i="1" a="1"/>
  <c r="E638" i="1" a="1"/>
  <c r="D638" i="1" a="1"/>
  <c r="E637" i="1" a="1"/>
  <c r="D637" i="1" a="1"/>
  <c r="E636" i="1" a="1"/>
  <c r="D636" i="1" a="1"/>
  <c r="E635" i="1" a="1"/>
  <c r="D635" i="1" a="1"/>
  <c r="E634" i="1" a="1"/>
  <c r="D634" i="1" a="1"/>
  <c r="E633" i="1" a="1"/>
  <c r="D633" i="1" a="1"/>
  <c r="E632" i="1" a="1"/>
  <c r="D632" i="1" a="1"/>
  <c r="E631" i="1" a="1"/>
  <c r="D631" i="1" a="1"/>
  <c r="E630" i="1" a="1"/>
  <c r="D630" i="1" a="1"/>
  <c r="E629" i="1" a="1"/>
  <c r="D629" i="1" a="1"/>
  <c r="E628" i="1" a="1"/>
  <c r="D628" i="1" a="1"/>
  <c r="E627" i="1" a="1"/>
  <c r="D627" i="1" a="1"/>
  <c r="E626" i="1" a="1"/>
  <c r="D626" i="1" a="1"/>
  <c r="E625" i="1" a="1"/>
  <c r="D625" i="1" a="1"/>
  <c r="E624" i="1" a="1"/>
  <c r="D624" i="1" a="1"/>
  <c r="E623" i="1" a="1"/>
  <c r="D623" i="1" a="1"/>
  <c r="E622" i="1" a="1"/>
  <c r="D622" i="1" a="1"/>
  <c r="E621" i="1" a="1"/>
  <c r="D621" i="1" a="1"/>
  <c r="E620" i="1" a="1"/>
  <c r="D620" i="1" a="1"/>
  <c r="E619" i="1" a="1"/>
  <c r="D619" i="1" a="1"/>
  <c r="E618" i="1" a="1"/>
  <c r="D618" i="1" a="1"/>
  <c r="E617" i="1" a="1"/>
  <c r="D617" i="1" a="1"/>
  <c r="E616" i="1" a="1"/>
  <c r="D616" i="1" a="1"/>
  <c r="E615" i="1" a="1"/>
  <c r="D615" i="1" a="1"/>
  <c r="E614" i="1" a="1"/>
  <c r="D614" i="1" a="1"/>
  <c r="E613" i="1" a="1"/>
  <c r="D613" i="1" a="1"/>
  <c r="E612" i="1" a="1"/>
  <c r="D612" i="1" a="1"/>
  <c r="E611" i="1" a="1"/>
  <c r="D611" i="1" a="1"/>
  <c r="E610" i="1" a="1"/>
  <c r="D610" i="1" a="1"/>
  <c r="E609" i="1" a="1"/>
  <c r="D609" i="1" a="1"/>
  <c r="E608" i="1" a="1"/>
  <c r="D608" i="1" a="1"/>
  <c r="E607" i="1" a="1"/>
  <c r="D607" i="1" a="1"/>
  <c r="E606" i="1" a="1"/>
  <c r="D606" i="1" a="1"/>
  <c r="E605" i="1" a="1"/>
  <c r="D605" i="1" a="1"/>
  <c r="E604" i="1" a="1"/>
  <c r="D604" i="1" a="1"/>
  <c r="E603" i="1" a="1"/>
  <c r="D603" i="1" a="1"/>
  <c r="E602" i="1" a="1"/>
  <c r="D602" i="1" a="1"/>
  <c r="E601" i="1" a="1"/>
  <c r="D601" i="1" a="1"/>
  <c r="E600" i="1" a="1"/>
  <c r="D600" i="1" a="1"/>
  <c r="E599" i="1" a="1"/>
  <c r="D599" i="1" a="1"/>
  <c r="E598" i="1" a="1"/>
  <c r="D598" i="1" a="1"/>
  <c r="E597" i="1" a="1"/>
  <c r="D597" i="1" a="1"/>
  <c r="E596" i="1" a="1"/>
  <c r="D596" i="1" a="1"/>
  <c r="E595" i="1" a="1"/>
  <c r="D595" i="1" a="1"/>
  <c r="E594" i="1" a="1"/>
  <c r="D594" i="1" a="1"/>
  <c r="E593" i="1" a="1"/>
  <c r="D593" i="1" a="1"/>
  <c r="E592" i="1" a="1"/>
  <c r="D592" i="1" a="1"/>
  <c r="E591" i="1" a="1"/>
  <c r="D591" i="1" a="1"/>
  <c r="E590" i="1" a="1"/>
  <c r="D590" i="1" a="1"/>
  <c r="E589" i="1" a="1"/>
  <c r="D589" i="1" a="1"/>
  <c r="E588" i="1" a="1"/>
  <c r="D588" i="1" a="1"/>
  <c r="E587" i="1" a="1"/>
  <c r="D587" i="1" a="1"/>
  <c r="E586" i="1" a="1"/>
  <c r="D586" i="1" a="1"/>
  <c r="E585" i="1" a="1"/>
  <c r="D585" i="1" a="1"/>
  <c r="E584" i="1" a="1"/>
  <c r="D584" i="1" a="1"/>
  <c r="E583" i="1" a="1"/>
  <c r="D583" i="1" a="1"/>
  <c r="E582" i="1" a="1"/>
  <c r="D582" i="1" a="1"/>
  <c r="E581" i="1" a="1"/>
  <c r="D581" i="1" a="1"/>
  <c r="E580" i="1" a="1"/>
  <c r="D580" i="1" a="1"/>
  <c r="E579" i="1" a="1"/>
  <c r="D579" i="1" a="1"/>
  <c r="E578" i="1" a="1"/>
  <c r="D578" i="1" a="1"/>
  <c r="E577" i="1" a="1"/>
  <c r="D577" i="1" a="1"/>
  <c r="E576" i="1" a="1"/>
  <c r="D576" i="1" a="1"/>
  <c r="E575" i="1" a="1"/>
  <c r="D575" i="1" a="1"/>
  <c r="E574" i="1" a="1"/>
  <c r="D574" i="1" a="1"/>
  <c r="E573" i="1" a="1"/>
  <c r="D573" i="1" a="1"/>
  <c r="E572" i="1" a="1"/>
  <c r="D572" i="1" a="1"/>
  <c r="E571" i="1" a="1"/>
  <c r="D571" i="1" a="1"/>
  <c r="E570" i="1" a="1"/>
  <c r="D570" i="1" a="1"/>
  <c r="E569" i="1" a="1"/>
  <c r="D569" i="1" a="1"/>
  <c r="E568" i="1" a="1"/>
  <c r="D568" i="1" a="1"/>
  <c r="E567" i="1" a="1"/>
  <c r="D567" i="1" a="1"/>
  <c r="E566" i="1" a="1"/>
  <c r="D566" i="1" a="1"/>
  <c r="E565" i="1" a="1"/>
  <c r="D565" i="1" a="1"/>
  <c r="E564" i="1" a="1"/>
  <c r="D564" i="1" a="1"/>
  <c r="E563" i="1" a="1"/>
  <c r="D563" i="1" a="1"/>
  <c r="E562" i="1" a="1"/>
  <c r="D562" i="1" a="1"/>
  <c r="E561" i="1" a="1"/>
  <c r="D561" i="1" a="1"/>
  <c r="E560" i="1" a="1"/>
  <c r="D560" i="1" a="1"/>
  <c r="E559" i="1" a="1"/>
  <c r="D559" i="1" a="1"/>
  <c r="E558" i="1" a="1"/>
  <c r="D558" i="1" a="1"/>
  <c r="E557" i="1" a="1"/>
  <c r="D557" i="1" a="1"/>
  <c r="E556" i="1" a="1"/>
  <c r="D556" i="1" a="1"/>
  <c r="E555" i="1" a="1"/>
  <c r="D555" i="1" a="1"/>
  <c r="E554" i="1" a="1"/>
  <c r="D554" i="1" a="1"/>
  <c r="E553" i="1" a="1"/>
  <c r="D553" i="1" a="1"/>
  <c r="E552" i="1" a="1"/>
  <c r="D552" i="1" a="1"/>
  <c r="E551" i="1" a="1"/>
  <c r="D551" i="1" a="1"/>
  <c r="E550" i="1" a="1"/>
  <c r="D550" i="1" a="1"/>
  <c r="E549" i="1" a="1"/>
  <c r="D549" i="1" a="1"/>
  <c r="E548" i="1" a="1"/>
  <c r="D548" i="1" a="1"/>
  <c r="E547" i="1" a="1"/>
  <c r="D547" i="1" a="1"/>
  <c r="E546" i="1" a="1"/>
  <c r="D546" i="1" a="1"/>
  <c r="E545" i="1" a="1"/>
  <c r="D545" i="1" a="1"/>
  <c r="E544" i="1" a="1"/>
  <c r="D544" i="1" a="1"/>
  <c r="E543" i="1" a="1"/>
  <c r="D543" i="1" a="1"/>
  <c r="E542" i="1" a="1"/>
  <c r="D542" i="1" a="1"/>
  <c r="E541" i="1" a="1"/>
  <c r="D541" i="1" a="1"/>
  <c r="E540" i="1" a="1"/>
  <c r="D540" i="1" a="1"/>
  <c r="E539" i="1" a="1"/>
  <c r="D539" i="1" a="1"/>
  <c r="E538" i="1" a="1"/>
  <c r="D538" i="1" a="1"/>
  <c r="E537" i="1" a="1"/>
  <c r="D537" i="1" a="1"/>
  <c r="E536" i="1" a="1"/>
  <c r="D536" i="1" a="1"/>
  <c r="E535" i="1" a="1"/>
  <c r="D535" i="1" a="1"/>
  <c r="E534" i="1" a="1"/>
  <c r="D534" i="1" a="1"/>
  <c r="E533" i="1" a="1"/>
  <c r="D533" i="1" a="1"/>
  <c r="E532" i="1" a="1"/>
  <c r="D532" i="1" a="1"/>
  <c r="E531" i="1" a="1"/>
  <c r="D531" i="1" a="1"/>
  <c r="E530" i="1" a="1"/>
  <c r="D530" i="1" a="1"/>
  <c r="E529" i="1" a="1"/>
  <c r="D529" i="1" a="1"/>
  <c r="E528" i="1" a="1"/>
  <c r="D528" i="1" a="1"/>
  <c r="E527" i="1" a="1"/>
  <c r="D527" i="1" a="1"/>
  <c r="E526" i="1" a="1"/>
  <c r="D526" i="1" a="1"/>
  <c r="E525" i="1" a="1"/>
  <c r="D525" i="1" a="1"/>
  <c r="E524" i="1" a="1"/>
  <c r="D524" i="1" a="1"/>
  <c r="E523" i="1" a="1"/>
  <c r="D523" i="1" a="1"/>
  <c r="E522" i="1" a="1"/>
  <c r="D522" i="1" a="1"/>
  <c r="E521" i="1" a="1"/>
  <c r="D521" i="1" a="1"/>
  <c r="E520" i="1" a="1"/>
  <c r="D520" i="1" a="1"/>
  <c r="E519" i="1" a="1"/>
  <c r="D519" i="1" a="1"/>
  <c r="E518" i="1" a="1"/>
  <c r="D518" i="1" a="1"/>
  <c r="E517" i="1" a="1"/>
  <c r="D517" i="1" a="1"/>
  <c r="E516" i="1" a="1"/>
  <c r="D516" i="1" a="1"/>
  <c r="E515" i="1" a="1"/>
  <c r="D515" i="1" a="1"/>
  <c r="E514" i="1" a="1"/>
  <c r="D514" i="1" a="1"/>
  <c r="E513" i="1" a="1"/>
  <c r="D513" i="1" a="1"/>
  <c r="E512" i="1" a="1"/>
  <c r="D512" i="1" a="1"/>
  <c r="E511" i="1" a="1"/>
  <c r="D511" i="1" a="1"/>
  <c r="E510" i="1" a="1"/>
  <c r="D510" i="1" a="1"/>
  <c r="E509" i="1" a="1"/>
  <c r="D509" i="1" a="1"/>
  <c r="E508" i="1" a="1"/>
  <c r="D508" i="1" a="1"/>
  <c r="E507" i="1" a="1"/>
  <c r="D507" i="1" a="1"/>
  <c r="E506" i="1" a="1"/>
  <c r="D506" i="1" a="1"/>
  <c r="E505" i="1" a="1"/>
  <c r="D505" i="1" a="1"/>
  <c r="E504" i="1" a="1"/>
  <c r="D504" i="1" a="1"/>
  <c r="E503" i="1" a="1"/>
  <c r="D503" i="1" a="1"/>
  <c r="E502" i="1" a="1"/>
  <c r="D502" i="1" a="1"/>
  <c r="E501" i="1" a="1"/>
  <c r="D501" i="1" a="1"/>
  <c r="E500" i="1" a="1"/>
  <c r="D500" i="1" a="1"/>
  <c r="E499" i="1" a="1"/>
  <c r="D499" i="1" a="1"/>
  <c r="E498" i="1" a="1"/>
  <c r="D498" i="1" a="1"/>
  <c r="E497" i="1" a="1"/>
  <c r="D497" i="1" a="1"/>
  <c r="E496" i="1" a="1"/>
  <c r="D496" i="1" a="1"/>
  <c r="E495" i="1" a="1"/>
  <c r="D495" i="1" a="1"/>
  <c r="E494" i="1" a="1"/>
  <c r="D494" i="1" a="1"/>
  <c r="E493" i="1" a="1"/>
  <c r="D493" i="1" a="1"/>
  <c r="E492" i="1" a="1"/>
  <c r="D492" i="1" a="1"/>
  <c r="E491" i="1" a="1"/>
  <c r="D491" i="1" a="1"/>
  <c r="E490" i="1" a="1"/>
  <c r="D490" i="1" a="1"/>
  <c r="E489" i="1" a="1"/>
  <c r="D489" i="1" a="1"/>
  <c r="E488" i="1" a="1"/>
  <c r="D488" i="1" a="1"/>
  <c r="E487" i="1" a="1"/>
  <c r="D487" i="1" a="1"/>
  <c r="E486" i="1" a="1"/>
  <c r="D486" i="1" a="1"/>
  <c r="E485" i="1" a="1"/>
  <c r="D485" i="1" a="1"/>
  <c r="E484" i="1" a="1"/>
  <c r="D484" i="1" a="1"/>
  <c r="E483" i="1" a="1"/>
  <c r="D483" i="1" a="1"/>
  <c r="E482" i="1" a="1"/>
  <c r="D482" i="1" a="1"/>
  <c r="E481" i="1" a="1"/>
  <c r="D481" i="1" a="1"/>
  <c r="E480" i="1" a="1"/>
  <c r="D480" i="1" a="1"/>
  <c r="E479" i="1" a="1"/>
  <c r="D479" i="1" a="1"/>
  <c r="E478" i="1" a="1"/>
  <c r="D478" i="1" a="1"/>
  <c r="E477" i="1" a="1"/>
  <c r="D477" i="1" a="1"/>
  <c r="E476" i="1" a="1"/>
  <c r="D476" i="1" a="1"/>
  <c r="E475" i="1" a="1"/>
  <c r="D475" i="1" a="1"/>
  <c r="E474" i="1" a="1"/>
  <c r="D474" i="1" a="1"/>
  <c r="E473" i="1" a="1"/>
  <c r="D473" i="1" a="1"/>
  <c r="E472" i="1" a="1"/>
  <c r="D472" i="1" a="1"/>
  <c r="E471" i="1" a="1"/>
  <c r="D471" i="1" a="1"/>
  <c r="E470" i="1" a="1"/>
  <c r="D470" i="1" a="1"/>
  <c r="E469" i="1" a="1"/>
  <c r="D469" i="1" a="1"/>
  <c r="E468" i="1" a="1"/>
  <c r="D468" i="1" a="1"/>
  <c r="E467" i="1" a="1"/>
  <c r="D467" i="1" a="1"/>
  <c r="E466" i="1" a="1"/>
  <c r="D466" i="1" a="1"/>
  <c r="E465" i="1" a="1"/>
  <c r="D465" i="1" a="1"/>
  <c r="E464" i="1" a="1"/>
  <c r="D464" i="1" a="1"/>
  <c r="E463" i="1" a="1"/>
  <c r="D463" i="1" a="1"/>
  <c r="E462" i="1" a="1"/>
  <c r="D462" i="1" a="1"/>
  <c r="E461" i="1" a="1"/>
  <c r="D461" i="1" a="1"/>
  <c r="E460" i="1" a="1"/>
  <c r="D460" i="1" a="1"/>
  <c r="E459" i="1" a="1"/>
  <c r="D459" i="1" a="1"/>
  <c r="E458" i="1" a="1"/>
  <c r="D458" i="1" a="1"/>
  <c r="E457" i="1" a="1"/>
  <c r="D457" i="1" a="1"/>
  <c r="E456" i="1" a="1"/>
  <c r="D456" i="1" a="1"/>
  <c r="E455" i="1" a="1"/>
  <c r="D455" i="1" a="1"/>
  <c r="E454" i="1" a="1"/>
  <c r="D454" i="1" a="1"/>
  <c r="E453" i="1" a="1"/>
  <c r="D453" i="1" a="1"/>
  <c r="E452" i="1" a="1"/>
  <c r="D452" i="1" a="1"/>
  <c r="E451" i="1" a="1"/>
  <c r="D451" i="1" a="1"/>
  <c r="E450" i="1" a="1"/>
  <c r="D450" i="1" a="1"/>
  <c r="E449" i="1" a="1"/>
  <c r="D449" i="1" a="1"/>
  <c r="E448" i="1" a="1"/>
  <c r="D448" i="1" a="1"/>
  <c r="E447" i="1" a="1"/>
  <c r="D447" i="1" a="1"/>
  <c r="E446" i="1" a="1"/>
  <c r="D446" i="1" a="1"/>
  <c r="E445" i="1" a="1"/>
  <c r="D445" i="1" a="1"/>
  <c r="E444" i="1" a="1"/>
  <c r="D444" i="1" a="1"/>
  <c r="E443" i="1" a="1"/>
  <c r="D443" i="1" a="1"/>
  <c r="E442" i="1" a="1"/>
  <c r="D442" i="1" a="1"/>
  <c r="E441" i="1" a="1"/>
  <c r="D441" i="1" a="1"/>
  <c r="E440" i="1" a="1"/>
  <c r="D440" i="1" a="1"/>
  <c r="E439" i="1" a="1"/>
  <c r="D439" i="1" a="1"/>
  <c r="E438" i="1" a="1"/>
  <c r="D438" i="1" a="1"/>
  <c r="E437" i="1" a="1"/>
  <c r="D437" i="1" a="1"/>
  <c r="E436" i="1" a="1"/>
  <c r="D436" i="1" a="1"/>
  <c r="E435" i="1" a="1"/>
  <c r="D435" i="1" a="1"/>
  <c r="E434" i="1" a="1"/>
  <c r="D434" i="1" a="1"/>
  <c r="E433" i="1" a="1"/>
  <c r="D433" i="1" a="1"/>
  <c r="E432" i="1" a="1"/>
  <c r="D432" i="1" a="1"/>
  <c r="E431" i="1" a="1"/>
  <c r="D431" i="1" a="1"/>
  <c r="E430" i="1" a="1"/>
  <c r="D430" i="1" a="1"/>
  <c r="E429" i="1" a="1"/>
  <c r="D429" i="1" a="1"/>
  <c r="E428" i="1" a="1"/>
  <c r="D428" i="1" a="1"/>
  <c r="E427" i="1" a="1"/>
  <c r="D427" i="1" a="1"/>
  <c r="E426" i="1" a="1"/>
  <c r="D426" i="1" a="1"/>
  <c r="E425" i="1" a="1"/>
  <c r="D425" i="1" a="1"/>
  <c r="E424" i="1" a="1"/>
  <c r="D424" i="1" a="1"/>
  <c r="E423" i="1" a="1"/>
  <c r="D423" i="1" a="1"/>
  <c r="E422" i="1" a="1"/>
  <c r="D422" i="1" a="1"/>
  <c r="E421" i="1" a="1"/>
  <c r="D421" i="1" a="1"/>
  <c r="E420" i="1" a="1"/>
  <c r="D420" i="1" a="1"/>
  <c r="E419" i="1" a="1"/>
  <c r="D419" i="1" a="1"/>
  <c r="E418" i="1" a="1"/>
  <c r="D418" i="1" a="1"/>
  <c r="E417" i="1" a="1"/>
  <c r="D417" i="1" a="1"/>
  <c r="E416" i="1" a="1"/>
  <c r="D416" i="1" a="1"/>
  <c r="E415" i="1" a="1"/>
  <c r="D415" i="1" a="1"/>
  <c r="E414" i="1" a="1"/>
  <c r="D414" i="1" a="1"/>
  <c r="E413" i="1" a="1"/>
  <c r="D413" i="1" a="1"/>
  <c r="E412" i="1" a="1"/>
  <c r="D412" i="1" a="1"/>
  <c r="E411" i="1" a="1"/>
  <c r="D411" i="1" a="1"/>
  <c r="E410" i="1" a="1"/>
  <c r="D410" i="1" a="1"/>
  <c r="E409" i="1" a="1"/>
  <c r="D409" i="1" a="1"/>
  <c r="E408" i="1" a="1"/>
  <c r="D408" i="1" a="1"/>
  <c r="E407" i="1" a="1"/>
  <c r="D407" i="1" a="1"/>
  <c r="E406" i="1" a="1"/>
  <c r="D406" i="1" a="1"/>
  <c r="E405" i="1" a="1"/>
  <c r="D405" i="1" a="1"/>
  <c r="E404" i="1" a="1"/>
  <c r="D404" i="1" a="1"/>
  <c r="E403" i="1" a="1"/>
  <c r="D403" i="1" a="1"/>
  <c r="E402" i="1" a="1"/>
  <c r="D402" i="1" a="1"/>
  <c r="E401" i="1" a="1"/>
  <c r="D401" i="1" a="1"/>
  <c r="E400" i="1" a="1"/>
  <c r="D400" i="1" a="1"/>
  <c r="E399" i="1" a="1"/>
  <c r="D399" i="1" a="1"/>
  <c r="E398" i="1" a="1"/>
  <c r="D398" i="1" a="1"/>
  <c r="E397" i="1" a="1"/>
  <c r="D397" i="1" a="1"/>
  <c r="E396" i="1" a="1"/>
  <c r="D396" i="1" a="1"/>
  <c r="E395" i="1" a="1"/>
  <c r="D395" i="1" a="1"/>
  <c r="E394" i="1" a="1"/>
  <c r="D394" i="1" a="1"/>
  <c r="E393" i="1" a="1"/>
  <c r="D393" i="1" a="1"/>
  <c r="E392" i="1" a="1"/>
  <c r="D392" i="1" a="1"/>
  <c r="E391" i="1" a="1"/>
  <c r="D391" i="1" a="1"/>
  <c r="E390" i="1" a="1"/>
  <c r="D390" i="1" a="1"/>
  <c r="E389" i="1" a="1"/>
  <c r="D389" i="1" a="1"/>
  <c r="E388" i="1" a="1"/>
  <c r="D388" i="1" a="1"/>
  <c r="E387" i="1" a="1"/>
  <c r="D387" i="1" a="1"/>
  <c r="E386" i="1" a="1"/>
  <c r="D386" i="1" a="1"/>
  <c r="E385" i="1" a="1"/>
  <c r="D385" i="1" a="1"/>
  <c r="E384" i="1" a="1"/>
  <c r="D384" i="1" a="1"/>
  <c r="E383" i="1" a="1"/>
  <c r="D383" i="1" a="1"/>
  <c r="E382" i="1" a="1"/>
  <c r="D382" i="1" a="1"/>
  <c r="E381" i="1" a="1"/>
  <c r="D381" i="1" a="1"/>
  <c r="E380" i="1" a="1"/>
  <c r="D380" i="1" a="1"/>
  <c r="E379" i="1" a="1"/>
  <c r="D379" i="1" a="1"/>
  <c r="E378" i="1" a="1"/>
  <c r="D378" i="1" a="1"/>
  <c r="E377" i="1" a="1"/>
  <c r="D377" i="1" a="1"/>
  <c r="E376" i="1" a="1"/>
  <c r="D376" i="1" a="1"/>
  <c r="E375" i="1" a="1"/>
  <c r="D375" i="1" a="1"/>
  <c r="E374" i="1" a="1"/>
  <c r="D374" i="1" a="1"/>
  <c r="E373" i="1" a="1"/>
  <c r="D373" i="1" a="1"/>
  <c r="E372" i="1" a="1"/>
  <c r="D372" i="1" a="1"/>
  <c r="E371" i="1" a="1"/>
  <c r="D371" i="1" a="1"/>
  <c r="E370" i="1" a="1"/>
  <c r="D370" i="1" a="1"/>
  <c r="E369" i="1" a="1"/>
  <c r="D369" i="1" a="1"/>
  <c r="E368" i="1" a="1"/>
  <c r="D368" i="1" a="1"/>
  <c r="E367" i="1" a="1"/>
  <c r="D367" i="1" a="1"/>
  <c r="E366" i="1" a="1"/>
  <c r="D366" i="1" a="1"/>
  <c r="E365" i="1" a="1"/>
  <c r="D365" i="1" a="1"/>
  <c r="E364" i="1" a="1"/>
  <c r="D364" i="1" a="1"/>
  <c r="E363" i="1" a="1"/>
  <c r="D363" i="1" a="1"/>
  <c r="E362" i="1" a="1"/>
  <c r="D362" i="1" a="1"/>
  <c r="E361" i="1" a="1"/>
  <c r="D361" i="1" a="1"/>
  <c r="E360" i="1" a="1"/>
  <c r="D360" i="1" a="1"/>
  <c r="E359" i="1" a="1"/>
  <c r="D359" i="1" a="1"/>
  <c r="E358" i="1" a="1"/>
  <c r="D358" i="1" a="1"/>
  <c r="E357" i="1" a="1"/>
  <c r="D357" i="1" a="1"/>
  <c r="E356" i="1" a="1"/>
  <c r="D356" i="1" a="1"/>
  <c r="E355" i="1" a="1"/>
  <c r="D355" i="1" a="1"/>
  <c r="E354" i="1" a="1"/>
  <c r="D354" i="1" a="1"/>
  <c r="E353" i="1" a="1"/>
  <c r="D353" i="1" a="1"/>
  <c r="E352" i="1" a="1"/>
  <c r="D352" i="1" a="1"/>
  <c r="E351" i="1" a="1"/>
  <c r="D351" i="1" a="1"/>
  <c r="E350" i="1" a="1"/>
  <c r="D350" i="1" a="1"/>
  <c r="E349" i="1" a="1"/>
  <c r="D349" i="1" a="1"/>
  <c r="E348" i="1" a="1"/>
  <c r="D348" i="1" a="1"/>
  <c r="E347" i="1" a="1"/>
  <c r="D347" i="1" a="1"/>
  <c r="E346" i="1" a="1"/>
  <c r="D346" i="1" a="1"/>
  <c r="E345" i="1" a="1"/>
  <c r="D345" i="1" a="1"/>
  <c r="E344" i="1" a="1"/>
  <c r="D344" i="1" a="1"/>
  <c r="E343" i="1" a="1"/>
  <c r="D343" i="1" a="1"/>
  <c r="E342" i="1" a="1"/>
  <c r="D342" i="1" a="1"/>
  <c r="E341" i="1" a="1"/>
  <c r="D341" i="1" a="1"/>
  <c r="E340" i="1" a="1"/>
  <c r="D340" i="1" a="1"/>
  <c r="E339" i="1" a="1"/>
  <c r="D339" i="1" a="1"/>
  <c r="E338" i="1" a="1"/>
  <c r="D338" i="1" a="1"/>
  <c r="E337" i="1" a="1"/>
  <c r="D337" i="1" a="1"/>
  <c r="E336" i="1" a="1"/>
  <c r="D336" i="1" a="1"/>
  <c r="E335" i="1" a="1"/>
  <c r="D335" i="1" a="1"/>
  <c r="E334" i="1" a="1"/>
  <c r="D334" i="1" a="1"/>
  <c r="E333" i="1" a="1"/>
  <c r="D333" i="1" a="1"/>
  <c r="E332" i="1" a="1"/>
  <c r="D332" i="1" a="1"/>
  <c r="E331" i="1" a="1"/>
  <c r="D331" i="1" a="1"/>
  <c r="E330" i="1" a="1"/>
  <c r="D330" i="1" a="1"/>
  <c r="E329" i="1" a="1"/>
  <c r="D329" i="1" a="1"/>
  <c r="E328" i="1" a="1"/>
  <c r="D328" i="1" a="1"/>
  <c r="E327" i="1" a="1"/>
  <c r="D327" i="1" a="1"/>
  <c r="E326" i="1" a="1"/>
  <c r="D326" i="1" a="1"/>
  <c r="E325" i="1" a="1"/>
  <c r="D325" i="1" a="1"/>
  <c r="E324" i="1" a="1"/>
  <c r="D324" i="1" a="1"/>
  <c r="E323" i="1" a="1"/>
  <c r="D323" i="1" a="1"/>
  <c r="E322" i="1" a="1"/>
  <c r="D322" i="1" a="1"/>
  <c r="E321" i="1" a="1"/>
  <c r="D321" i="1" a="1"/>
  <c r="E320" i="1" a="1"/>
  <c r="D320" i="1" a="1"/>
  <c r="E319" i="1" a="1"/>
  <c r="D319" i="1" a="1"/>
  <c r="E318" i="1" a="1"/>
  <c r="D318" i="1" a="1"/>
  <c r="E317" i="1" a="1"/>
  <c r="D317" i="1" a="1"/>
  <c r="E316" i="1" a="1"/>
  <c r="D316" i="1" a="1"/>
  <c r="E315" i="1" a="1"/>
  <c r="D315" i="1" a="1"/>
  <c r="E314" i="1" a="1"/>
  <c r="D314" i="1" a="1"/>
  <c r="E313" i="1" a="1"/>
  <c r="D313" i="1" a="1"/>
  <c r="E312" i="1" a="1"/>
  <c r="D312" i="1" a="1"/>
  <c r="E311" i="1" a="1"/>
  <c r="D311" i="1" a="1"/>
  <c r="E310" i="1" a="1"/>
  <c r="D310" i="1" a="1"/>
  <c r="E309" i="1" a="1"/>
  <c r="D309" i="1" a="1"/>
  <c r="E308" i="1" a="1"/>
  <c r="D308" i="1" a="1"/>
  <c r="E307" i="1" a="1"/>
  <c r="D307" i="1" a="1"/>
  <c r="E306" i="1" a="1"/>
  <c r="D306" i="1" a="1"/>
  <c r="E305" i="1" a="1"/>
  <c r="D305" i="1" a="1"/>
  <c r="E304" i="1" a="1"/>
  <c r="D304" i="1" a="1"/>
  <c r="E303" i="1" a="1"/>
  <c r="D303" i="1" a="1"/>
  <c r="E302" i="1" a="1"/>
  <c r="D302" i="1" a="1"/>
  <c r="E301" i="1" a="1"/>
  <c r="D301" i="1" a="1"/>
  <c r="E300" i="1" a="1"/>
  <c r="D300" i="1" a="1"/>
  <c r="E299" i="1" a="1"/>
  <c r="D299" i="1" a="1"/>
  <c r="E298" i="1" a="1"/>
  <c r="D298" i="1" a="1"/>
  <c r="E297" i="1" a="1"/>
  <c r="D297" i="1" a="1"/>
  <c r="E296" i="1" a="1"/>
  <c r="D296" i="1" a="1"/>
  <c r="E295" i="1" a="1"/>
  <c r="D295" i="1" a="1"/>
  <c r="E294" i="1" a="1"/>
  <c r="D294" i="1" a="1"/>
  <c r="E293" i="1" a="1"/>
  <c r="D293" i="1" a="1"/>
  <c r="E292" i="1" a="1"/>
  <c r="D292" i="1" a="1"/>
  <c r="E291" i="1" a="1"/>
  <c r="D291" i="1" a="1"/>
  <c r="E290" i="1" a="1"/>
  <c r="D290" i="1" a="1"/>
  <c r="E289" i="1" a="1"/>
  <c r="D289" i="1" a="1"/>
  <c r="E288" i="1" a="1"/>
  <c r="D288" i="1" a="1"/>
  <c r="E287" i="1" a="1"/>
  <c r="D287" i="1" a="1"/>
  <c r="E286" i="1" a="1"/>
  <c r="D286" i="1" a="1"/>
  <c r="E285" i="1" a="1"/>
  <c r="D285" i="1" a="1"/>
  <c r="E284" i="1" a="1"/>
  <c r="D284" i="1" a="1"/>
  <c r="E283" i="1" a="1"/>
  <c r="D283" i="1" a="1"/>
  <c r="E282" i="1" a="1"/>
  <c r="D282" i="1" a="1"/>
  <c r="E281" i="1" a="1"/>
  <c r="D281" i="1" a="1"/>
  <c r="E280" i="1" a="1"/>
  <c r="D280" i="1" a="1"/>
  <c r="E279" i="1" a="1"/>
  <c r="D279" i="1" a="1"/>
  <c r="E278" i="1" a="1"/>
  <c r="D278" i="1" a="1"/>
  <c r="E277" i="1" a="1"/>
  <c r="D277" i="1" a="1"/>
  <c r="E276" i="1" a="1"/>
  <c r="D276" i="1" a="1"/>
  <c r="E275" i="1" a="1"/>
  <c r="D275" i="1" a="1"/>
  <c r="E274" i="1" a="1"/>
  <c r="D274" i="1" a="1"/>
  <c r="E273" i="1" a="1"/>
  <c r="D273" i="1" a="1"/>
  <c r="E272" i="1" a="1"/>
  <c r="D272" i="1" a="1"/>
  <c r="E271" i="1" a="1"/>
  <c r="D271" i="1" a="1"/>
  <c r="E270" i="1" a="1"/>
  <c r="D270" i="1" a="1"/>
  <c r="E269" i="1" a="1"/>
  <c r="D269" i="1" a="1"/>
  <c r="E268" i="1" a="1"/>
  <c r="D268" i="1" a="1"/>
  <c r="E267" i="1" a="1"/>
  <c r="D267" i="1" a="1"/>
  <c r="E266" i="1" a="1"/>
  <c r="D266" i="1" a="1"/>
  <c r="E265" i="1" a="1"/>
  <c r="D265" i="1" a="1"/>
  <c r="E264" i="1" a="1"/>
  <c r="D264" i="1" a="1"/>
  <c r="E263" i="1" a="1"/>
  <c r="D263" i="1" a="1"/>
  <c r="E262" i="1" a="1"/>
  <c r="D262" i="1" a="1"/>
  <c r="E261" i="1" a="1"/>
  <c r="D261" i="1" a="1"/>
  <c r="E260" i="1" a="1"/>
  <c r="D260" i="1" a="1"/>
  <c r="E259" i="1" a="1"/>
  <c r="D259" i="1" a="1"/>
  <c r="E258" i="1" a="1"/>
  <c r="D258" i="1" a="1"/>
  <c r="E257" i="1" a="1"/>
  <c r="D257" i="1" a="1"/>
  <c r="E256" i="1" a="1"/>
  <c r="D256" i="1" a="1"/>
  <c r="E255" i="1" a="1"/>
  <c r="D255" i="1" a="1"/>
  <c r="E254" i="1" a="1"/>
  <c r="D254" i="1" a="1"/>
  <c r="E253" i="1" a="1"/>
  <c r="D253" i="1" a="1"/>
  <c r="E252" i="1" a="1"/>
  <c r="D252" i="1" a="1"/>
  <c r="E251" i="1" a="1"/>
  <c r="D251" i="1" a="1"/>
  <c r="E250" i="1" a="1"/>
  <c r="D250" i="1" a="1"/>
  <c r="E249" i="1" a="1"/>
  <c r="D249" i="1" a="1"/>
  <c r="E248" i="1" a="1"/>
  <c r="D248" i="1" a="1"/>
  <c r="E247" i="1" a="1"/>
  <c r="D247" i="1" a="1"/>
  <c r="E246" i="1" a="1"/>
  <c r="D246" i="1" a="1"/>
  <c r="E245" i="1" a="1"/>
  <c r="D245" i="1" a="1"/>
  <c r="E244" i="1" a="1"/>
  <c r="D244" i="1" a="1"/>
  <c r="E243" i="1" a="1"/>
  <c r="D243" i="1" a="1"/>
  <c r="E242" i="1" a="1"/>
  <c r="D242" i="1" a="1"/>
  <c r="E241" i="1" a="1"/>
  <c r="D241" i="1" a="1"/>
  <c r="E240" i="1" a="1"/>
  <c r="D240" i="1" a="1"/>
  <c r="E239" i="1" a="1"/>
  <c r="D239" i="1" a="1"/>
  <c r="E238" i="1" a="1"/>
  <c r="D238" i="1" a="1"/>
  <c r="E237" i="1" a="1"/>
  <c r="D237" i="1" a="1"/>
  <c r="E236" i="1" a="1"/>
  <c r="D236" i="1" a="1"/>
  <c r="E235" i="1" a="1"/>
  <c r="D235" i="1" a="1"/>
  <c r="E234" i="1" a="1"/>
  <c r="D234" i="1" a="1"/>
  <c r="E233" i="1" a="1"/>
  <c r="D233" i="1" a="1"/>
  <c r="E232" i="1" a="1"/>
  <c r="D232" i="1" a="1"/>
  <c r="E231" i="1" a="1"/>
  <c r="D231" i="1" a="1"/>
  <c r="E230" i="1" a="1"/>
  <c r="D230" i="1" a="1"/>
  <c r="E229" i="1" a="1"/>
  <c r="D229" i="1" a="1"/>
  <c r="E228" i="1" a="1"/>
  <c r="D228" i="1" a="1"/>
  <c r="E227" i="1" a="1"/>
  <c r="D227" i="1" a="1"/>
  <c r="E226" i="1" a="1"/>
  <c r="D226" i="1" a="1"/>
  <c r="E225" i="1" a="1"/>
  <c r="D225" i="1" a="1"/>
  <c r="E224" i="1" a="1"/>
  <c r="D224" i="1" a="1"/>
  <c r="E223" i="1" a="1"/>
  <c r="D223" i="1" a="1"/>
  <c r="E222" i="1" a="1"/>
  <c r="D222" i="1" a="1"/>
  <c r="E221" i="1" a="1"/>
  <c r="D221" i="1" a="1"/>
  <c r="E220" i="1" a="1"/>
  <c r="D220" i="1" a="1"/>
  <c r="E219" i="1" a="1"/>
  <c r="D219" i="1" a="1"/>
  <c r="E218" i="1" a="1"/>
  <c r="D218" i="1" a="1"/>
  <c r="E217" i="1" a="1"/>
  <c r="D217" i="1" a="1"/>
  <c r="E216" i="1" a="1"/>
  <c r="D216" i="1" a="1"/>
  <c r="E215" i="1" a="1"/>
  <c r="D215" i="1" a="1"/>
  <c r="E214" i="1" a="1"/>
  <c r="D214" i="1" a="1"/>
  <c r="E213" i="1" a="1"/>
  <c r="D213" i="1" a="1"/>
  <c r="E212" i="1" a="1"/>
  <c r="D212" i="1" a="1"/>
  <c r="E211" i="1" a="1"/>
  <c r="D211" i="1" a="1"/>
  <c r="E210" i="1" a="1"/>
  <c r="D210" i="1" a="1"/>
  <c r="E209" i="1" a="1"/>
  <c r="D209" i="1" a="1"/>
  <c r="E208" i="1" a="1"/>
  <c r="D208" i="1" a="1"/>
  <c r="E207" i="1" a="1"/>
  <c r="D207" i="1" a="1"/>
  <c r="E206" i="1" a="1"/>
  <c r="D206" i="1" a="1"/>
  <c r="E205" i="1" a="1"/>
  <c r="D205" i="1" a="1"/>
  <c r="E204" i="1" a="1"/>
  <c r="D204" i="1" a="1"/>
  <c r="E203" i="1" a="1"/>
  <c r="D203" i="1" a="1"/>
  <c r="E202" i="1" a="1"/>
  <c r="D202" i="1" a="1"/>
  <c r="E201" i="1" a="1"/>
  <c r="D201" i="1" a="1"/>
  <c r="E200" i="1" a="1"/>
  <c r="D200" i="1" a="1"/>
  <c r="E199" i="1" a="1"/>
  <c r="D199" i="1" a="1"/>
  <c r="E198" i="1" a="1"/>
  <c r="D198" i="1" a="1"/>
  <c r="E197" i="1" a="1"/>
  <c r="D197" i="1" a="1"/>
  <c r="E196" i="1" a="1"/>
  <c r="D196" i="1" a="1"/>
  <c r="E195" i="1" a="1"/>
  <c r="D195" i="1" a="1"/>
  <c r="E194" i="1" a="1"/>
  <c r="D194" i="1" a="1"/>
  <c r="E193" i="1" a="1"/>
  <c r="D193" i="1" a="1"/>
  <c r="E192" i="1" a="1"/>
  <c r="D192" i="1" a="1"/>
  <c r="E191" i="1" a="1"/>
  <c r="D191" i="1" a="1"/>
  <c r="E190" i="1" a="1"/>
  <c r="D190" i="1" a="1"/>
  <c r="E189" i="1" a="1"/>
  <c r="D189" i="1" a="1"/>
  <c r="E188" i="1" a="1"/>
  <c r="D188" i="1" a="1"/>
  <c r="E187" i="1" a="1"/>
  <c r="D187" i="1" a="1"/>
  <c r="E186" i="1" a="1"/>
  <c r="D186" i="1" a="1"/>
  <c r="E185" i="1" a="1"/>
  <c r="D185" i="1" a="1"/>
  <c r="E184" i="1" a="1"/>
  <c r="D184" i="1" a="1"/>
  <c r="E183" i="1" a="1"/>
  <c r="D183" i="1" a="1"/>
  <c r="E182" i="1" a="1"/>
  <c r="D182" i="1" a="1"/>
  <c r="E181" i="1" a="1"/>
  <c r="D181" i="1" a="1"/>
  <c r="E180" i="1" a="1"/>
  <c r="D180" i="1" a="1"/>
  <c r="E179" i="1" a="1"/>
  <c r="D179" i="1" a="1"/>
  <c r="E178" i="1" a="1"/>
  <c r="D178" i="1" a="1"/>
  <c r="E177" i="1" a="1"/>
  <c r="D177" i="1" a="1"/>
  <c r="E176" i="1" a="1"/>
  <c r="D176" i="1" a="1"/>
  <c r="E175" i="1" a="1"/>
  <c r="D175" i="1" a="1"/>
  <c r="E174" i="1" a="1"/>
  <c r="D174" i="1" a="1"/>
  <c r="E173" i="1" a="1"/>
  <c r="D173" i="1" a="1"/>
  <c r="E172" i="1" a="1"/>
  <c r="D172" i="1" a="1"/>
  <c r="E171" i="1" a="1"/>
  <c r="D171" i="1" a="1"/>
  <c r="E170" i="1" a="1"/>
  <c r="D170" i="1" a="1"/>
  <c r="E169" i="1" a="1"/>
  <c r="D169" i="1" a="1"/>
  <c r="E168" i="1" a="1"/>
  <c r="D168" i="1" a="1"/>
  <c r="E167" i="1" a="1"/>
  <c r="D167" i="1" a="1"/>
  <c r="E166" i="1" a="1"/>
  <c r="D166" i="1" a="1"/>
  <c r="E165" i="1" a="1"/>
  <c r="D165" i="1" a="1"/>
  <c r="E164" i="1" a="1"/>
  <c r="D164" i="1" a="1"/>
  <c r="E163" i="1" a="1"/>
  <c r="D163" i="1" a="1"/>
  <c r="E162" i="1" a="1"/>
  <c r="D162" i="1" a="1"/>
  <c r="E161" i="1" a="1"/>
  <c r="D161" i="1" a="1"/>
  <c r="E160" i="1" a="1"/>
  <c r="D160" i="1" a="1"/>
  <c r="E159" i="1" a="1"/>
  <c r="D159" i="1" a="1"/>
  <c r="E158" i="1" a="1"/>
  <c r="D158" i="1" a="1"/>
  <c r="E157" i="1" a="1"/>
  <c r="D157" i="1" a="1"/>
  <c r="E156" i="1" a="1"/>
  <c r="D156" i="1" a="1"/>
  <c r="E155" i="1" a="1"/>
  <c r="D155" i="1" a="1"/>
  <c r="E154" i="1" a="1"/>
  <c r="D154" i="1" a="1"/>
  <c r="E153" i="1" a="1"/>
  <c r="D153" i="1" a="1"/>
  <c r="E152" i="1" a="1"/>
  <c r="D152" i="1" a="1"/>
  <c r="E151" i="1" a="1"/>
  <c r="D151" i="1" a="1"/>
  <c r="E150" i="1" a="1"/>
  <c r="D150" i="1" a="1"/>
  <c r="E149" i="1" a="1"/>
  <c r="D149" i="1" a="1"/>
  <c r="E148" i="1" a="1"/>
  <c r="D148" i="1" a="1"/>
  <c r="E147" i="1" a="1"/>
  <c r="D147" i="1" a="1"/>
  <c r="E146" i="1" a="1"/>
  <c r="D146" i="1" a="1"/>
  <c r="E145" i="1" a="1"/>
  <c r="D145" i="1" a="1"/>
  <c r="E144" i="1" a="1"/>
  <c r="D144" i="1" a="1"/>
  <c r="E143" i="1" a="1"/>
  <c r="D143" i="1" a="1"/>
  <c r="E142" i="1" a="1"/>
  <c r="D142" i="1" a="1"/>
  <c r="E141" i="1" a="1"/>
  <c r="D141" i="1" a="1"/>
  <c r="E140" i="1" a="1"/>
  <c r="D140" i="1" a="1"/>
  <c r="E139" i="1" a="1"/>
  <c r="D139" i="1" a="1"/>
  <c r="E138" i="1" a="1"/>
  <c r="D138" i="1" a="1"/>
  <c r="E137" i="1" a="1"/>
  <c r="D137" i="1" a="1"/>
  <c r="E136" i="1" a="1"/>
  <c r="D136" i="1" a="1"/>
  <c r="E135" i="1" a="1"/>
  <c r="D135" i="1" a="1"/>
  <c r="E134" i="1" a="1"/>
  <c r="D134" i="1" a="1"/>
  <c r="E133" i="1" a="1"/>
  <c r="D133" i="1" a="1"/>
  <c r="E132" i="1" a="1"/>
  <c r="D132" i="1" a="1"/>
  <c r="E131" i="1" a="1"/>
  <c r="D131" i="1" a="1"/>
  <c r="E130" i="1" a="1"/>
  <c r="D130" i="1" a="1"/>
  <c r="E129" i="1" a="1"/>
  <c r="D129" i="1" a="1"/>
  <c r="E128" i="1" a="1"/>
  <c r="D128" i="1" a="1"/>
  <c r="E127" i="1" a="1"/>
  <c r="D127" i="1" a="1"/>
  <c r="E126" i="1" a="1"/>
  <c r="D126" i="1" a="1"/>
  <c r="E125" i="1" a="1"/>
  <c r="D125" i="1" a="1"/>
  <c r="E124" i="1" a="1"/>
  <c r="D124" i="1" a="1"/>
  <c r="E123" i="1" a="1"/>
  <c r="D123" i="1" a="1"/>
  <c r="E122" i="1" a="1"/>
  <c r="D122" i="1" a="1"/>
  <c r="E121" i="1" a="1"/>
  <c r="D121" i="1" a="1"/>
  <c r="E120" i="1" a="1"/>
  <c r="D120" i="1" a="1"/>
  <c r="E119" i="1" a="1"/>
  <c r="D119" i="1" a="1"/>
  <c r="E118" i="1" a="1"/>
  <c r="D118" i="1" a="1"/>
  <c r="E117" i="1" a="1"/>
  <c r="D117" i="1" a="1"/>
  <c r="E116" i="1" a="1"/>
  <c r="D116" i="1" a="1"/>
  <c r="E115" i="1" a="1"/>
  <c r="D115" i="1" a="1"/>
  <c r="E114" i="1" a="1"/>
  <c r="D114" i="1" a="1"/>
  <c r="E113" i="1" a="1"/>
  <c r="D113" i="1" a="1"/>
  <c r="E112" i="1" a="1"/>
  <c r="D112" i="1" a="1"/>
  <c r="E111" i="1" a="1"/>
  <c r="D111" i="1" a="1"/>
  <c r="E110" i="1" a="1"/>
  <c r="D110" i="1" a="1"/>
  <c r="E109" i="1" a="1"/>
  <c r="D109" i="1" a="1"/>
  <c r="E108" i="1" a="1"/>
  <c r="D108" i="1" a="1"/>
  <c r="E107" i="1" a="1"/>
  <c r="D107" i="1" a="1"/>
  <c r="E106" i="1" a="1"/>
  <c r="D106" i="1" a="1"/>
  <c r="E105" i="1" a="1"/>
  <c r="D105" i="1" a="1"/>
  <c r="E104" i="1" a="1"/>
  <c r="D104" i="1" a="1"/>
  <c r="E103" i="1" a="1"/>
  <c r="D103" i="1" a="1"/>
  <c r="E102" i="1" a="1"/>
  <c r="D102" i="1" a="1"/>
  <c r="E101" i="1" a="1"/>
  <c r="D101" i="1" a="1"/>
  <c r="E100" i="1" a="1"/>
  <c r="D100" i="1" a="1"/>
  <c r="E99" i="1" a="1"/>
  <c r="D99" i="1" a="1"/>
  <c r="E98" i="1" a="1"/>
  <c r="D98" i="1" a="1"/>
  <c r="E97" i="1" a="1"/>
  <c r="D97" i="1" a="1"/>
  <c r="D96" i="1" a="1"/>
  <c r="E95" i="1" a="1"/>
  <c r="D95" i="1" a="1"/>
  <c r="D94" i="1" a="1"/>
  <c r="D93" i="1" a="1"/>
  <c r="E92" i="1" a="1"/>
  <c r="D92" i="1" a="1"/>
  <c r="E91" i="1" a="1"/>
  <c r="D91" i="1" a="1"/>
  <c r="D90" i="1" a="1"/>
  <c r="K89" i="1"/>
  <c r="E89" i="1" a="1"/>
  <c r="D89" i="1" a="1"/>
  <c r="E88" i="1" a="1"/>
  <c r="D88" i="1" a="1"/>
  <c r="E87" i="1" a="1"/>
  <c r="D87" i="1" a="1"/>
  <c r="E86" i="1" a="1"/>
  <c r="D86" i="1" a="1"/>
  <c r="E85" i="1" a="1"/>
  <c r="D85" i="1" a="1"/>
  <c r="E84" i="1" a="1"/>
  <c r="D84" i="1" a="1"/>
  <c r="L83" i="1"/>
  <c r="E83" i="1" a="1"/>
  <c r="D83" i="1" a="1"/>
  <c r="E82" i="1" a="1"/>
  <c r="D82" i="1" a="1"/>
  <c r="E81" i="1" a="1"/>
  <c r="D81" i="1" a="1"/>
  <c r="D80" i="1" a="1"/>
  <c r="E79" i="1" a="1"/>
  <c r="D79" i="1" a="1"/>
  <c r="E78" i="1" a="1"/>
  <c r="D78" i="1" a="1"/>
  <c r="E77" i="1" a="1"/>
  <c r="D77" i="1" a="1"/>
  <c r="D76" i="1" a="1"/>
  <c r="E75" i="1" a="1"/>
  <c r="D75" i="1" a="1"/>
  <c r="K74" i="1"/>
  <c r="E74" i="1" a="1"/>
  <c r="D74" i="1" a="1"/>
  <c r="E73" i="1" a="1"/>
  <c r="D73" i="1" a="1"/>
  <c r="E72" i="1" a="1"/>
  <c r="D72" i="1" a="1"/>
  <c r="E71" i="1" a="1"/>
  <c r="D71" i="1" a="1"/>
  <c r="E70" i="1" a="1"/>
  <c r="D70" i="1" a="1"/>
  <c r="K69" i="1"/>
  <c r="E69" i="1" a="1"/>
  <c r="D69" i="1" a="1"/>
  <c r="D68" i="1" a="1"/>
  <c r="E67" i="1" a="1"/>
  <c r="D67" i="1" a="1"/>
  <c r="E66" i="1" a="1"/>
  <c r="D66" i="1" a="1"/>
  <c r="E65" i="1" a="1"/>
  <c r="D65" i="1" a="1"/>
  <c r="E64" i="1" a="1"/>
  <c r="D64" i="1" a="1"/>
  <c r="E63" i="1" a="1"/>
  <c r="D63" i="1" a="1"/>
  <c r="E62" i="1" a="1"/>
  <c r="D62" i="1" a="1"/>
  <c r="E61" i="1" a="1"/>
  <c r="D61" i="1" a="1"/>
  <c r="E60" i="1" a="1"/>
  <c r="D60" i="1" a="1"/>
  <c r="E59" i="1" a="1"/>
  <c r="D59" i="1" a="1"/>
  <c r="E58" i="1" a="1"/>
  <c r="D58" i="1" a="1"/>
  <c r="E57" i="1" a="1"/>
  <c r="D57" i="1" a="1"/>
  <c r="E56" i="1" a="1"/>
  <c r="D56" i="1" a="1"/>
  <c r="E55" i="1" a="1"/>
  <c r="D55" i="1" a="1"/>
  <c r="E54" i="1" a="1"/>
  <c r="D54" i="1" a="1"/>
  <c r="E53" i="1" a="1"/>
  <c r="D53" i="1" a="1"/>
  <c r="E52" i="1" a="1"/>
  <c r="D52" i="1" a="1"/>
  <c r="E51" i="1" a="1"/>
  <c r="D51" i="1" a="1"/>
  <c r="E50" i="1" a="1"/>
  <c r="D50" i="1" a="1"/>
  <c r="E49" i="1" a="1"/>
  <c r="D49" i="1" a="1"/>
  <c r="E48" i="1" a="1"/>
  <c r="D48" i="1" a="1"/>
  <c r="E47" i="1" a="1"/>
  <c r="D47" i="1" a="1"/>
  <c r="D46" i="1" a="1"/>
  <c r="E45" i="1" a="1"/>
  <c r="D45" i="1" a="1"/>
  <c r="E44" i="1" a="1"/>
  <c r="D44" i="1" a="1"/>
  <c r="E43" i="1" a="1"/>
  <c r="D43" i="1" a="1"/>
  <c r="E42" i="1" a="1"/>
  <c r="D42" i="1" a="1"/>
  <c r="E41" i="1" a="1"/>
  <c r="D41" i="1" a="1"/>
  <c r="E40" i="1" a="1"/>
  <c r="D40" i="1" a="1"/>
  <c r="E39" i="1" a="1"/>
  <c r="D39" i="1" a="1"/>
  <c r="E38" i="1" a="1"/>
  <c r="D38" i="1" a="1"/>
  <c r="D37" i="1" a="1"/>
  <c r="E36" i="1" a="1"/>
  <c r="D36" i="1" a="1"/>
  <c r="E35" i="1" a="1"/>
  <c r="D35" i="1" a="1"/>
  <c r="E34" i="1" a="1"/>
  <c r="D34" i="1" a="1"/>
  <c r="E33" i="1" a="1"/>
  <c r="D33" i="1" a="1"/>
  <c r="E32" i="1" a="1"/>
  <c r="D32" i="1" a="1"/>
  <c r="E31" i="1" a="1"/>
  <c r="D31" i="1" a="1"/>
  <c r="E30" i="1" a="1"/>
  <c r="D30" i="1" a="1"/>
  <c r="E29" i="1" a="1"/>
  <c r="D29" i="1" a="1"/>
  <c r="E28" i="1" a="1"/>
  <c r="D28" i="1" a="1"/>
  <c r="D27" i="1" a="1"/>
  <c r="E26" i="1" a="1"/>
  <c r="D26" i="1" a="1"/>
  <c r="E25" i="1" a="1"/>
  <c r="D25" i="1" a="1"/>
  <c r="E24" i="1" a="1"/>
  <c r="D24" i="1" a="1"/>
  <c r="E23" i="1" a="1"/>
  <c r="D23" i="1" a="1"/>
  <c r="E22" i="1" a="1"/>
  <c r="D22" i="1" a="1"/>
  <c r="E21" i="1" a="1"/>
  <c r="D21" i="1" a="1"/>
  <c r="E20" i="1" a="1"/>
  <c r="D20" i="1" a="1"/>
  <c r="E19" i="1" a="1"/>
  <c r="D19" i="1" a="1"/>
  <c r="E18" i="1" a="1"/>
  <c r="D18" i="1" a="1"/>
  <c r="E17" i="1" a="1"/>
  <c r="D17" i="1" a="1"/>
  <c r="E16" i="1" a="1"/>
  <c r="D16" i="1" a="1"/>
  <c r="E15" i="1" a="1"/>
  <c r="D15" i="1" a="1"/>
  <c r="E14" i="1" a="1"/>
  <c r="D14" i="1" a="1"/>
  <c r="E13" i="1" a="1"/>
  <c r="D13" i="1" a="1"/>
  <c r="E12" i="1" a="1"/>
  <c r="D12" i="1" a="1"/>
  <c r="E11" i="1" a="1"/>
  <c r="D11" i="1" a="1"/>
  <c r="E10" i="1" a="1"/>
  <c r="D10" i="1" a="1"/>
  <c r="E9" i="1" a="1"/>
  <c r="D9" i="1" a="1"/>
  <c r="E8" i="1" a="1"/>
  <c r="D8" i="1" a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E7" i="1" a="1"/>
  <c r="D7" i="1" a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E6" i="1" a="1"/>
  <c r="D6" i="1" a="1"/>
  <c r="B950" i="1" l="1"/>
  <c r="A950" i="1"/>
  <c r="B948" i="1"/>
  <c r="A948" i="1"/>
  <c r="A480" i="1"/>
  <c r="B480" i="1"/>
  <c r="A479" i="1"/>
  <c r="B479" i="1"/>
  <c r="A478" i="1"/>
  <c r="B478" i="1"/>
  <c r="B477" i="1"/>
  <c r="A477" i="1"/>
  <c r="B476" i="1"/>
  <c r="A476" i="1"/>
  <c r="B475" i="1"/>
  <c r="A475" i="1"/>
  <c r="B474" i="1"/>
  <c r="A474" i="1"/>
  <c r="A473" i="1"/>
  <c r="B473" i="1"/>
  <c r="A472" i="1"/>
  <c r="B472" i="1"/>
  <c r="A471" i="1"/>
  <c r="B471" i="1"/>
  <c r="B470" i="1"/>
  <c r="A470" i="1"/>
  <c r="B469" i="1"/>
  <c r="A469" i="1"/>
  <c r="B468" i="1"/>
  <c r="A468" i="1"/>
  <c r="B467" i="1"/>
  <c r="A467" i="1"/>
  <c r="A466" i="1"/>
  <c r="B466" i="1"/>
  <c r="B465" i="1"/>
  <c r="A465" i="1"/>
  <c r="B464" i="1"/>
  <c r="A464" i="1"/>
  <c r="A463" i="1"/>
  <c r="B463" i="1"/>
  <c r="B462" i="1"/>
  <c r="A462" i="1"/>
  <c r="A461" i="1"/>
  <c r="B461" i="1"/>
  <c r="A460" i="1"/>
  <c r="B460" i="1"/>
  <c r="A459" i="1"/>
  <c r="B459" i="1"/>
  <c r="B458" i="1"/>
  <c r="A458" i="1"/>
  <c r="A457" i="1"/>
  <c r="B457" i="1"/>
  <c r="B456" i="1"/>
  <c r="A456" i="1"/>
  <c r="A455" i="1"/>
  <c r="B455" i="1"/>
  <c r="A454" i="1"/>
  <c r="B454" i="1"/>
  <c r="A453" i="1"/>
  <c r="B453" i="1"/>
  <c r="B452" i="1"/>
  <c r="A452" i="1"/>
  <c r="A451" i="1"/>
  <c r="B451" i="1"/>
  <c r="A450" i="1"/>
  <c r="B450" i="1"/>
  <c r="B449" i="1"/>
  <c r="A449" i="1"/>
  <c r="B448" i="1"/>
  <c r="A448" i="1"/>
  <c r="A447" i="1"/>
  <c r="B447" i="1"/>
  <c r="B446" i="1"/>
  <c r="A446" i="1"/>
  <c r="B445" i="1"/>
  <c r="A445" i="1"/>
  <c r="A444" i="1"/>
  <c r="B444" i="1"/>
  <c r="A443" i="1"/>
  <c r="B443" i="1"/>
  <c r="A442" i="1"/>
  <c r="B442" i="1"/>
  <c r="B441" i="1"/>
  <c r="A441" i="1"/>
  <c r="A440" i="1"/>
  <c r="B440" i="1"/>
  <c r="B439" i="1"/>
  <c r="A439" i="1"/>
  <c r="B438" i="1"/>
  <c r="A438" i="1"/>
  <c r="A437" i="1"/>
  <c r="B437" i="1"/>
  <c r="A436" i="1"/>
  <c r="B436" i="1"/>
  <c r="A435" i="1"/>
  <c r="B435" i="1"/>
  <c r="A434" i="1"/>
  <c r="B434" i="1"/>
  <c r="A433" i="1"/>
  <c r="B433" i="1"/>
  <c r="A432" i="1"/>
  <c r="B432" i="1"/>
  <c r="A431" i="1"/>
  <c r="B431" i="1"/>
  <c r="A430" i="1"/>
  <c r="B430" i="1"/>
  <c r="B429" i="1"/>
  <c r="A429" i="1"/>
  <c r="A428" i="1"/>
  <c r="B428" i="1"/>
  <c r="B427" i="1"/>
  <c r="A427" i="1"/>
  <c r="B426" i="1"/>
  <c r="A426" i="1"/>
  <c r="B425" i="1"/>
  <c r="A425" i="1"/>
  <c r="A424" i="1"/>
  <c r="B424" i="1"/>
  <c r="A423" i="1"/>
  <c r="B423" i="1"/>
  <c r="A422" i="1"/>
  <c r="B422" i="1"/>
  <c r="B421" i="1"/>
  <c r="A421" i="1"/>
  <c r="A420" i="1"/>
  <c r="B420" i="1"/>
  <c r="A419" i="1"/>
  <c r="B419" i="1"/>
  <c r="B418" i="1"/>
  <c r="A418" i="1"/>
  <c r="A417" i="1"/>
  <c r="B417" i="1"/>
  <c r="B416" i="1"/>
  <c r="A416" i="1"/>
  <c r="A415" i="1"/>
  <c r="B415" i="1"/>
  <c r="A414" i="1"/>
  <c r="B414" i="1"/>
  <c r="A413" i="1"/>
  <c r="B413" i="1"/>
  <c r="B412" i="1"/>
  <c r="A412" i="1"/>
  <c r="B411" i="1"/>
  <c r="A411" i="1"/>
  <c r="A410" i="1"/>
  <c r="B410" i="1"/>
  <c r="B409" i="1"/>
  <c r="A409" i="1"/>
  <c r="B408" i="1"/>
  <c r="A408" i="1"/>
  <c r="A407" i="1"/>
  <c r="B407" i="1"/>
  <c r="A406" i="1"/>
  <c r="B406" i="1"/>
  <c r="B405" i="1"/>
  <c r="A405" i="1"/>
  <c r="B404" i="1"/>
  <c r="A404" i="1"/>
  <c r="B403" i="1"/>
  <c r="A403" i="1"/>
  <c r="B123" i="1"/>
  <c r="A123" i="1"/>
  <c r="B122" i="1"/>
  <c r="A122" i="1"/>
  <c r="F1000" i="1"/>
  <c r="G1000" i="1" s="1"/>
  <c r="H999" i="1"/>
  <c r="I999" i="1" s="1"/>
  <c r="F999" i="1"/>
  <c r="G999" i="1" s="1"/>
  <c r="H998" i="1"/>
  <c r="I998" i="1" s="1"/>
  <c r="F998" i="1"/>
  <c r="G998" i="1" s="1"/>
  <c r="H997" i="1"/>
  <c r="I997" i="1" s="1"/>
  <c r="F997" i="1"/>
  <c r="G997" i="1" s="1"/>
  <c r="H996" i="1"/>
  <c r="I996" i="1" s="1"/>
  <c r="F996" i="1"/>
  <c r="G996" i="1" s="1"/>
  <c r="A996" i="1"/>
  <c r="B996" i="1"/>
  <c r="F995" i="1"/>
  <c r="G995" i="1" s="1"/>
  <c r="H995" i="1"/>
  <c r="I995" i="1" s="1"/>
  <c r="A995" i="1"/>
  <c r="B995" i="1"/>
  <c r="F994" i="1"/>
  <c r="G994" i="1" s="1"/>
  <c r="H994" i="1"/>
  <c r="I994" i="1" s="1"/>
  <c r="A994" i="1"/>
  <c r="B994" i="1"/>
  <c r="H993" i="1"/>
  <c r="I993" i="1" s="1"/>
  <c r="F993" i="1"/>
  <c r="G993" i="1" s="1"/>
  <c r="B993" i="1"/>
  <c r="A993" i="1"/>
  <c r="H992" i="1"/>
  <c r="I992" i="1" s="1"/>
  <c r="F992" i="1"/>
  <c r="G992" i="1" s="1"/>
  <c r="A992" i="1"/>
  <c r="B992" i="1"/>
  <c r="H991" i="1"/>
  <c r="I991" i="1" s="1"/>
  <c r="F991" i="1"/>
  <c r="G991" i="1" s="1"/>
  <c r="A991" i="1"/>
  <c r="B991" i="1"/>
  <c r="F990" i="1"/>
  <c r="G990" i="1" s="1"/>
  <c r="H990" i="1"/>
  <c r="I990" i="1" s="1"/>
  <c r="A990" i="1"/>
  <c r="B990" i="1"/>
  <c r="F989" i="1"/>
  <c r="G989" i="1" s="1"/>
  <c r="H989" i="1"/>
  <c r="I989" i="1" s="1"/>
  <c r="A989" i="1"/>
  <c r="B989" i="1"/>
  <c r="H988" i="1"/>
  <c r="I988" i="1" s="1"/>
  <c r="F988" i="1"/>
  <c r="G988" i="1" s="1"/>
  <c r="B988" i="1"/>
  <c r="A988" i="1"/>
  <c r="F987" i="1"/>
  <c r="G987" i="1" s="1"/>
  <c r="H987" i="1"/>
  <c r="I987" i="1" s="1"/>
  <c r="B987" i="1"/>
  <c r="A987" i="1"/>
  <c r="H986" i="1"/>
  <c r="I986" i="1" s="1"/>
  <c r="F986" i="1"/>
  <c r="G986" i="1" s="1"/>
  <c r="B986" i="1"/>
  <c r="A986" i="1"/>
  <c r="H985" i="1"/>
  <c r="I985" i="1" s="1"/>
  <c r="F985" i="1"/>
  <c r="G985" i="1" s="1"/>
  <c r="A985" i="1"/>
  <c r="B985" i="1"/>
  <c r="H984" i="1"/>
  <c r="I984" i="1" s="1"/>
  <c r="F984" i="1"/>
  <c r="G984" i="1" s="1"/>
  <c r="B984" i="1"/>
  <c r="A984" i="1"/>
  <c r="H983" i="1"/>
  <c r="I983" i="1" s="1"/>
  <c r="F983" i="1"/>
  <c r="G983" i="1" s="1"/>
  <c r="B983" i="1"/>
  <c r="A983" i="1"/>
  <c r="F982" i="1"/>
  <c r="G982" i="1" s="1"/>
  <c r="H982" i="1"/>
  <c r="I982" i="1" s="1"/>
  <c r="A982" i="1"/>
  <c r="B982" i="1"/>
  <c r="H981" i="1"/>
  <c r="I981" i="1" s="1"/>
  <c r="F981" i="1"/>
  <c r="G981" i="1" s="1"/>
  <c r="B981" i="1"/>
  <c r="A981" i="1"/>
  <c r="H980" i="1"/>
  <c r="I980" i="1" s="1"/>
  <c r="F980" i="1"/>
  <c r="G980" i="1" s="1"/>
  <c r="B980" i="1"/>
  <c r="A980" i="1"/>
  <c r="H979" i="1"/>
  <c r="I979" i="1" s="1"/>
  <c r="F979" i="1"/>
  <c r="G979" i="1" s="1"/>
  <c r="B979" i="1"/>
  <c r="A979" i="1"/>
  <c r="H978" i="1"/>
  <c r="I978" i="1" s="1"/>
  <c r="F978" i="1"/>
  <c r="G978" i="1" s="1"/>
  <c r="A978" i="1"/>
  <c r="B978" i="1"/>
  <c r="F977" i="1"/>
  <c r="G977" i="1" s="1"/>
  <c r="H977" i="1"/>
  <c r="I977" i="1" s="1"/>
  <c r="A977" i="1"/>
  <c r="B977" i="1"/>
  <c r="F976" i="1"/>
  <c r="G976" i="1" s="1"/>
  <c r="H976" i="1"/>
  <c r="I976" i="1" s="1"/>
  <c r="B976" i="1"/>
  <c r="A976" i="1"/>
  <c r="H975" i="1"/>
  <c r="I975" i="1" s="1"/>
  <c r="F975" i="1"/>
  <c r="G975" i="1" s="1"/>
  <c r="B975" i="1"/>
  <c r="A975" i="1"/>
  <c r="F974" i="1"/>
  <c r="G974" i="1" s="1"/>
  <c r="H974" i="1"/>
  <c r="I974" i="1" s="1"/>
  <c r="A974" i="1"/>
  <c r="B974" i="1"/>
  <c r="H973" i="1"/>
  <c r="I973" i="1" s="1"/>
  <c r="F973" i="1"/>
  <c r="G973" i="1" s="1"/>
  <c r="A973" i="1"/>
  <c r="B973" i="1"/>
  <c r="F972" i="1"/>
  <c r="G972" i="1" s="1"/>
  <c r="H972" i="1"/>
  <c r="I972" i="1" s="1"/>
  <c r="B972" i="1"/>
  <c r="A972" i="1"/>
  <c r="H971" i="1"/>
  <c r="I971" i="1" s="1"/>
  <c r="F971" i="1"/>
  <c r="G971" i="1" s="1"/>
  <c r="B971" i="1"/>
  <c r="A971" i="1"/>
  <c r="H970" i="1"/>
  <c r="I970" i="1" s="1"/>
  <c r="F970" i="1"/>
  <c r="G970" i="1" s="1"/>
  <c r="A970" i="1"/>
  <c r="B970" i="1"/>
  <c r="F969" i="1"/>
  <c r="G969" i="1" s="1"/>
  <c r="H969" i="1"/>
  <c r="I969" i="1" s="1"/>
  <c r="B969" i="1"/>
  <c r="A969" i="1"/>
  <c r="H968" i="1"/>
  <c r="I968" i="1" s="1"/>
  <c r="F968" i="1"/>
  <c r="G968" i="1" s="1"/>
  <c r="B968" i="1"/>
  <c r="A968" i="1"/>
  <c r="F967" i="1"/>
  <c r="G967" i="1" s="1"/>
  <c r="H967" i="1"/>
  <c r="I967" i="1" s="1"/>
  <c r="A967" i="1"/>
  <c r="B967" i="1"/>
  <c r="F966" i="1"/>
  <c r="G966" i="1" s="1"/>
  <c r="H966" i="1"/>
  <c r="I966" i="1" s="1"/>
  <c r="B966" i="1"/>
  <c r="A966" i="1"/>
  <c r="F965" i="1"/>
  <c r="G965" i="1" s="1"/>
  <c r="H965" i="1"/>
  <c r="I965" i="1" s="1"/>
  <c r="A965" i="1"/>
  <c r="B965" i="1"/>
  <c r="F964" i="1"/>
  <c r="G964" i="1" s="1"/>
  <c r="H964" i="1"/>
  <c r="I964" i="1" s="1"/>
  <c r="A964" i="1"/>
  <c r="B964" i="1"/>
  <c r="F963" i="1"/>
  <c r="G963" i="1" s="1"/>
  <c r="H963" i="1"/>
  <c r="I963" i="1" s="1"/>
  <c r="B963" i="1"/>
  <c r="A963" i="1"/>
  <c r="H962" i="1"/>
  <c r="I962" i="1" s="1"/>
  <c r="F962" i="1"/>
  <c r="G962" i="1" s="1"/>
  <c r="A962" i="1"/>
  <c r="B962" i="1"/>
  <c r="H961" i="1"/>
  <c r="I961" i="1" s="1"/>
  <c r="F961" i="1"/>
  <c r="G961" i="1" s="1"/>
  <c r="B961" i="1"/>
  <c r="A961" i="1"/>
  <c r="H960" i="1"/>
  <c r="I960" i="1" s="1"/>
  <c r="F960" i="1"/>
  <c r="G960" i="1" s="1"/>
  <c r="B960" i="1"/>
  <c r="A960" i="1"/>
  <c r="F959" i="1"/>
  <c r="G959" i="1" s="1"/>
  <c r="H959" i="1"/>
  <c r="I959" i="1" s="1"/>
  <c r="B959" i="1"/>
  <c r="A959" i="1"/>
  <c r="F958" i="1"/>
  <c r="G958" i="1" s="1"/>
  <c r="H958" i="1"/>
  <c r="I958" i="1" s="1"/>
  <c r="B958" i="1"/>
  <c r="A958" i="1"/>
  <c r="F957" i="1"/>
  <c r="G957" i="1" s="1"/>
  <c r="H957" i="1"/>
  <c r="I957" i="1" s="1"/>
  <c r="A957" i="1"/>
  <c r="B957" i="1"/>
  <c r="F956" i="1"/>
  <c r="G956" i="1" s="1"/>
  <c r="H956" i="1"/>
  <c r="I956" i="1" s="1"/>
  <c r="A956" i="1"/>
  <c r="B956" i="1"/>
  <c r="H955" i="1"/>
  <c r="I955" i="1" s="1"/>
  <c r="F955" i="1"/>
  <c r="G955" i="1" s="1"/>
  <c r="B955" i="1"/>
  <c r="A955" i="1"/>
  <c r="F954" i="1"/>
  <c r="G954" i="1" s="1"/>
  <c r="H954" i="1"/>
  <c r="I954" i="1" s="1"/>
  <c r="B954" i="1"/>
  <c r="A954" i="1"/>
  <c r="H953" i="1"/>
  <c r="I953" i="1" s="1"/>
  <c r="F953" i="1"/>
  <c r="G953" i="1" s="1"/>
  <c r="A953" i="1"/>
  <c r="B953" i="1"/>
  <c r="H952" i="1"/>
  <c r="I952" i="1" s="1"/>
  <c r="F952" i="1"/>
  <c r="G952" i="1" s="1"/>
  <c r="A952" i="1"/>
  <c r="B952" i="1"/>
  <c r="H951" i="1"/>
  <c r="I951" i="1" s="1"/>
  <c r="F951" i="1"/>
  <c r="G951" i="1" s="1"/>
  <c r="A951" i="1"/>
  <c r="B951" i="1"/>
  <c r="H950" i="1"/>
  <c r="I950" i="1" s="1"/>
  <c r="F950" i="1"/>
  <c r="G950" i="1" s="1"/>
  <c r="H949" i="1"/>
  <c r="I949" i="1" s="1"/>
  <c r="F949" i="1"/>
  <c r="G949" i="1" s="1"/>
  <c r="A949" i="1"/>
  <c r="B949" i="1"/>
  <c r="H948" i="1"/>
  <c r="I948" i="1" s="1"/>
  <c r="F948" i="1"/>
  <c r="G948" i="1" s="1"/>
  <c r="H947" i="1"/>
  <c r="I947" i="1" s="1"/>
  <c r="F947" i="1"/>
  <c r="G947" i="1" s="1"/>
  <c r="B947" i="1"/>
  <c r="A947" i="1"/>
  <c r="H946" i="1"/>
  <c r="I946" i="1" s="1"/>
  <c r="F946" i="1"/>
  <c r="G946" i="1" s="1"/>
  <c r="A946" i="1"/>
  <c r="B946" i="1"/>
  <c r="H945" i="1"/>
  <c r="I945" i="1" s="1"/>
  <c r="F945" i="1"/>
  <c r="G945" i="1" s="1"/>
  <c r="B945" i="1"/>
  <c r="A945" i="1"/>
  <c r="F944" i="1"/>
  <c r="G944" i="1" s="1"/>
  <c r="H944" i="1"/>
  <c r="I944" i="1" s="1"/>
  <c r="A944" i="1"/>
  <c r="B944" i="1"/>
  <c r="H943" i="1"/>
  <c r="I943" i="1" s="1"/>
  <c r="F943" i="1"/>
  <c r="G943" i="1" s="1"/>
  <c r="A943" i="1"/>
  <c r="B943" i="1"/>
  <c r="F942" i="1"/>
  <c r="G942" i="1" s="1"/>
  <c r="H942" i="1"/>
  <c r="I942" i="1" s="1"/>
  <c r="B942" i="1"/>
  <c r="A942" i="1"/>
  <c r="H941" i="1"/>
  <c r="I941" i="1" s="1"/>
  <c r="F941" i="1"/>
  <c r="G941" i="1" s="1"/>
  <c r="B941" i="1"/>
  <c r="A941" i="1"/>
  <c r="F940" i="1"/>
  <c r="G940" i="1" s="1"/>
  <c r="H940" i="1"/>
  <c r="I940" i="1" s="1"/>
  <c r="A940" i="1"/>
  <c r="B940" i="1"/>
  <c r="F939" i="1"/>
  <c r="G939" i="1" s="1"/>
  <c r="H939" i="1"/>
  <c r="I939" i="1" s="1"/>
  <c r="B939" i="1"/>
  <c r="A939" i="1"/>
  <c r="F938" i="1"/>
  <c r="G938" i="1" s="1"/>
  <c r="H938" i="1"/>
  <c r="I938" i="1" s="1"/>
  <c r="B938" i="1"/>
  <c r="A938" i="1"/>
  <c r="F937" i="1"/>
  <c r="G937" i="1" s="1"/>
  <c r="H937" i="1"/>
  <c r="I937" i="1" s="1"/>
  <c r="B937" i="1"/>
  <c r="A937" i="1"/>
  <c r="H936" i="1"/>
  <c r="I936" i="1" s="1"/>
  <c r="F936" i="1"/>
  <c r="G936" i="1" s="1"/>
  <c r="B936" i="1"/>
  <c r="A936" i="1"/>
  <c r="H935" i="1"/>
  <c r="I935" i="1" s="1"/>
  <c r="F935" i="1"/>
  <c r="G935" i="1" s="1"/>
  <c r="B935" i="1"/>
  <c r="A935" i="1"/>
  <c r="H934" i="1"/>
  <c r="I934" i="1" s="1"/>
  <c r="F934" i="1"/>
  <c r="G934" i="1" s="1"/>
  <c r="A934" i="1"/>
  <c r="B934" i="1"/>
  <c r="F933" i="1"/>
  <c r="G933" i="1" s="1"/>
  <c r="H933" i="1"/>
  <c r="I933" i="1" s="1"/>
  <c r="A933" i="1"/>
  <c r="B933" i="1"/>
  <c r="F932" i="1"/>
  <c r="G932" i="1" s="1"/>
  <c r="H932" i="1"/>
  <c r="I932" i="1" s="1"/>
  <c r="B932" i="1"/>
  <c r="A932" i="1"/>
  <c r="F931" i="1"/>
  <c r="G931" i="1" s="1"/>
  <c r="H931" i="1"/>
  <c r="I931" i="1" s="1"/>
  <c r="B931" i="1"/>
  <c r="A931" i="1"/>
  <c r="H930" i="1"/>
  <c r="I930" i="1" s="1"/>
  <c r="F930" i="1"/>
  <c r="G930" i="1" s="1"/>
  <c r="A930" i="1"/>
  <c r="B930" i="1"/>
  <c r="H929" i="1"/>
  <c r="I929" i="1" s="1"/>
  <c r="F929" i="1"/>
  <c r="G929" i="1" s="1"/>
  <c r="A929" i="1"/>
  <c r="B929" i="1"/>
  <c r="F928" i="1"/>
  <c r="G928" i="1" s="1"/>
  <c r="H928" i="1"/>
  <c r="I928" i="1" s="1"/>
  <c r="A928" i="1"/>
  <c r="B928" i="1"/>
  <c r="F927" i="1"/>
  <c r="G927" i="1" s="1"/>
  <c r="H927" i="1"/>
  <c r="I927" i="1" s="1"/>
  <c r="B927" i="1"/>
  <c r="A927" i="1"/>
  <c r="F926" i="1"/>
  <c r="G926" i="1" s="1"/>
  <c r="H926" i="1"/>
  <c r="I926" i="1" s="1"/>
  <c r="A926" i="1"/>
  <c r="B926" i="1"/>
  <c r="H925" i="1"/>
  <c r="I925" i="1" s="1"/>
  <c r="F925" i="1"/>
  <c r="G925" i="1" s="1"/>
  <c r="B925" i="1"/>
  <c r="A925" i="1"/>
  <c r="H924" i="1"/>
  <c r="I924" i="1" s="1"/>
  <c r="F924" i="1"/>
  <c r="G924" i="1" s="1"/>
  <c r="A924" i="1"/>
  <c r="B924" i="1"/>
  <c r="F923" i="1"/>
  <c r="G923" i="1" s="1"/>
  <c r="H923" i="1"/>
  <c r="I923" i="1" s="1"/>
  <c r="A923" i="1"/>
  <c r="B923" i="1"/>
  <c r="F922" i="1"/>
  <c r="G922" i="1" s="1"/>
  <c r="H922" i="1"/>
  <c r="I922" i="1" s="1"/>
  <c r="A922" i="1"/>
  <c r="B922" i="1"/>
  <c r="H921" i="1"/>
  <c r="I921" i="1" s="1"/>
  <c r="F921" i="1"/>
  <c r="G921" i="1" s="1"/>
  <c r="A921" i="1"/>
  <c r="B921" i="1"/>
  <c r="F920" i="1"/>
  <c r="G920" i="1" s="1"/>
  <c r="H920" i="1"/>
  <c r="I920" i="1" s="1"/>
  <c r="A920" i="1"/>
  <c r="B920" i="1"/>
  <c r="F919" i="1"/>
  <c r="G919" i="1" s="1"/>
  <c r="H919" i="1"/>
  <c r="I919" i="1" s="1"/>
  <c r="B919" i="1"/>
  <c r="A919" i="1"/>
  <c r="F918" i="1"/>
  <c r="G918" i="1" s="1"/>
  <c r="H918" i="1"/>
  <c r="I918" i="1" s="1"/>
  <c r="B918" i="1"/>
  <c r="A918" i="1"/>
  <c r="H917" i="1"/>
  <c r="I917" i="1" s="1"/>
  <c r="F917" i="1"/>
  <c r="G917" i="1" s="1"/>
  <c r="B917" i="1"/>
  <c r="A917" i="1"/>
  <c r="H916" i="1"/>
  <c r="I916" i="1" s="1"/>
  <c r="F916" i="1"/>
  <c r="G916" i="1" s="1"/>
  <c r="B916" i="1"/>
  <c r="A916" i="1"/>
  <c r="H915" i="1"/>
  <c r="I915" i="1" s="1"/>
  <c r="F915" i="1"/>
  <c r="G915" i="1" s="1"/>
  <c r="A915" i="1"/>
  <c r="B915" i="1"/>
  <c r="F914" i="1"/>
  <c r="G914" i="1" s="1"/>
  <c r="H914" i="1"/>
  <c r="I914" i="1" s="1"/>
  <c r="B914" i="1"/>
  <c r="A914" i="1"/>
  <c r="F913" i="1"/>
  <c r="G913" i="1" s="1"/>
  <c r="H913" i="1"/>
  <c r="I913" i="1" s="1"/>
  <c r="A913" i="1"/>
  <c r="B913" i="1"/>
  <c r="H912" i="1"/>
  <c r="I912" i="1" s="1"/>
  <c r="F912" i="1"/>
  <c r="G912" i="1" s="1"/>
  <c r="A912" i="1"/>
  <c r="B912" i="1"/>
  <c r="F911" i="1"/>
  <c r="G911" i="1" s="1"/>
  <c r="H911" i="1"/>
  <c r="I911" i="1" s="1"/>
  <c r="A911" i="1"/>
  <c r="B911" i="1"/>
  <c r="H910" i="1"/>
  <c r="I910" i="1" s="1"/>
  <c r="F910" i="1"/>
  <c r="G910" i="1" s="1"/>
  <c r="A910" i="1"/>
  <c r="B910" i="1"/>
  <c r="H909" i="1"/>
  <c r="I909" i="1" s="1"/>
  <c r="F909" i="1"/>
  <c r="G909" i="1" s="1"/>
  <c r="A909" i="1"/>
  <c r="B909" i="1"/>
  <c r="F908" i="1"/>
  <c r="G908" i="1" s="1"/>
  <c r="H908" i="1"/>
  <c r="I908" i="1" s="1"/>
  <c r="A908" i="1"/>
  <c r="B908" i="1"/>
  <c r="H907" i="1"/>
  <c r="I907" i="1" s="1"/>
  <c r="F907" i="1"/>
  <c r="G907" i="1" s="1"/>
  <c r="A907" i="1"/>
  <c r="B907" i="1"/>
  <c r="H906" i="1"/>
  <c r="I906" i="1" s="1"/>
  <c r="F906" i="1"/>
  <c r="G906" i="1" s="1"/>
  <c r="B906" i="1"/>
  <c r="A906" i="1"/>
  <c r="H905" i="1"/>
  <c r="I905" i="1" s="1"/>
  <c r="F905" i="1"/>
  <c r="G905" i="1" s="1"/>
  <c r="B905" i="1"/>
  <c r="A905" i="1"/>
  <c r="F904" i="1"/>
  <c r="G904" i="1" s="1"/>
  <c r="H904" i="1"/>
  <c r="I904" i="1" s="1"/>
  <c r="B904" i="1"/>
  <c r="A904" i="1"/>
  <c r="F903" i="1"/>
  <c r="G903" i="1" s="1"/>
  <c r="H903" i="1"/>
  <c r="I903" i="1" s="1"/>
  <c r="A903" i="1"/>
  <c r="B903" i="1"/>
  <c r="H902" i="1"/>
  <c r="I902" i="1" s="1"/>
  <c r="F902" i="1"/>
  <c r="G902" i="1" s="1"/>
  <c r="B902" i="1"/>
  <c r="A902" i="1"/>
  <c r="H901" i="1"/>
  <c r="I901" i="1" s="1"/>
  <c r="F901" i="1"/>
  <c r="G901" i="1" s="1"/>
  <c r="A901" i="1"/>
  <c r="B901" i="1"/>
  <c r="H900" i="1"/>
  <c r="I900" i="1" s="1"/>
  <c r="F900" i="1"/>
  <c r="G900" i="1" s="1"/>
  <c r="B900" i="1"/>
  <c r="A900" i="1"/>
  <c r="F899" i="1"/>
  <c r="G899" i="1" s="1"/>
  <c r="H899" i="1"/>
  <c r="I899" i="1" s="1"/>
  <c r="B899" i="1"/>
  <c r="A899" i="1"/>
  <c r="H898" i="1"/>
  <c r="I898" i="1" s="1"/>
  <c r="F898" i="1"/>
  <c r="G898" i="1" s="1"/>
  <c r="B898" i="1"/>
  <c r="A898" i="1"/>
  <c r="H897" i="1"/>
  <c r="I897" i="1" s="1"/>
  <c r="F897" i="1"/>
  <c r="G897" i="1" s="1"/>
  <c r="A897" i="1"/>
  <c r="B897" i="1"/>
  <c r="F896" i="1"/>
  <c r="G896" i="1" s="1"/>
  <c r="H896" i="1"/>
  <c r="I896" i="1" s="1"/>
  <c r="B896" i="1"/>
  <c r="A896" i="1"/>
  <c r="H895" i="1"/>
  <c r="I895" i="1" s="1"/>
  <c r="F895" i="1"/>
  <c r="G895" i="1" s="1"/>
  <c r="B895" i="1"/>
  <c r="A895" i="1"/>
  <c r="F894" i="1"/>
  <c r="G894" i="1" s="1"/>
  <c r="H894" i="1"/>
  <c r="I894" i="1" s="1"/>
  <c r="A894" i="1"/>
  <c r="B894" i="1"/>
  <c r="H893" i="1"/>
  <c r="I893" i="1" s="1"/>
  <c r="F893" i="1"/>
  <c r="G893" i="1" s="1"/>
  <c r="B893" i="1"/>
  <c r="A893" i="1"/>
  <c r="H892" i="1"/>
  <c r="I892" i="1" s="1"/>
  <c r="F892" i="1"/>
  <c r="G892" i="1" s="1"/>
  <c r="B892" i="1"/>
  <c r="A892" i="1"/>
  <c r="H891" i="1"/>
  <c r="I891" i="1" s="1"/>
  <c r="F891" i="1"/>
  <c r="G891" i="1" s="1"/>
  <c r="B891" i="1"/>
  <c r="A891" i="1"/>
  <c r="F890" i="1"/>
  <c r="G890" i="1" s="1"/>
  <c r="H890" i="1"/>
  <c r="I890" i="1" s="1"/>
  <c r="B890" i="1"/>
  <c r="A890" i="1"/>
  <c r="H889" i="1"/>
  <c r="I889" i="1" s="1"/>
  <c r="F889" i="1"/>
  <c r="G889" i="1" s="1"/>
  <c r="A889" i="1"/>
  <c r="B889" i="1"/>
  <c r="F888" i="1"/>
  <c r="G888" i="1" s="1"/>
  <c r="H888" i="1"/>
  <c r="I888" i="1" s="1"/>
  <c r="A888" i="1"/>
  <c r="B888" i="1"/>
  <c r="H887" i="1"/>
  <c r="I887" i="1" s="1"/>
  <c r="F887" i="1"/>
  <c r="G887" i="1" s="1"/>
  <c r="A887" i="1"/>
  <c r="B887" i="1"/>
  <c r="F886" i="1"/>
  <c r="G886" i="1" s="1"/>
  <c r="H886" i="1"/>
  <c r="I886" i="1" s="1"/>
  <c r="A886" i="1"/>
  <c r="B886" i="1"/>
  <c r="F885" i="1"/>
  <c r="G885" i="1" s="1"/>
  <c r="H885" i="1"/>
  <c r="I885" i="1" s="1"/>
  <c r="A885" i="1"/>
  <c r="B885" i="1"/>
  <c r="H884" i="1"/>
  <c r="I884" i="1" s="1"/>
  <c r="F884" i="1"/>
  <c r="G884" i="1" s="1"/>
  <c r="A884" i="1"/>
  <c r="B884" i="1"/>
  <c r="F883" i="1"/>
  <c r="G883" i="1" s="1"/>
  <c r="H883" i="1"/>
  <c r="I883" i="1" s="1"/>
  <c r="B883" i="1"/>
  <c r="A883" i="1"/>
  <c r="H882" i="1"/>
  <c r="I882" i="1" s="1"/>
  <c r="F882" i="1"/>
  <c r="G882" i="1" s="1"/>
  <c r="A882" i="1"/>
  <c r="B882" i="1"/>
  <c r="H881" i="1"/>
  <c r="I881" i="1" s="1"/>
  <c r="F881" i="1"/>
  <c r="G881" i="1" s="1"/>
  <c r="B881" i="1"/>
  <c r="A881" i="1"/>
  <c r="F880" i="1"/>
  <c r="G880" i="1" s="1"/>
  <c r="H880" i="1"/>
  <c r="I880" i="1" s="1"/>
  <c r="A880" i="1"/>
  <c r="B880" i="1"/>
  <c r="H879" i="1"/>
  <c r="I879" i="1" s="1"/>
  <c r="F879" i="1"/>
  <c r="G879" i="1" s="1"/>
  <c r="A879" i="1"/>
  <c r="B879" i="1"/>
  <c r="H878" i="1"/>
  <c r="I878" i="1" s="1"/>
  <c r="F878" i="1"/>
  <c r="G878" i="1" s="1"/>
  <c r="B878" i="1"/>
  <c r="A878" i="1"/>
  <c r="F877" i="1"/>
  <c r="G877" i="1" s="1"/>
  <c r="H877" i="1"/>
  <c r="I877" i="1" s="1"/>
  <c r="B877" i="1"/>
  <c r="A877" i="1"/>
  <c r="H876" i="1"/>
  <c r="I876" i="1" s="1"/>
  <c r="F876" i="1"/>
  <c r="G876" i="1" s="1"/>
  <c r="A876" i="1"/>
  <c r="B876" i="1"/>
  <c r="H875" i="1"/>
  <c r="I875" i="1" s="1"/>
  <c r="F875" i="1"/>
  <c r="G875" i="1" s="1"/>
  <c r="A875" i="1"/>
  <c r="B875" i="1"/>
  <c r="H874" i="1"/>
  <c r="I874" i="1" s="1"/>
  <c r="F874" i="1"/>
  <c r="G874" i="1" s="1"/>
  <c r="A874" i="1"/>
  <c r="B874" i="1"/>
  <c r="H873" i="1"/>
  <c r="I873" i="1" s="1"/>
  <c r="F873" i="1"/>
  <c r="G873" i="1" s="1"/>
  <c r="A873" i="1"/>
  <c r="B873" i="1"/>
  <c r="F872" i="1"/>
  <c r="G872" i="1" s="1"/>
  <c r="H872" i="1"/>
  <c r="I872" i="1" s="1"/>
  <c r="A872" i="1"/>
  <c r="B872" i="1"/>
  <c r="H871" i="1"/>
  <c r="I871" i="1" s="1"/>
  <c r="F871" i="1"/>
  <c r="G871" i="1" s="1"/>
  <c r="B871" i="1"/>
  <c r="A871" i="1"/>
  <c r="H870" i="1"/>
  <c r="I870" i="1" s="1"/>
  <c r="A870" i="1"/>
  <c r="B870" i="1"/>
  <c r="H869" i="1"/>
  <c r="I869" i="1" s="1"/>
  <c r="F869" i="1"/>
  <c r="G869" i="1" s="1"/>
  <c r="A869" i="1"/>
  <c r="B869" i="1"/>
  <c r="F868" i="1"/>
  <c r="G868" i="1" s="1"/>
  <c r="H868" i="1"/>
  <c r="I868" i="1" s="1"/>
  <c r="A868" i="1"/>
  <c r="B868" i="1"/>
  <c r="H867" i="1"/>
  <c r="I867" i="1" s="1"/>
  <c r="F867" i="1"/>
  <c r="G867" i="1" s="1"/>
  <c r="B867" i="1"/>
  <c r="A867" i="1"/>
  <c r="F866" i="1"/>
  <c r="G866" i="1" s="1"/>
  <c r="H866" i="1"/>
  <c r="I866" i="1" s="1"/>
  <c r="B866" i="1"/>
  <c r="A866" i="1"/>
  <c r="H865" i="1"/>
  <c r="I865" i="1" s="1"/>
  <c r="F865" i="1"/>
  <c r="G865" i="1" s="1"/>
  <c r="A865" i="1"/>
  <c r="B865" i="1"/>
  <c r="H864" i="1"/>
  <c r="I864" i="1" s="1"/>
  <c r="F864" i="1"/>
  <c r="G864" i="1" s="1"/>
  <c r="B864" i="1"/>
  <c r="A864" i="1"/>
  <c r="F863" i="1"/>
  <c r="G863" i="1" s="1"/>
  <c r="H863" i="1"/>
  <c r="I863" i="1" s="1"/>
  <c r="B863" i="1"/>
  <c r="A863" i="1"/>
  <c r="F862" i="1"/>
  <c r="G862" i="1" s="1"/>
  <c r="H862" i="1"/>
  <c r="I862" i="1" s="1"/>
  <c r="B862" i="1"/>
  <c r="A862" i="1"/>
  <c r="F861" i="1"/>
  <c r="G861" i="1" s="1"/>
  <c r="H861" i="1"/>
  <c r="I861" i="1" s="1"/>
  <c r="B861" i="1"/>
  <c r="A861" i="1"/>
  <c r="H860" i="1"/>
  <c r="I860" i="1" s="1"/>
  <c r="F860" i="1"/>
  <c r="G860" i="1" s="1"/>
  <c r="B860" i="1"/>
  <c r="A860" i="1"/>
  <c r="H859" i="1"/>
  <c r="I859" i="1" s="1"/>
  <c r="F859" i="1"/>
  <c r="G859" i="1" s="1"/>
  <c r="B859" i="1"/>
  <c r="A859" i="1"/>
  <c r="F858" i="1"/>
  <c r="G858" i="1" s="1"/>
  <c r="H858" i="1"/>
  <c r="I858" i="1" s="1"/>
  <c r="B858" i="1"/>
  <c r="A858" i="1"/>
  <c r="H857" i="1"/>
  <c r="I857" i="1" s="1"/>
  <c r="F857" i="1"/>
  <c r="G857" i="1" s="1"/>
  <c r="A857" i="1"/>
  <c r="B857" i="1"/>
  <c r="H856" i="1"/>
  <c r="I856" i="1" s="1"/>
  <c r="F856" i="1"/>
  <c r="G856" i="1" s="1"/>
  <c r="A856" i="1"/>
  <c r="B856" i="1"/>
  <c r="F855" i="1"/>
  <c r="G855" i="1" s="1"/>
  <c r="H855" i="1"/>
  <c r="I855" i="1" s="1"/>
  <c r="B855" i="1"/>
  <c r="A855" i="1"/>
  <c r="H854" i="1"/>
  <c r="I854" i="1" s="1"/>
  <c r="F854" i="1"/>
  <c r="G854" i="1" s="1"/>
  <c r="A854" i="1"/>
  <c r="B854" i="1"/>
  <c r="F853" i="1"/>
  <c r="G853" i="1" s="1"/>
  <c r="H853" i="1"/>
  <c r="I853" i="1" s="1"/>
  <c r="B853" i="1"/>
  <c r="A853" i="1"/>
  <c r="F852" i="1"/>
  <c r="G852" i="1" s="1"/>
  <c r="H852" i="1"/>
  <c r="I852" i="1" s="1"/>
  <c r="B852" i="1"/>
  <c r="A852" i="1"/>
  <c r="F851" i="1"/>
  <c r="G851" i="1" s="1"/>
  <c r="H851" i="1"/>
  <c r="I851" i="1" s="1"/>
  <c r="B851" i="1"/>
  <c r="A851" i="1"/>
  <c r="H850" i="1"/>
  <c r="I850" i="1" s="1"/>
  <c r="F850" i="1"/>
  <c r="G850" i="1" s="1"/>
  <c r="A850" i="1"/>
  <c r="B850" i="1"/>
  <c r="H849" i="1"/>
  <c r="I849" i="1" s="1"/>
  <c r="F849" i="1"/>
  <c r="G849" i="1" s="1"/>
  <c r="B849" i="1"/>
  <c r="A849" i="1"/>
  <c r="F848" i="1"/>
  <c r="G848" i="1" s="1"/>
  <c r="H848" i="1"/>
  <c r="I848" i="1" s="1"/>
  <c r="A848" i="1"/>
  <c r="B848" i="1"/>
  <c r="H847" i="1"/>
  <c r="I847" i="1" s="1"/>
  <c r="F847" i="1"/>
  <c r="G847" i="1" s="1"/>
  <c r="B847" i="1"/>
  <c r="A847" i="1"/>
  <c r="H846" i="1"/>
  <c r="I846" i="1" s="1"/>
  <c r="F846" i="1"/>
  <c r="G846" i="1" s="1"/>
  <c r="A846" i="1"/>
  <c r="B846" i="1"/>
  <c r="F845" i="1"/>
  <c r="G845" i="1" s="1"/>
  <c r="H845" i="1"/>
  <c r="I845" i="1" s="1"/>
  <c r="A845" i="1"/>
  <c r="B845" i="1"/>
  <c r="H844" i="1"/>
  <c r="I844" i="1" s="1"/>
  <c r="F844" i="1"/>
  <c r="G844" i="1" s="1"/>
  <c r="A844" i="1"/>
  <c r="B844" i="1"/>
  <c r="H843" i="1"/>
  <c r="I843" i="1" s="1"/>
  <c r="F843" i="1"/>
  <c r="G843" i="1" s="1"/>
  <c r="B843" i="1"/>
  <c r="A843" i="1"/>
  <c r="H842" i="1"/>
  <c r="I842" i="1" s="1"/>
  <c r="F842" i="1"/>
  <c r="G842" i="1" s="1"/>
  <c r="A842" i="1"/>
  <c r="B842" i="1"/>
  <c r="F841" i="1"/>
  <c r="G841" i="1" s="1"/>
  <c r="H841" i="1"/>
  <c r="I841" i="1" s="1"/>
  <c r="B841" i="1"/>
  <c r="A841" i="1"/>
  <c r="F840" i="1"/>
  <c r="G840" i="1" s="1"/>
  <c r="H840" i="1"/>
  <c r="I840" i="1" s="1"/>
  <c r="B840" i="1"/>
  <c r="A840" i="1"/>
  <c r="F839" i="1"/>
  <c r="G839" i="1" s="1"/>
  <c r="H839" i="1"/>
  <c r="I839" i="1" s="1"/>
  <c r="B839" i="1"/>
  <c r="A839" i="1"/>
  <c r="H838" i="1"/>
  <c r="I838" i="1" s="1"/>
  <c r="F838" i="1"/>
  <c r="G838" i="1" s="1"/>
  <c r="B838" i="1"/>
  <c r="A838" i="1"/>
  <c r="F837" i="1"/>
  <c r="G837" i="1" s="1"/>
  <c r="H837" i="1"/>
  <c r="I837" i="1" s="1"/>
  <c r="B837" i="1"/>
  <c r="A837" i="1"/>
  <c r="H836" i="1"/>
  <c r="I836" i="1" s="1"/>
  <c r="F836" i="1"/>
  <c r="G836" i="1" s="1"/>
  <c r="A836" i="1"/>
  <c r="B836" i="1"/>
  <c r="F835" i="1"/>
  <c r="G835" i="1" s="1"/>
  <c r="H835" i="1"/>
  <c r="I835" i="1" s="1"/>
  <c r="B835" i="1"/>
  <c r="A835" i="1"/>
  <c r="H834" i="1"/>
  <c r="I834" i="1" s="1"/>
  <c r="F834" i="1"/>
  <c r="G834" i="1" s="1"/>
  <c r="B834" i="1"/>
  <c r="A834" i="1"/>
  <c r="H833" i="1"/>
  <c r="I833" i="1" s="1"/>
  <c r="F833" i="1"/>
  <c r="G833" i="1" s="1"/>
  <c r="B833" i="1"/>
  <c r="A833" i="1"/>
  <c r="F832" i="1"/>
  <c r="G832" i="1" s="1"/>
  <c r="H832" i="1"/>
  <c r="I832" i="1" s="1"/>
  <c r="B832" i="1"/>
  <c r="A832" i="1"/>
  <c r="H831" i="1"/>
  <c r="I831" i="1" s="1"/>
  <c r="F831" i="1"/>
  <c r="G831" i="1" s="1"/>
  <c r="A831" i="1"/>
  <c r="B831" i="1"/>
  <c r="H830" i="1"/>
  <c r="I830" i="1" s="1"/>
  <c r="F830" i="1"/>
  <c r="G830" i="1" s="1"/>
  <c r="B830" i="1"/>
  <c r="A830" i="1"/>
  <c r="F829" i="1"/>
  <c r="G829" i="1" s="1"/>
  <c r="H829" i="1"/>
  <c r="I829" i="1" s="1"/>
  <c r="A829" i="1"/>
  <c r="B829" i="1"/>
  <c r="F828" i="1"/>
  <c r="G828" i="1" s="1"/>
  <c r="H828" i="1"/>
  <c r="I828" i="1" s="1"/>
  <c r="A828" i="1"/>
  <c r="B828" i="1"/>
  <c r="H827" i="1"/>
  <c r="I827" i="1" s="1"/>
  <c r="F827" i="1"/>
  <c r="G827" i="1" s="1"/>
  <c r="B827" i="1"/>
  <c r="A827" i="1"/>
  <c r="F826" i="1"/>
  <c r="G826" i="1" s="1"/>
  <c r="H826" i="1"/>
  <c r="I826" i="1" s="1"/>
  <c r="A826" i="1"/>
  <c r="B826" i="1"/>
  <c r="H825" i="1"/>
  <c r="I825" i="1" s="1"/>
  <c r="F825" i="1"/>
  <c r="G825" i="1" s="1"/>
  <c r="B825" i="1"/>
  <c r="A825" i="1"/>
  <c r="H824" i="1"/>
  <c r="I824" i="1" s="1"/>
  <c r="F824" i="1"/>
  <c r="G824" i="1" s="1"/>
  <c r="A824" i="1"/>
  <c r="B824" i="1"/>
  <c r="F823" i="1"/>
  <c r="G823" i="1" s="1"/>
  <c r="H823" i="1"/>
  <c r="I823" i="1" s="1"/>
  <c r="A823" i="1"/>
  <c r="B823" i="1"/>
  <c r="F822" i="1"/>
  <c r="G822" i="1" s="1"/>
  <c r="H822" i="1"/>
  <c r="I822" i="1" s="1"/>
  <c r="A822" i="1"/>
  <c r="B822" i="1"/>
  <c r="F821" i="1"/>
  <c r="G821" i="1" s="1"/>
  <c r="H821" i="1"/>
  <c r="I821" i="1" s="1"/>
  <c r="A821" i="1"/>
  <c r="B821" i="1"/>
  <c r="H820" i="1"/>
  <c r="I820" i="1" s="1"/>
  <c r="F820" i="1"/>
  <c r="G820" i="1" s="1"/>
  <c r="B820" i="1"/>
  <c r="A820" i="1"/>
  <c r="H819" i="1"/>
  <c r="I819" i="1" s="1"/>
  <c r="F819" i="1"/>
  <c r="G819" i="1" s="1"/>
  <c r="A819" i="1"/>
  <c r="B819" i="1"/>
  <c r="H818" i="1"/>
  <c r="I818" i="1" s="1"/>
  <c r="F818" i="1"/>
  <c r="G818" i="1" s="1"/>
  <c r="B818" i="1"/>
  <c r="A818" i="1"/>
  <c r="F817" i="1"/>
  <c r="G817" i="1" s="1"/>
  <c r="H817" i="1"/>
  <c r="I817" i="1" s="1"/>
  <c r="A817" i="1"/>
  <c r="B817" i="1"/>
  <c r="H816" i="1"/>
  <c r="I816" i="1" s="1"/>
  <c r="F816" i="1"/>
  <c r="G816" i="1" s="1"/>
  <c r="A816" i="1"/>
  <c r="B816" i="1"/>
  <c r="F815" i="1"/>
  <c r="G815" i="1" s="1"/>
  <c r="H815" i="1"/>
  <c r="I815" i="1" s="1"/>
  <c r="A815" i="1"/>
  <c r="B815" i="1"/>
  <c r="H814" i="1"/>
  <c r="I814" i="1" s="1"/>
  <c r="F814" i="1"/>
  <c r="G814" i="1" s="1"/>
  <c r="B814" i="1"/>
  <c r="A814" i="1"/>
  <c r="H813" i="1"/>
  <c r="I813" i="1" s="1"/>
  <c r="F813" i="1"/>
  <c r="G813" i="1" s="1"/>
  <c r="A813" i="1"/>
  <c r="B813" i="1"/>
  <c r="F812" i="1"/>
  <c r="G812" i="1" s="1"/>
  <c r="H812" i="1"/>
  <c r="I812" i="1" s="1"/>
  <c r="B812" i="1"/>
  <c r="A812" i="1"/>
  <c r="H811" i="1"/>
  <c r="I811" i="1" s="1"/>
  <c r="F811" i="1"/>
  <c r="G811" i="1" s="1"/>
  <c r="B811" i="1"/>
  <c r="A811" i="1"/>
  <c r="F810" i="1"/>
  <c r="G810" i="1" s="1"/>
  <c r="H810" i="1"/>
  <c r="I810" i="1" s="1"/>
  <c r="B810" i="1"/>
  <c r="A810" i="1"/>
  <c r="H809" i="1"/>
  <c r="I809" i="1" s="1"/>
  <c r="F809" i="1"/>
  <c r="G809" i="1" s="1"/>
  <c r="A809" i="1"/>
  <c r="B809" i="1"/>
  <c r="H808" i="1"/>
  <c r="I808" i="1" s="1"/>
  <c r="F808" i="1"/>
  <c r="G808" i="1" s="1"/>
  <c r="B808" i="1"/>
  <c r="A808" i="1"/>
  <c r="H807" i="1"/>
  <c r="I807" i="1" s="1"/>
  <c r="F807" i="1"/>
  <c r="G807" i="1" s="1"/>
  <c r="B807" i="1"/>
  <c r="A807" i="1"/>
  <c r="F806" i="1"/>
  <c r="G806" i="1" s="1"/>
  <c r="H806" i="1"/>
  <c r="I806" i="1" s="1"/>
  <c r="B806" i="1"/>
  <c r="A806" i="1"/>
  <c r="F805" i="1"/>
  <c r="G805" i="1" s="1"/>
  <c r="H805" i="1"/>
  <c r="I805" i="1" s="1"/>
  <c r="B805" i="1"/>
  <c r="A805" i="1"/>
  <c r="H804" i="1"/>
  <c r="I804" i="1" s="1"/>
  <c r="F804" i="1"/>
  <c r="G804" i="1" s="1"/>
  <c r="B804" i="1"/>
  <c r="A804" i="1"/>
  <c r="F803" i="1"/>
  <c r="G803" i="1" s="1"/>
  <c r="H803" i="1"/>
  <c r="I803" i="1" s="1"/>
  <c r="B803" i="1"/>
  <c r="A803" i="1"/>
  <c r="F802" i="1"/>
  <c r="G802" i="1" s="1"/>
  <c r="H802" i="1"/>
  <c r="I802" i="1" s="1"/>
  <c r="A802" i="1"/>
  <c r="B802" i="1"/>
  <c r="H801" i="1"/>
  <c r="I801" i="1" s="1"/>
  <c r="F801" i="1"/>
  <c r="G801" i="1" s="1"/>
  <c r="A801" i="1"/>
  <c r="B801" i="1"/>
  <c r="H800" i="1"/>
  <c r="I800" i="1" s="1"/>
  <c r="F800" i="1"/>
  <c r="G800" i="1" s="1"/>
  <c r="A800" i="1"/>
  <c r="B800" i="1"/>
  <c r="H799" i="1"/>
  <c r="I799" i="1" s="1"/>
  <c r="F799" i="1"/>
  <c r="G799" i="1" s="1"/>
  <c r="A799" i="1"/>
  <c r="B799" i="1"/>
  <c r="H798" i="1"/>
  <c r="I798" i="1" s="1"/>
  <c r="F798" i="1"/>
  <c r="G798" i="1" s="1"/>
  <c r="A798" i="1"/>
  <c r="B798" i="1"/>
  <c r="H797" i="1"/>
  <c r="I797" i="1" s="1"/>
  <c r="F797" i="1"/>
  <c r="G797" i="1" s="1"/>
  <c r="B797" i="1"/>
  <c r="A797" i="1"/>
  <c r="H796" i="1"/>
  <c r="I796" i="1" s="1"/>
  <c r="F796" i="1"/>
  <c r="G796" i="1" s="1"/>
  <c r="B796" i="1"/>
  <c r="A796" i="1"/>
  <c r="H795" i="1"/>
  <c r="I795" i="1" s="1"/>
  <c r="F795" i="1"/>
  <c r="G795" i="1" s="1"/>
  <c r="B795" i="1"/>
  <c r="A795" i="1"/>
  <c r="H794" i="1"/>
  <c r="I794" i="1" s="1"/>
  <c r="F794" i="1"/>
  <c r="G794" i="1" s="1"/>
  <c r="A794" i="1"/>
  <c r="B794" i="1"/>
  <c r="H793" i="1"/>
  <c r="I793" i="1" s="1"/>
  <c r="F793" i="1"/>
  <c r="G793" i="1" s="1"/>
  <c r="B793" i="1"/>
  <c r="A793" i="1"/>
  <c r="F792" i="1"/>
  <c r="G792" i="1" s="1"/>
  <c r="H792" i="1"/>
  <c r="I792" i="1" s="1"/>
  <c r="B792" i="1"/>
  <c r="A792" i="1"/>
  <c r="F791" i="1"/>
  <c r="G791" i="1" s="1"/>
  <c r="H791" i="1"/>
  <c r="I791" i="1" s="1"/>
  <c r="A791" i="1"/>
  <c r="B791" i="1"/>
  <c r="H790" i="1"/>
  <c r="I790" i="1" s="1"/>
  <c r="F790" i="1"/>
  <c r="G790" i="1" s="1"/>
  <c r="B790" i="1"/>
  <c r="A790" i="1"/>
  <c r="H789" i="1"/>
  <c r="I789" i="1" s="1"/>
  <c r="F789" i="1"/>
  <c r="G789" i="1" s="1"/>
  <c r="A789" i="1"/>
  <c r="B789" i="1"/>
  <c r="H788" i="1"/>
  <c r="I788" i="1" s="1"/>
  <c r="F788" i="1"/>
  <c r="G788" i="1" s="1"/>
  <c r="A788" i="1"/>
  <c r="B788" i="1"/>
  <c r="F787" i="1"/>
  <c r="G787" i="1" s="1"/>
  <c r="H787" i="1"/>
  <c r="I787" i="1" s="1"/>
  <c r="B787" i="1"/>
  <c r="A787" i="1"/>
  <c r="H786" i="1"/>
  <c r="I786" i="1" s="1"/>
  <c r="F786" i="1"/>
  <c r="G786" i="1" s="1"/>
  <c r="A786" i="1"/>
  <c r="B786" i="1"/>
  <c r="H785" i="1"/>
  <c r="I785" i="1" s="1"/>
  <c r="F785" i="1"/>
  <c r="G785" i="1" s="1"/>
  <c r="A785" i="1"/>
  <c r="B785" i="1"/>
  <c r="F784" i="1"/>
  <c r="G784" i="1" s="1"/>
  <c r="H784" i="1"/>
  <c r="I784" i="1" s="1"/>
  <c r="A784" i="1"/>
  <c r="B784" i="1"/>
  <c r="F783" i="1"/>
  <c r="G783" i="1" s="1"/>
  <c r="H783" i="1"/>
  <c r="I783" i="1" s="1"/>
  <c r="B783" i="1"/>
  <c r="A783" i="1"/>
  <c r="H782" i="1"/>
  <c r="I782" i="1" s="1"/>
  <c r="F782" i="1"/>
  <c r="G782" i="1" s="1"/>
  <c r="B782" i="1"/>
  <c r="A782" i="1"/>
  <c r="H781" i="1"/>
  <c r="I781" i="1" s="1"/>
  <c r="F781" i="1"/>
  <c r="G781" i="1" s="1"/>
  <c r="B781" i="1"/>
  <c r="A781" i="1"/>
  <c r="H780" i="1"/>
  <c r="I780" i="1" s="1"/>
  <c r="F780" i="1"/>
  <c r="G780" i="1" s="1"/>
  <c r="A780" i="1"/>
  <c r="B780" i="1"/>
  <c r="F779" i="1"/>
  <c r="G779" i="1" s="1"/>
  <c r="H779" i="1"/>
  <c r="I779" i="1" s="1"/>
  <c r="B779" i="1"/>
  <c r="A779" i="1"/>
  <c r="H778" i="1"/>
  <c r="I778" i="1" s="1"/>
  <c r="F778" i="1"/>
  <c r="G778" i="1" s="1"/>
  <c r="B778" i="1"/>
  <c r="A778" i="1"/>
  <c r="H777" i="1"/>
  <c r="I777" i="1" s="1"/>
  <c r="F777" i="1"/>
  <c r="G777" i="1" s="1"/>
  <c r="B777" i="1"/>
  <c r="A777" i="1"/>
  <c r="H776" i="1"/>
  <c r="I776" i="1" s="1"/>
  <c r="F776" i="1"/>
  <c r="G776" i="1" s="1"/>
  <c r="B776" i="1"/>
  <c r="A776" i="1"/>
  <c r="F775" i="1"/>
  <c r="G775" i="1" s="1"/>
  <c r="H775" i="1"/>
  <c r="I775" i="1" s="1"/>
  <c r="A775" i="1"/>
  <c r="B775" i="1"/>
  <c r="F774" i="1"/>
  <c r="G774" i="1" s="1"/>
  <c r="H774" i="1"/>
  <c r="I774" i="1" s="1"/>
  <c r="B774" i="1"/>
  <c r="A774" i="1"/>
  <c r="H773" i="1"/>
  <c r="I773" i="1" s="1"/>
  <c r="F773" i="1"/>
  <c r="G773" i="1" s="1"/>
  <c r="A773" i="1"/>
  <c r="B773" i="1"/>
  <c r="H772" i="1"/>
  <c r="I772" i="1" s="1"/>
  <c r="F772" i="1"/>
  <c r="G772" i="1" s="1"/>
  <c r="B772" i="1"/>
  <c r="A772" i="1"/>
  <c r="F771" i="1"/>
  <c r="G771" i="1" s="1"/>
  <c r="H771" i="1"/>
  <c r="I771" i="1" s="1"/>
  <c r="A771" i="1"/>
  <c r="B771" i="1"/>
  <c r="H770" i="1"/>
  <c r="I770" i="1" s="1"/>
  <c r="F770" i="1"/>
  <c r="G770" i="1" s="1"/>
  <c r="B770" i="1"/>
  <c r="A770" i="1"/>
  <c r="F769" i="1"/>
  <c r="G769" i="1" s="1"/>
  <c r="H769" i="1"/>
  <c r="I769" i="1" s="1"/>
  <c r="B769" i="1"/>
  <c r="A769" i="1"/>
  <c r="F768" i="1"/>
  <c r="G768" i="1" s="1"/>
  <c r="H768" i="1"/>
  <c r="I768" i="1" s="1"/>
  <c r="A768" i="1"/>
  <c r="B768" i="1"/>
  <c r="F767" i="1"/>
  <c r="G767" i="1" s="1"/>
  <c r="H767" i="1"/>
  <c r="I767" i="1" s="1"/>
  <c r="B767" i="1"/>
  <c r="A767" i="1"/>
  <c r="F766" i="1"/>
  <c r="G766" i="1" s="1"/>
  <c r="H766" i="1"/>
  <c r="I766" i="1" s="1"/>
  <c r="A766" i="1"/>
  <c r="B766" i="1"/>
  <c r="F765" i="1"/>
  <c r="G765" i="1" s="1"/>
  <c r="H765" i="1"/>
  <c r="I765" i="1" s="1"/>
  <c r="B765" i="1"/>
  <c r="A765" i="1"/>
  <c r="F764" i="1"/>
  <c r="G764" i="1" s="1"/>
  <c r="H764" i="1"/>
  <c r="I764" i="1" s="1"/>
  <c r="B764" i="1"/>
  <c r="A764" i="1"/>
  <c r="F763" i="1"/>
  <c r="G763" i="1" s="1"/>
  <c r="H763" i="1"/>
  <c r="I763" i="1" s="1"/>
  <c r="B763" i="1"/>
  <c r="A763" i="1"/>
  <c r="F762" i="1"/>
  <c r="G762" i="1" s="1"/>
  <c r="H762" i="1"/>
  <c r="I762" i="1" s="1"/>
  <c r="A762" i="1"/>
  <c r="B762" i="1"/>
  <c r="F761" i="1"/>
  <c r="G761" i="1" s="1"/>
  <c r="H761" i="1"/>
  <c r="I761" i="1" s="1"/>
  <c r="A761" i="1"/>
  <c r="B761" i="1"/>
  <c r="F760" i="1"/>
  <c r="G760" i="1" s="1"/>
  <c r="H760" i="1"/>
  <c r="I760" i="1" s="1"/>
  <c r="A760" i="1"/>
  <c r="B760" i="1"/>
  <c r="H759" i="1"/>
  <c r="I759" i="1" s="1"/>
  <c r="F759" i="1"/>
  <c r="G759" i="1" s="1"/>
  <c r="B759" i="1"/>
  <c r="A759" i="1"/>
  <c r="H758" i="1"/>
  <c r="I758" i="1" s="1"/>
  <c r="F758" i="1"/>
  <c r="G758" i="1" s="1"/>
  <c r="B758" i="1"/>
  <c r="A758" i="1"/>
  <c r="F757" i="1"/>
  <c r="G757" i="1" s="1"/>
  <c r="H757" i="1"/>
  <c r="I757" i="1" s="1"/>
  <c r="B757" i="1"/>
  <c r="A757" i="1"/>
  <c r="H756" i="1"/>
  <c r="I756" i="1" s="1"/>
  <c r="F756" i="1"/>
  <c r="G756" i="1" s="1"/>
  <c r="A756" i="1"/>
  <c r="B756" i="1"/>
  <c r="H755" i="1"/>
  <c r="I755" i="1" s="1"/>
  <c r="F755" i="1"/>
  <c r="G755" i="1" s="1"/>
  <c r="A755" i="1"/>
  <c r="B755" i="1"/>
  <c r="H754" i="1"/>
  <c r="I754" i="1" s="1"/>
  <c r="F754" i="1"/>
  <c r="G754" i="1" s="1"/>
  <c r="B754" i="1"/>
  <c r="A754" i="1"/>
  <c r="H753" i="1"/>
  <c r="I753" i="1" s="1"/>
  <c r="F753" i="1"/>
  <c r="G753" i="1" s="1"/>
  <c r="A753" i="1"/>
  <c r="B753" i="1"/>
  <c r="H752" i="1"/>
  <c r="I752" i="1" s="1"/>
  <c r="F752" i="1"/>
  <c r="G752" i="1" s="1"/>
  <c r="B752" i="1"/>
  <c r="A752" i="1"/>
  <c r="H751" i="1"/>
  <c r="I751" i="1" s="1"/>
  <c r="F751" i="1"/>
  <c r="G751" i="1" s="1"/>
  <c r="A751" i="1"/>
  <c r="B751" i="1"/>
  <c r="H750" i="1"/>
  <c r="I750" i="1" s="1"/>
  <c r="F750" i="1"/>
  <c r="G750" i="1" s="1"/>
  <c r="B750" i="1"/>
  <c r="A750" i="1"/>
  <c r="F749" i="1"/>
  <c r="G749" i="1" s="1"/>
  <c r="H749" i="1"/>
  <c r="I749" i="1" s="1"/>
  <c r="B749" i="1"/>
  <c r="A749" i="1"/>
  <c r="F748" i="1"/>
  <c r="G748" i="1" s="1"/>
  <c r="H748" i="1"/>
  <c r="I748" i="1" s="1"/>
  <c r="A748" i="1"/>
  <c r="B748" i="1"/>
  <c r="H747" i="1"/>
  <c r="I747" i="1" s="1"/>
  <c r="F747" i="1"/>
  <c r="G747" i="1" s="1"/>
  <c r="B747" i="1"/>
  <c r="A747" i="1"/>
  <c r="H746" i="1"/>
  <c r="I746" i="1" s="1"/>
  <c r="F746" i="1"/>
  <c r="G746" i="1" s="1"/>
  <c r="B746" i="1"/>
  <c r="A746" i="1"/>
  <c r="F745" i="1"/>
  <c r="G745" i="1" s="1"/>
  <c r="H745" i="1"/>
  <c r="I745" i="1" s="1"/>
  <c r="A745" i="1"/>
  <c r="B745" i="1"/>
  <c r="F744" i="1"/>
  <c r="G744" i="1" s="1"/>
  <c r="H744" i="1"/>
  <c r="I744" i="1" s="1"/>
  <c r="A744" i="1"/>
  <c r="B744" i="1"/>
  <c r="H743" i="1"/>
  <c r="I743" i="1" s="1"/>
  <c r="F743" i="1"/>
  <c r="G743" i="1" s="1"/>
  <c r="B743" i="1"/>
  <c r="A743" i="1"/>
  <c r="F742" i="1"/>
  <c r="G742" i="1" s="1"/>
  <c r="H742" i="1"/>
  <c r="I742" i="1" s="1"/>
  <c r="A742" i="1"/>
  <c r="B742" i="1"/>
  <c r="H741" i="1"/>
  <c r="I741" i="1" s="1"/>
  <c r="F741" i="1"/>
  <c r="G741" i="1" s="1"/>
  <c r="A741" i="1"/>
  <c r="B741" i="1"/>
  <c r="F740" i="1"/>
  <c r="G740" i="1" s="1"/>
  <c r="H740" i="1"/>
  <c r="I740" i="1" s="1"/>
  <c r="A740" i="1"/>
  <c r="B740" i="1"/>
  <c r="H739" i="1"/>
  <c r="I739" i="1" s="1"/>
  <c r="F739" i="1"/>
  <c r="G739" i="1" s="1"/>
  <c r="A739" i="1"/>
  <c r="B739" i="1"/>
  <c r="F738" i="1"/>
  <c r="G738" i="1" s="1"/>
  <c r="H738" i="1"/>
  <c r="I738" i="1" s="1"/>
  <c r="A738" i="1"/>
  <c r="B738" i="1"/>
  <c r="F737" i="1"/>
  <c r="G737" i="1" s="1"/>
  <c r="H737" i="1"/>
  <c r="I737" i="1" s="1"/>
  <c r="B737" i="1"/>
  <c r="A737" i="1"/>
  <c r="H736" i="1"/>
  <c r="I736" i="1" s="1"/>
  <c r="F736" i="1"/>
  <c r="G736" i="1" s="1"/>
  <c r="A736" i="1"/>
  <c r="B736" i="1"/>
  <c r="F735" i="1"/>
  <c r="G735" i="1" s="1"/>
  <c r="H735" i="1"/>
  <c r="I735" i="1" s="1"/>
  <c r="B735" i="1"/>
  <c r="A735" i="1"/>
  <c r="F734" i="1"/>
  <c r="G734" i="1" s="1"/>
  <c r="H734" i="1"/>
  <c r="I734" i="1" s="1"/>
  <c r="B734" i="1"/>
  <c r="A734" i="1"/>
  <c r="H733" i="1"/>
  <c r="I733" i="1" s="1"/>
  <c r="F733" i="1"/>
  <c r="G733" i="1" s="1"/>
  <c r="B733" i="1"/>
  <c r="A733" i="1"/>
  <c r="H732" i="1"/>
  <c r="I732" i="1" s="1"/>
  <c r="F732" i="1"/>
  <c r="G732" i="1" s="1"/>
  <c r="B732" i="1"/>
  <c r="A732" i="1"/>
  <c r="F731" i="1"/>
  <c r="G731" i="1" s="1"/>
  <c r="H731" i="1"/>
  <c r="I731" i="1" s="1"/>
  <c r="A731" i="1"/>
  <c r="B731" i="1"/>
  <c r="H730" i="1"/>
  <c r="I730" i="1" s="1"/>
  <c r="F730" i="1"/>
  <c r="G730" i="1" s="1"/>
  <c r="A730" i="1"/>
  <c r="B730" i="1"/>
  <c r="H729" i="1"/>
  <c r="I729" i="1" s="1"/>
  <c r="F729" i="1"/>
  <c r="G729" i="1" s="1"/>
  <c r="B729" i="1"/>
  <c r="A729" i="1"/>
  <c r="H728" i="1"/>
  <c r="I728" i="1" s="1"/>
  <c r="F728" i="1"/>
  <c r="G728" i="1" s="1"/>
  <c r="B728" i="1"/>
  <c r="A728" i="1"/>
  <c r="H727" i="1"/>
  <c r="I727" i="1" s="1"/>
  <c r="F727" i="1"/>
  <c r="G727" i="1" s="1"/>
  <c r="A727" i="1"/>
  <c r="B727" i="1"/>
  <c r="H726" i="1"/>
  <c r="I726" i="1" s="1"/>
  <c r="F726" i="1"/>
  <c r="G726" i="1" s="1"/>
  <c r="A726" i="1"/>
  <c r="B726" i="1"/>
  <c r="F725" i="1"/>
  <c r="G725" i="1" s="1"/>
  <c r="H725" i="1"/>
  <c r="I725" i="1" s="1"/>
  <c r="B725" i="1"/>
  <c r="A725" i="1"/>
  <c r="H724" i="1"/>
  <c r="I724" i="1" s="1"/>
  <c r="F724" i="1"/>
  <c r="G724" i="1" s="1"/>
  <c r="B724" i="1"/>
  <c r="A724" i="1"/>
  <c r="F723" i="1"/>
  <c r="G723" i="1" s="1"/>
  <c r="H723" i="1"/>
  <c r="I723" i="1" s="1"/>
  <c r="B723" i="1"/>
  <c r="A723" i="1"/>
  <c r="H722" i="1"/>
  <c r="I722" i="1" s="1"/>
  <c r="F722" i="1"/>
  <c r="G722" i="1" s="1"/>
  <c r="A722" i="1"/>
  <c r="B722" i="1"/>
  <c r="F721" i="1"/>
  <c r="G721" i="1" s="1"/>
  <c r="H721" i="1"/>
  <c r="I721" i="1" s="1"/>
  <c r="B721" i="1"/>
  <c r="A721" i="1"/>
  <c r="F720" i="1"/>
  <c r="G720" i="1" s="1"/>
  <c r="H720" i="1"/>
  <c r="I720" i="1" s="1"/>
  <c r="B720" i="1"/>
  <c r="A720" i="1"/>
  <c r="F719" i="1"/>
  <c r="G719" i="1" s="1"/>
  <c r="H719" i="1"/>
  <c r="I719" i="1" s="1"/>
  <c r="A719" i="1"/>
  <c r="B719" i="1"/>
  <c r="H718" i="1"/>
  <c r="I718" i="1" s="1"/>
  <c r="F718" i="1"/>
  <c r="G718" i="1" s="1"/>
  <c r="B718" i="1"/>
  <c r="A718" i="1"/>
  <c r="F717" i="1"/>
  <c r="G717" i="1" s="1"/>
  <c r="H717" i="1"/>
  <c r="I717" i="1" s="1"/>
  <c r="B717" i="1"/>
  <c r="A717" i="1"/>
  <c r="F716" i="1"/>
  <c r="G716" i="1" s="1"/>
  <c r="H716" i="1"/>
  <c r="I716" i="1" s="1"/>
  <c r="B716" i="1"/>
  <c r="A716" i="1"/>
  <c r="F715" i="1"/>
  <c r="G715" i="1" s="1"/>
  <c r="H715" i="1"/>
  <c r="I715" i="1" s="1"/>
  <c r="A715" i="1"/>
  <c r="B715" i="1"/>
  <c r="F714" i="1"/>
  <c r="G714" i="1" s="1"/>
  <c r="H714" i="1"/>
  <c r="I714" i="1" s="1"/>
  <c r="B714" i="1"/>
  <c r="A714" i="1"/>
  <c r="H713" i="1"/>
  <c r="I713" i="1" s="1"/>
  <c r="F713" i="1"/>
  <c r="G713" i="1" s="1"/>
  <c r="A713" i="1"/>
  <c r="B713" i="1"/>
  <c r="H712" i="1"/>
  <c r="I712" i="1" s="1"/>
  <c r="F712" i="1"/>
  <c r="G712" i="1" s="1"/>
  <c r="A712" i="1"/>
  <c r="B712" i="1"/>
  <c r="F711" i="1"/>
  <c r="G711" i="1" s="1"/>
  <c r="H711" i="1"/>
  <c r="I711" i="1" s="1"/>
  <c r="A711" i="1"/>
  <c r="B711" i="1"/>
  <c r="F710" i="1"/>
  <c r="G710" i="1" s="1"/>
  <c r="H710" i="1"/>
  <c r="I710" i="1" s="1"/>
  <c r="B710" i="1"/>
  <c r="A710" i="1"/>
  <c r="F709" i="1"/>
  <c r="G709" i="1" s="1"/>
  <c r="H709" i="1"/>
  <c r="I709" i="1" s="1"/>
  <c r="B709" i="1"/>
  <c r="A709" i="1"/>
  <c r="H708" i="1"/>
  <c r="I708" i="1" s="1"/>
  <c r="F708" i="1"/>
  <c r="G708" i="1" s="1"/>
  <c r="B708" i="1"/>
  <c r="A708" i="1"/>
  <c r="H707" i="1"/>
  <c r="I707" i="1" s="1"/>
  <c r="F707" i="1"/>
  <c r="G707" i="1" s="1"/>
  <c r="A707" i="1"/>
  <c r="B707" i="1"/>
  <c r="H706" i="1"/>
  <c r="I706" i="1" s="1"/>
  <c r="F706" i="1"/>
  <c r="G706" i="1" s="1"/>
  <c r="A706" i="1"/>
  <c r="B706" i="1"/>
  <c r="H705" i="1"/>
  <c r="I705" i="1" s="1"/>
  <c r="F705" i="1"/>
  <c r="G705" i="1" s="1"/>
  <c r="A705" i="1"/>
  <c r="B705" i="1"/>
  <c r="F704" i="1"/>
  <c r="G704" i="1" s="1"/>
  <c r="H704" i="1"/>
  <c r="I704" i="1" s="1"/>
  <c r="A704" i="1"/>
  <c r="B704" i="1"/>
  <c r="F703" i="1"/>
  <c r="G703" i="1" s="1"/>
  <c r="H703" i="1"/>
  <c r="I703" i="1" s="1"/>
  <c r="A703" i="1"/>
  <c r="B703" i="1"/>
  <c r="F702" i="1"/>
  <c r="G702" i="1" s="1"/>
  <c r="H702" i="1"/>
  <c r="I702" i="1" s="1"/>
  <c r="A702" i="1"/>
  <c r="B702" i="1"/>
  <c r="H701" i="1"/>
  <c r="I701" i="1" s="1"/>
  <c r="F701" i="1"/>
  <c r="G701" i="1" s="1"/>
  <c r="B701" i="1"/>
  <c r="A701" i="1"/>
  <c r="F700" i="1"/>
  <c r="G700" i="1" s="1"/>
  <c r="H700" i="1"/>
  <c r="I700" i="1" s="1"/>
  <c r="B700" i="1"/>
  <c r="A700" i="1"/>
  <c r="H699" i="1"/>
  <c r="I699" i="1" s="1"/>
  <c r="F699" i="1"/>
  <c r="G699" i="1" s="1"/>
  <c r="B699" i="1"/>
  <c r="A699" i="1"/>
  <c r="F698" i="1"/>
  <c r="G698" i="1" s="1"/>
  <c r="H698" i="1"/>
  <c r="I698" i="1" s="1"/>
  <c r="A698" i="1"/>
  <c r="B698" i="1"/>
  <c r="H697" i="1"/>
  <c r="I697" i="1" s="1"/>
  <c r="F697" i="1"/>
  <c r="G697" i="1" s="1"/>
  <c r="B697" i="1"/>
  <c r="A697" i="1"/>
  <c r="H696" i="1"/>
  <c r="I696" i="1" s="1"/>
  <c r="F696" i="1"/>
  <c r="G696" i="1" s="1"/>
  <c r="A696" i="1"/>
  <c r="B696" i="1"/>
  <c r="H695" i="1"/>
  <c r="I695" i="1" s="1"/>
  <c r="F695" i="1"/>
  <c r="G695" i="1" s="1"/>
  <c r="B695" i="1"/>
  <c r="A695" i="1"/>
  <c r="F694" i="1"/>
  <c r="G694" i="1" s="1"/>
  <c r="H694" i="1"/>
  <c r="I694" i="1" s="1"/>
  <c r="A694" i="1"/>
  <c r="B694" i="1"/>
  <c r="H693" i="1"/>
  <c r="I693" i="1" s="1"/>
  <c r="F693" i="1"/>
  <c r="G693" i="1" s="1"/>
  <c r="A693" i="1"/>
  <c r="B693" i="1"/>
  <c r="H692" i="1"/>
  <c r="I692" i="1" s="1"/>
  <c r="F692" i="1"/>
  <c r="G692" i="1" s="1"/>
  <c r="B692" i="1"/>
  <c r="A692" i="1"/>
  <c r="H691" i="1"/>
  <c r="I691" i="1" s="1"/>
  <c r="F691" i="1"/>
  <c r="G691" i="1" s="1"/>
  <c r="B691" i="1"/>
  <c r="A691" i="1"/>
  <c r="H690" i="1"/>
  <c r="I690" i="1" s="1"/>
  <c r="F690" i="1"/>
  <c r="G690" i="1" s="1"/>
  <c r="B690" i="1"/>
  <c r="A690" i="1"/>
  <c r="H689" i="1"/>
  <c r="I689" i="1" s="1"/>
  <c r="F689" i="1"/>
  <c r="G689" i="1" s="1"/>
  <c r="A689" i="1"/>
  <c r="B689" i="1"/>
  <c r="H688" i="1"/>
  <c r="I688" i="1" s="1"/>
  <c r="F688" i="1"/>
  <c r="G688" i="1" s="1"/>
  <c r="B688" i="1"/>
  <c r="A688" i="1"/>
  <c r="F687" i="1"/>
  <c r="G687" i="1" s="1"/>
  <c r="H687" i="1"/>
  <c r="I687" i="1" s="1"/>
  <c r="B687" i="1"/>
  <c r="A687" i="1"/>
  <c r="H686" i="1"/>
  <c r="I686" i="1" s="1"/>
  <c r="F686" i="1"/>
  <c r="G686" i="1" s="1"/>
  <c r="A686" i="1"/>
  <c r="B686" i="1"/>
  <c r="H685" i="1"/>
  <c r="I685" i="1" s="1"/>
  <c r="F685" i="1"/>
  <c r="G685" i="1" s="1"/>
  <c r="B685" i="1"/>
  <c r="A685" i="1"/>
  <c r="F684" i="1"/>
  <c r="G684" i="1" s="1"/>
  <c r="H684" i="1"/>
  <c r="I684" i="1" s="1"/>
  <c r="B684" i="1"/>
  <c r="A684" i="1"/>
  <c r="F683" i="1"/>
  <c r="G683" i="1" s="1"/>
  <c r="H683" i="1"/>
  <c r="I683" i="1" s="1"/>
  <c r="A683" i="1"/>
  <c r="B683" i="1"/>
  <c r="H682" i="1"/>
  <c r="I682" i="1" s="1"/>
  <c r="F682" i="1"/>
  <c r="G682" i="1" s="1"/>
  <c r="B682" i="1"/>
  <c r="A682" i="1"/>
  <c r="H681" i="1"/>
  <c r="I681" i="1" s="1"/>
  <c r="F681" i="1"/>
  <c r="G681" i="1" s="1"/>
  <c r="A681" i="1"/>
  <c r="B681" i="1"/>
  <c r="H680" i="1"/>
  <c r="I680" i="1" s="1"/>
  <c r="F680" i="1"/>
  <c r="G680" i="1" s="1"/>
  <c r="B680" i="1"/>
  <c r="A680" i="1"/>
  <c r="H679" i="1"/>
  <c r="I679" i="1" s="1"/>
  <c r="F679" i="1"/>
  <c r="G679" i="1" s="1"/>
  <c r="A679" i="1"/>
  <c r="B679" i="1"/>
  <c r="H678" i="1"/>
  <c r="I678" i="1" s="1"/>
  <c r="F678" i="1"/>
  <c r="G678" i="1" s="1"/>
  <c r="B678" i="1"/>
  <c r="A678" i="1"/>
  <c r="F677" i="1"/>
  <c r="G677" i="1" s="1"/>
  <c r="H677" i="1"/>
  <c r="I677" i="1" s="1"/>
  <c r="B677" i="1"/>
  <c r="A677" i="1"/>
  <c r="H676" i="1"/>
  <c r="I676" i="1" s="1"/>
  <c r="F676" i="1"/>
  <c r="G676" i="1" s="1"/>
  <c r="B676" i="1"/>
  <c r="A676" i="1"/>
  <c r="F675" i="1"/>
  <c r="G675" i="1" s="1"/>
  <c r="H675" i="1"/>
  <c r="I675" i="1" s="1"/>
  <c r="A675" i="1"/>
  <c r="B675" i="1"/>
  <c r="F674" i="1"/>
  <c r="G674" i="1" s="1"/>
  <c r="H674" i="1"/>
  <c r="I674" i="1" s="1"/>
  <c r="B674" i="1"/>
  <c r="A674" i="1"/>
  <c r="H673" i="1"/>
  <c r="I673" i="1" s="1"/>
  <c r="F673" i="1"/>
  <c r="G673" i="1" s="1"/>
  <c r="B673" i="1"/>
  <c r="A673" i="1"/>
  <c r="H672" i="1"/>
  <c r="I672" i="1" s="1"/>
  <c r="F672" i="1"/>
  <c r="G672" i="1" s="1"/>
  <c r="A672" i="1"/>
  <c r="B672" i="1"/>
  <c r="H671" i="1"/>
  <c r="I671" i="1" s="1"/>
  <c r="F671" i="1"/>
  <c r="G671" i="1" s="1"/>
  <c r="B671" i="1"/>
  <c r="A671" i="1"/>
  <c r="H670" i="1"/>
  <c r="I670" i="1" s="1"/>
  <c r="F670" i="1"/>
  <c r="G670" i="1" s="1"/>
  <c r="A670" i="1"/>
  <c r="B670" i="1"/>
  <c r="H669" i="1"/>
  <c r="I669" i="1" s="1"/>
  <c r="F669" i="1"/>
  <c r="G669" i="1" s="1"/>
  <c r="A669" i="1"/>
  <c r="B669" i="1"/>
  <c r="F668" i="1"/>
  <c r="G668" i="1" s="1"/>
  <c r="H668" i="1"/>
  <c r="I668" i="1" s="1"/>
  <c r="A668" i="1"/>
  <c r="B668" i="1"/>
  <c r="F667" i="1"/>
  <c r="G667" i="1" s="1"/>
  <c r="H667" i="1"/>
  <c r="I667" i="1" s="1"/>
  <c r="A667" i="1"/>
  <c r="B667" i="1"/>
  <c r="H666" i="1"/>
  <c r="I666" i="1" s="1"/>
  <c r="F666" i="1"/>
  <c r="G666" i="1" s="1"/>
  <c r="A666" i="1"/>
  <c r="B666" i="1"/>
  <c r="F665" i="1"/>
  <c r="G665" i="1" s="1"/>
  <c r="H665" i="1"/>
  <c r="I665" i="1" s="1"/>
  <c r="B665" i="1"/>
  <c r="A665" i="1"/>
  <c r="F664" i="1"/>
  <c r="G664" i="1" s="1"/>
  <c r="H664" i="1"/>
  <c r="I664" i="1" s="1"/>
  <c r="B664" i="1"/>
  <c r="A664" i="1"/>
  <c r="F663" i="1"/>
  <c r="G663" i="1" s="1"/>
  <c r="H663" i="1"/>
  <c r="I663" i="1" s="1"/>
  <c r="A663" i="1"/>
  <c r="B663" i="1"/>
  <c r="F662" i="1"/>
  <c r="G662" i="1" s="1"/>
  <c r="H662" i="1"/>
  <c r="I662" i="1" s="1"/>
  <c r="B662" i="1"/>
  <c r="A662" i="1"/>
  <c r="H661" i="1"/>
  <c r="I661" i="1" s="1"/>
  <c r="F661" i="1"/>
  <c r="G661" i="1" s="1"/>
  <c r="A661" i="1"/>
  <c r="B661" i="1"/>
  <c r="H660" i="1"/>
  <c r="I660" i="1" s="1"/>
  <c r="F660" i="1"/>
  <c r="G660" i="1" s="1"/>
  <c r="A660" i="1"/>
  <c r="B660" i="1"/>
  <c r="F659" i="1"/>
  <c r="G659" i="1" s="1"/>
  <c r="H659" i="1"/>
  <c r="I659" i="1" s="1"/>
  <c r="A659" i="1"/>
  <c r="B659" i="1"/>
  <c r="H658" i="1"/>
  <c r="I658" i="1" s="1"/>
  <c r="F658" i="1"/>
  <c r="G658" i="1" s="1"/>
  <c r="B658" i="1"/>
  <c r="A658" i="1"/>
  <c r="H657" i="1"/>
  <c r="I657" i="1" s="1"/>
  <c r="F657" i="1"/>
  <c r="G657" i="1" s="1"/>
  <c r="B657" i="1"/>
  <c r="A657" i="1"/>
  <c r="H656" i="1"/>
  <c r="I656" i="1" s="1"/>
  <c r="F656" i="1"/>
  <c r="G656" i="1" s="1"/>
  <c r="B656" i="1"/>
  <c r="A656" i="1"/>
  <c r="F655" i="1"/>
  <c r="G655" i="1" s="1"/>
  <c r="H655" i="1"/>
  <c r="I655" i="1" s="1"/>
  <c r="B655" i="1"/>
  <c r="A655" i="1"/>
  <c r="H654" i="1"/>
  <c r="I654" i="1" s="1"/>
  <c r="F654" i="1"/>
  <c r="G654" i="1" s="1"/>
  <c r="B654" i="1"/>
  <c r="A654" i="1"/>
  <c r="H653" i="1"/>
  <c r="I653" i="1" s="1"/>
  <c r="F653" i="1"/>
  <c r="G653" i="1" s="1"/>
  <c r="B653" i="1"/>
  <c r="A653" i="1"/>
  <c r="H652" i="1"/>
  <c r="I652" i="1" s="1"/>
  <c r="F652" i="1"/>
  <c r="G652" i="1" s="1"/>
  <c r="A652" i="1"/>
  <c r="B652" i="1"/>
  <c r="F651" i="1"/>
  <c r="G651" i="1" s="1"/>
  <c r="H651" i="1"/>
  <c r="I651" i="1" s="1"/>
  <c r="B651" i="1"/>
  <c r="A651" i="1"/>
  <c r="F650" i="1"/>
  <c r="G650" i="1" s="1"/>
  <c r="H650" i="1"/>
  <c r="I650" i="1" s="1"/>
  <c r="A650" i="1"/>
  <c r="B650" i="1"/>
  <c r="F649" i="1"/>
  <c r="G649" i="1" s="1"/>
  <c r="H649" i="1"/>
  <c r="I649" i="1" s="1"/>
  <c r="A649" i="1"/>
  <c r="B649" i="1"/>
  <c r="H648" i="1"/>
  <c r="I648" i="1" s="1"/>
  <c r="F648" i="1"/>
  <c r="G648" i="1" s="1"/>
  <c r="B648" i="1"/>
  <c r="A648" i="1"/>
  <c r="H647" i="1"/>
  <c r="I647" i="1" s="1"/>
  <c r="F647" i="1"/>
  <c r="G647" i="1" s="1"/>
  <c r="B647" i="1"/>
  <c r="A647" i="1"/>
  <c r="F646" i="1"/>
  <c r="G646" i="1" s="1"/>
  <c r="H646" i="1"/>
  <c r="I646" i="1" s="1"/>
  <c r="B646" i="1"/>
  <c r="A646" i="1"/>
  <c r="H645" i="1"/>
  <c r="I645" i="1" s="1"/>
  <c r="F645" i="1"/>
  <c r="G645" i="1" s="1"/>
  <c r="B645" i="1"/>
  <c r="A645" i="1"/>
  <c r="F644" i="1"/>
  <c r="G644" i="1" s="1"/>
  <c r="H644" i="1"/>
  <c r="I644" i="1" s="1"/>
  <c r="A644" i="1"/>
  <c r="B644" i="1"/>
  <c r="H643" i="1"/>
  <c r="I643" i="1" s="1"/>
  <c r="F643" i="1"/>
  <c r="G643" i="1" s="1"/>
  <c r="B643" i="1"/>
  <c r="A643" i="1"/>
  <c r="H642" i="1"/>
  <c r="I642" i="1" s="1"/>
  <c r="F642" i="1"/>
  <c r="G642" i="1" s="1"/>
  <c r="A642" i="1"/>
  <c r="B642" i="1"/>
  <c r="F641" i="1"/>
  <c r="G641" i="1" s="1"/>
  <c r="H641" i="1"/>
  <c r="I641" i="1" s="1"/>
  <c r="B641" i="1"/>
  <c r="A641" i="1"/>
  <c r="H640" i="1"/>
  <c r="I640" i="1" s="1"/>
  <c r="F640" i="1"/>
  <c r="G640" i="1" s="1"/>
  <c r="A640" i="1"/>
  <c r="B640" i="1"/>
  <c r="F639" i="1"/>
  <c r="G639" i="1" s="1"/>
  <c r="H639" i="1"/>
  <c r="I639" i="1" s="1"/>
  <c r="A639" i="1"/>
  <c r="B639" i="1"/>
  <c r="F638" i="1"/>
  <c r="G638" i="1" s="1"/>
  <c r="H638" i="1"/>
  <c r="I638" i="1" s="1"/>
  <c r="B638" i="1"/>
  <c r="A638" i="1"/>
  <c r="H637" i="1"/>
  <c r="I637" i="1" s="1"/>
  <c r="F637" i="1"/>
  <c r="G637" i="1" s="1"/>
  <c r="B637" i="1"/>
  <c r="A637" i="1"/>
  <c r="H636" i="1"/>
  <c r="I636" i="1" s="1"/>
  <c r="F636" i="1"/>
  <c r="G636" i="1" s="1"/>
  <c r="A636" i="1"/>
  <c r="B636" i="1"/>
  <c r="H635" i="1"/>
  <c r="I635" i="1" s="1"/>
  <c r="F635" i="1"/>
  <c r="G635" i="1" s="1"/>
  <c r="B635" i="1"/>
  <c r="A635" i="1"/>
  <c r="H634" i="1"/>
  <c r="I634" i="1" s="1"/>
  <c r="F634" i="1"/>
  <c r="G634" i="1" s="1"/>
  <c r="B634" i="1"/>
  <c r="A634" i="1"/>
  <c r="H633" i="1"/>
  <c r="I633" i="1" s="1"/>
  <c r="F633" i="1"/>
  <c r="G633" i="1" s="1"/>
  <c r="A633" i="1"/>
  <c r="B633" i="1"/>
  <c r="F632" i="1"/>
  <c r="G632" i="1" s="1"/>
  <c r="H632" i="1"/>
  <c r="I632" i="1" s="1"/>
  <c r="B632" i="1"/>
  <c r="A632" i="1"/>
  <c r="F631" i="1"/>
  <c r="G631" i="1" s="1"/>
  <c r="H631" i="1"/>
  <c r="I631" i="1" s="1"/>
  <c r="A631" i="1"/>
  <c r="B631" i="1"/>
  <c r="H630" i="1"/>
  <c r="I630" i="1" s="1"/>
  <c r="F630" i="1"/>
  <c r="G630" i="1" s="1"/>
  <c r="B630" i="1"/>
  <c r="A630" i="1"/>
  <c r="H629" i="1"/>
  <c r="I629" i="1" s="1"/>
  <c r="F629" i="1"/>
  <c r="G629" i="1" s="1"/>
  <c r="A629" i="1"/>
  <c r="B629" i="1"/>
  <c r="H628" i="1"/>
  <c r="I628" i="1" s="1"/>
  <c r="F628" i="1"/>
  <c r="G628" i="1" s="1"/>
  <c r="B628" i="1"/>
  <c r="A628" i="1"/>
  <c r="H627" i="1"/>
  <c r="I627" i="1" s="1"/>
  <c r="F627" i="1"/>
  <c r="G627" i="1" s="1"/>
  <c r="B627" i="1"/>
  <c r="A627" i="1"/>
  <c r="H626" i="1"/>
  <c r="I626" i="1" s="1"/>
  <c r="F626" i="1"/>
  <c r="G626" i="1" s="1"/>
  <c r="B626" i="1"/>
  <c r="A626" i="1"/>
  <c r="H625" i="1"/>
  <c r="I625" i="1" s="1"/>
  <c r="F625" i="1"/>
  <c r="G625" i="1" s="1"/>
  <c r="B625" i="1"/>
  <c r="A625" i="1"/>
  <c r="H624" i="1"/>
  <c r="I624" i="1" s="1"/>
  <c r="F624" i="1"/>
  <c r="G624" i="1" s="1"/>
  <c r="A624" i="1"/>
  <c r="B624" i="1"/>
  <c r="H623" i="1"/>
  <c r="I623" i="1" s="1"/>
  <c r="F623" i="1"/>
  <c r="G623" i="1" s="1"/>
  <c r="B623" i="1"/>
  <c r="A623" i="1"/>
  <c r="F622" i="1"/>
  <c r="G622" i="1" s="1"/>
  <c r="H622" i="1"/>
  <c r="I622" i="1" s="1"/>
  <c r="A622" i="1"/>
  <c r="B622" i="1"/>
  <c r="F621" i="1"/>
  <c r="G621" i="1" s="1"/>
  <c r="H621" i="1"/>
  <c r="I621" i="1" s="1"/>
  <c r="A621" i="1"/>
  <c r="B621" i="1"/>
  <c r="H620" i="1"/>
  <c r="I620" i="1" s="1"/>
  <c r="F620" i="1"/>
  <c r="G620" i="1" s="1"/>
  <c r="B620" i="1"/>
  <c r="A620" i="1"/>
  <c r="F619" i="1"/>
  <c r="G619" i="1" s="1"/>
  <c r="H619" i="1"/>
  <c r="I619" i="1" s="1"/>
  <c r="A619" i="1"/>
  <c r="B619" i="1"/>
  <c r="F618" i="1"/>
  <c r="G618" i="1" s="1"/>
  <c r="H618" i="1"/>
  <c r="I618" i="1" s="1"/>
  <c r="B618" i="1"/>
  <c r="A618" i="1"/>
  <c r="H617" i="1"/>
  <c r="I617" i="1" s="1"/>
  <c r="F617" i="1"/>
  <c r="G617" i="1" s="1"/>
  <c r="A617" i="1"/>
  <c r="B617" i="1"/>
  <c r="F616" i="1"/>
  <c r="G616" i="1" s="1"/>
  <c r="H616" i="1"/>
  <c r="I616" i="1" s="1"/>
  <c r="B616" i="1"/>
  <c r="A616" i="1"/>
  <c r="H615" i="1"/>
  <c r="I615" i="1" s="1"/>
  <c r="F615" i="1"/>
  <c r="G615" i="1" s="1"/>
  <c r="B615" i="1"/>
  <c r="A615" i="1"/>
  <c r="H614" i="1"/>
  <c r="I614" i="1" s="1"/>
  <c r="F614" i="1"/>
  <c r="G614" i="1" s="1"/>
  <c r="A614" i="1"/>
  <c r="B614" i="1"/>
  <c r="F613" i="1"/>
  <c r="G613" i="1" s="1"/>
  <c r="H613" i="1"/>
  <c r="I613" i="1" s="1"/>
  <c r="A613" i="1"/>
  <c r="B613" i="1"/>
  <c r="F612" i="1"/>
  <c r="G612" i="1" s="1"/>
  <c r="H612" i="1"/>
  <c r="I612" i="1" s="1"/>
  <c r="B612" i="1"/>
  <c r="A612" i="1"/>
  <c r="H611" i="1"/>
  <c r="I611" i="1" s="1"/>
  <c r="F611" i="1"/>
  <c r="G611" i="1" s="1"/>
  <c r="A611" i="1"/>
  <c r="B611" i="1"/>
  <c r="F610" i="1"/>
  <c r="G610" i="1" s="1"/>
  <c r="H610" i="1"/>
  <c r="I610" i="1" s="1"/>
  <c r="B610" i="1"/>
  <c r="A610" i="1"/>
  <c r="H609" i="1"/>
  <c r="I609" i="1" s="1"/>
  <c r="F609" i="1"/>
  <c r="G609" i="1" s="1"/>
  <c r="A609" i="1"/>
  <c r="B609" i="1"/>
  <c r="F608" i="1"/>
  <c r="G608" i="1" s="1"/>
  <c r="H608" i="1"/>
  <c r="I608" i="1" s="1"/>
  <c r="B608" i="1"/>
  <c r="A608" i="1"/>
  <c r="H607" i="1"/>
  <c r="I607" i="1" s="1"/>
  <c r="F607" i="1"/>
  <c r="G607" i="1" s="1"/>
  <c r="A607" i="1"/>
  <c r="B607" i="1"/>
  <c r="H606" i="1"/>
  <c r="I606" i="1" s="1"/>
  <c r="F606" i="1"/>
  <c r="G606" i="1" s="1"/>
  <c r="B606" i="1"/>
  <c r="A606" i="1"/>
  <c r="F605" i="1"/>
  <c r="G605" i="1" s="1"/>
  <c r="H605" i="1"/>
  <c r="I605" i="1" s="1"/>
  <c r="B605" i="1"/>
  <c r="A605" i="1"/>
  <c r="F604" i="1"/>
  <c r="G604" i="1" s="1"/>
  <c r="H604" i="1"/>
  <c r="I604" i="1" s="1"/>
  <c r="A604" i="1"/>
  <c r="B604" i="1"/>
  <c r="H603" i="1"/>
  <c r="I603" i="1" s="1"/>
  <c r="F603" i="1"/>
  <c r="G603" i="1" s="1"/>
  <c r="B603" i="1"/>
  <c r="A603" i="1"/>
  <c r="F602" i="1"/>
  <c r="G602" i="1" s="1"/>
  <c r="H602" i="1"/>
  <c r="I602" i="1" s="1"/>
  <c r="B602" i="1"/>
  <c r="A602" i="1"/>
  <c r="H601" i="1"/>
  <c r="I601" i="1" s="1"/>
  <c r="F601" i="1"/>
  <c r="G601" i="1" s="1"/>
  <c r="A601" i="1"/>
  <c r="B601" i="1"/>
  <c r="H600" i="1"/>
  <c r="I600" i="1" s="1"/>
  <c r="F600" i="1"/>
  <c r="G600" i="1" s="1"/>
  <c r="B600" i="1"/>
  <c r="A600" i="1"/>
  <c r="F599" i="1"/>
  <c r="G599" i="1" s="1"/>
  <c r="H599" i="1"/>
  <c r="I599" i="1" s="1"/>
  <c r="A599" i="1"/>
  <c r="B599" i="1"/>
  <c r="H598" i="1"/>
  <c r="I598" i="1" s="1"/>
  <c r="F598" i="1"/>
  <c r="G598" i="1" s="1"/>
  <c r="B598" i="1"/>
  <c r="A598" i="1"/>
  <c r="H597" i="1"/>
  <c r="I597" i="1" s="1"/>
  <c r="F597" i="1"/>
  <c r="G597" i="1" s="1"/>
  <c r="B597" i="1"/>
  <c r="A597" i="1"/>
  <c r="F596" i="1"/>
  <c r="G596" i="1" s="1"/>
  <c r="H596" i="1"/>
  <c r="I596" i="1" s="1"/>
  <c r="A596" i="1"/>
  <c r="B596" i="1"/>
  <c r="H595" i="1"/>
  <c r="I595" i="1" s="1"/>
  <c r="F595" i="1"/>
  <c r="G595" i="1" s="1"/>
  <c r="A595" i="1"/>
  <c r="B595" i="1"/>
  <c r="F594" i="1"/>
  <c r="G594" i="1" s="1"/>
  <c r="H594" i="1"/>
  <c r="I594" i="1" s="1"/>
  <c r="B594" i="1"/>
  <c r="A594" i="1"/>
  <c r="F593" i="1"/>
  <c r="G593" i="1" s="1"/>
  <c r="H593" i="1"/>
  <c r="I593" i="1" s="1"/>
  <c r="B593" i="1"/>
  <c r="A593" i="1"/>
  <c r="H592" i="1"/>
  <c r="I592" i="1" s="1"/>
  <c r="F592" i="1"/>
  <c r="G592" i="1" s="1"/>
  <c r="B592" i="1"/>
  <c r="A592" i="1"/>
  <c r="F591" i="1"/>
  <c r="G591" i="1" s="1"/>
  <c r="H591" i="1"/>
  <c r="I591" i="1" s="1"/>
  <c r="B591" i="1"/>
  <c r="A591" i="1"/>
  <c r="H590" i="1"/>
  <c r="I590" i="1" s="1"/>
  <c r="F590" i="1"/>
  <c r="G590" i="1" s="1"/>
  <c r="B590" i="1"/>
  <c r="A590" i="1"/>
  <c r="F589" i="1"/>
  <c r="G589" i="1" s="1"/>
  <c r="H589" i="1"/>
  <c r="I589" i="1" s="1"/>
  <c r="A589" i="1"/>
  <c r="B589" i="1"/>
  <c r="F588" i="1"/>
  <c r="G588" i="1" s="1"/>
  <c r="H588" i="1"/>
  <c r="I588" i="1" s="1"/>
  <c r="B588" i="1"/>
  <c r="A588" i="1"/>
  <c r="H587" i="1"/>
  <c r="I587" i="1" s="1"/>
  <c r="F587" i="1"/>
  <c r="G587" i="1" s="1"/>
  <c r="A587" i="1"/>
  <c r="B587" i="1"/>
  <c r="H586" i="1"/>
  <c r="I586" i="1" s="1"/>
  <c r="F586" i="1"/>
  <c r="G586" i="1" s="1"/>
  <c r="A586" i="1"/>
  <c r="B586" i="1"/>
  <c r="F585" i="1"/>
  <c r="G585" i="1" s="1"/>
  <c r="H585" i="1"/>
  <c r="I585" i="1" s="1"/>
  <c r="A585" i="1"/>
  <c r="B585" i="1"/>
  <c r="H584" i="1"/>
  <c r="I584" i="1" s="1"/>
  <c r="F584" i="1"/>
  <c r="G584" i="1" s="1"/>
  <c r="A584" i="1"/>
  <c r="B584" i="1"/>
  <c r="F583" i="1"/>
  <c r="G583" i="1" s="1"/>
  <c r="H583" i="1"/>
  <c r="I583" i="1" s="1"/>
  <c r="B583" i="1"/>
  <c r="A583" i="1"/>
  <c r="F582" i="1"/>
  <c r="G582" i="1" s="1"/>
  <c r="H582" i="1"/>
  <c r="I582" i="1" s="1"/>
  <c r="B582" i="1"/>
  <c r="A582" i="1"/>
  <c r="F581" i="1"/>
  <c r="G581" i="1" s="1"/>
  <c r="H581" i="1"/>
  <c r="I581" i="1" s="1"/>
  <c r="A581" i="1"/>
  <c r="B581" i="1"/>
  <c r="F580" i="1"/>
  <c r="G580" i="1" s="1"/>
  <c r="H580" i="1"/>
  <c r="I580" i="1" s="1"/>
  <c r="B580" i="1"/>
  <c r="A580" i="1"/>
  <c r="F579" i="1"/>
  <c r="G579" i="1" s="1"/>
  <c r="H579" i="1"/>
  <c r="I579" i="1" s="1"/>
  <c r="B579" i="1"/>
  <c r="A579" i="1"/>
  <c r="F578" i="1"/>
  <c r="G578" i="1" s="1"/>
  <c r="H578" i="1"/>
  <c r="I578" i="1" s="1"/>
  <c r="B578" i="1"/>
  <c r="A578" i="1"/>
  <c r="H577" i="1"/>
  <c r="I577" i="1" s="1"/>
  <c r="F577" i="1"/>
  <c r="G577" i="1" s="1"/>
  <c r="B577" i="1"/>
  <c r="A577" i="1"/>
  <c r="F576" i="1"/>
  <c r="G576" i="1" s="1"/>
  <c r="H576" i="1"/>
  <c r="I576" i="1" s="1"/>
  <c r="B576" i="1"/>
  <c r="A576" i="1"/>
  <c r="H575" i="1"/>
  <c r="I575" i="1" s="1"/>
  <c r="F575" i="1"/>
  <c r="G575" i="1" s="1"/>
  <c r="B575" i="1"/>
  <c r="A575" i="1"/>
  <c r="F574" i="1"/>
  <c r="G574" i="1" s="1"/>
  <c r="H574" i="1"/>
  <c r="I574" i="1" s="1"/>
  <c r="A574" i="1"/>
  <c r="B574" i="1"/>
  <c r="H573" i="1"/>
  <c r="I573" i="1" s="1"/>
  <c r="F573" i="1"/>
  <c r="G573" i="1" s="1"/>
  <c r="A573" i="1"/>
  <c r="B573" i="1"/>
  <c r="F572" i="1"/>
  <c r="G572" i="1" s="1"/>
  <c r="H572" i="1"/>
  <c r="I572" i="1" s="1"/>
  <c r="A572" i="1"/>
  <c r="B572" i="1"/>
  <c r="F571" i="1"/>
  <c r="G571" i="1" s="1"/>
  <c r="H571" i="1"/>
  <c r="I571" i="1" s="1"/>
  <c r="B571" i="1"/>
  <c r="A571" i="1"/>
  <c r="F570" i="1"/>
  <c r="G570" i="1" s="1"/>
  <c r="H570" i="1"/>
  <c r="I570" i="1" s="1"/>
  <c r="A570" i="1"/>
  <c r="B570" i="1"/>
  <c r="F569" i="1"/>
  <c r="G569" i="1" s="1"/>
  <c r="H569" i="1"/>
  <c r="I569" i="1" s="1"/>
  <c r="B569" i="1"/>
  <c r="A569" i="1"/>
  <c r="F568" i="1"/>
  <c r="G568" i="1" s="1"/>
  <c r="H568" i="1"/>
  <c r="I568" i="1" s="1"/>
  <c r="B568" i="1"/>
  <c r="A568" i="1"/>
  <c r="F567" i="1"/>
  <c r="G567" i="1" s="1"/>
  <c r="H567" i="1"/>
  <c r="I567" i="1" s="1"/>
  <c r="A567" i="1"/>
  <c r="B567" i="1"/>
  <c r="H566" i="1"/>
  <c r="I566" i="1" s="1"/>
  <c r="F566" i="1"/>
  <c r="G566" i="1" s="1"/>
  <c r="A566" i="1"/>
  <c r="B566" i="1"/>
  <c r="F565" i="1"/>
  <c r="G565" i="1" s="1"/>
  <c r="H565" i="1"/>
  <c r="I565" i="1" s="1"/>
  <c r="A565" i="1"/>
  <c r="B565" i="1"/>
  <c r="F564" i="1"/>
  <c r="G564" i="1" s="1"/>
  <c r="H564" i="1"/>
  <c r="I564" i="1" s="1"/>
  <c r="B564" i="1"/>
  <c r="A564" i="1"/>
  <c r="F563" i="1"/>
  <c r="G563" i="1" s="1"/>
  <c r="H563" i="1"/>
  <c r="I563" i="1" s="1"/>
  <c r="B563" i="1"/>
  <c r="A563" i="1"/>
  <c r="H562" i="1"/>
  <c r="I562" i="1" s="1"/>
  <c r="F562" i="1"/>
  <c r="G562" i="1" s="1"/>
  <c r="A562" i="1"/>
  <c r="B562" i="1"/>
  <c r="F561" i="1"/>
  <c r="G561" i="1" s="1"/>
  <c r="H561" i="1"/>
  <c r="I561" i="1" s="1"/>
  <c r="A561" i="1"/>
  <c r="B561" i="1"/>
  <c r="H560" i="1"/>
  <c r="I560" i="1" s="1"/>
  <c r="F560" i="1"/>
  <c r="G560" i="1" s="1"/>
  <c r="B560" i="1"/>
  <c r="A560" i="1"/>
  <c r="H559" i="1"/>
  <c r="I559" i="1" s="1"/>
  <c r="F559" i="1"/>
  <c r="G559" i="1" s="1"/>
  <c r="B559" i="1"/>
  <c r="A559" i="1"/>
  <c r="H558" i="1"/>
  <c r="I558" i="1" s="1"/>
  <c r="F558" i="1"/>
  <c r="G558" i="1" s="1"/>
  <c r="B558" i="1"/>
  <c r="A558" i="1"/>
  <c r="H557" i="1"/>
  <c r="I557" i="1" s="1"/>
  <c r="F557" i="1"/>
  <c r="G557" i="1" s="1"/>
  <c r="B557" i="1"/>
  <c r="A557" i="1"/>
  <c r="F556" i="1"/>
  <c r="G556" i="1" s="1"/>
  <c r="H556" i="1"/>
  <c r="I556" i="1" s="1"/>
  <c r="A556" i="1"/>
  <c r="B556" i="1"/>
  <c r="H555" i="1"/>
  <c r="I555" i="1" s="1"/>
  <c r="F555" i="1"/>
  <c r="G555" i="1" s="1"/>
  <c r="B555" i="1"/>
  <c r="A555" i="1"/>
  <c r="F554" i="1"/>
  <c r="G554" i="1" s="1"/>
  <c r="H554" i="1"/>
  <c r="I554" i="1" s="1"/>
  <c r="A554" i="1"/>
  <c r="B554" i="1"/>
  <c r="H553" i="1"/>
  <c r="I553" i="1" s="1"/>
  <c r="F553" i="1"/>
  <c r="G553" i="1" s="1"/>
  <c r="B553" i="1"/>
  <c r="A553" i="1"/>
  <c r="H552" i="1"/>
  <c r="I552" i="1" s="1"/>
  <c r="F552" i="1"/>
  <c r="G552" i="1" s="1"/>
  <c r="B552" i="1"/>
  <c r="A552" i="1"/>
  <c r="H551" i="1"/>
  <c r="I551" i="1" s="1"/>
  <c r="F551" i="1"/>
  <c r="G551" i="1" s="1"/>
  <c r="B551" i="1"/>
  <c r="A551" i="1"/>
  <c r="H550" i="1"/>
  <c r="I550" i="1" s="1"/>
  <c r="F550" i="1"/>
  <c r="G550" i="1" s="1"/>
  <c r="B550" i="1"/>
  <c r="A550" i="1"/>
  <c r="H549" i="1"/>
  <c r="I549" i="1" s="1"/>
  <c r="F549" i="1"/>
  <c r="G549" i="1" s="1"/>
  <c r="B549" i="1"/>
  <c r="A549" i="1"/>
  <c r="H548" i="1"/>
  <c r="I548" i="1" s="1"/>
  <c r="F548" i="1"/>
  <c r="G548" i="1" s="1"/>
  <c r="B548" i="1"/>
  <c r="A548" i="1"/>
  <c r="F547" i="1"/>
  <c r="G547" i="1" s="1"/>
  <c r="H547" i="1"/>
  <c r="I547" i="1" s="1"/>
  <c r="B547" i="1"/>
  <c r="A547" i="1"/>
  <c r="H546" i="1"/>
  <c r="I546" i="1" s="1"/>
  <c r="F546" i="1"/>
  <c r="G546" i="1" s="1"/>
  <c r="B546" i="1"/>
  <c r="A546" i="1"/>
  <c r="F545" i="1"/>
  <c r="G545" i="1" s="1"/>
  <c r="H545" i="1"/>
  <c r="I545" i="1" s="1"/>
  <c r="A545" i="1"/>
  <c r="B545" i="1"/>
  <c r="F544" i="1"/>
  <c r="G544" i="1" s="1"/>
  <c r="H544" i="1"/>
  <c r="I544" i="1" s="1"/>
  <c r="A544" i="1"/>
  <c r="B544" i="1"/>
  <c r="H543" i="1"/>
  <c r="I543" i="1" s="1"/>
  <c r="F543" i="1"/>
  <c r="G543" i="1" s="1"/>
  <c r="B543" i="1"/>
  <c r="A543" i="1"/>
  <c r="F542" i="1"/>
  <c r="G542" i="1" s="1"/>
  <c r="H542" i="1"/>
  <c r="I542" i="1" s="1"/>
  <c r="B542" i="1"/>
  <c r="A542" i="1"/>
  <c r="F541" i="1"/>
  <c r="G541" i="1" s="1"/>
  <c r="H541" i="1"/>
  <c r="I541" i="1" s="1"/>
  <c r="B541" i="1"/>
  <c r="A541" i="1"/>
  <c r="H540" i="1"/>
  <c r="I540" i="1" s="1"/>
  <c r="F540" i="1"/>
  <c r="G540" i="1" s="1"/>
  <c r="A540" i="1"/>
  <c r="B540" i="1"/>
  <c r="H539" i="1"/>
  <c r="I539" i="1" s="1"/>
  <c r="F539" i="1"/>
  <c r="G539" i="1" s="1"/>
  <c r="A539" i="1"/>
  <c r="B539" i="1"/>
  <c r="F538" i="1"/>
  <c r="G538" i="1" s="1"/>
  <c r="H538" i="1"/>
  <c r="I538" i="1" s="1"/>
  <c r="A538" i="1"/>
  <c r="B538" i="1"/>
  <c r="F537" i="1"/>
  <c r="G537" i="1" s="1"/>
  <c r="H537" i="1"/>
  <c r="I537" i="1" s="1"/>
  <c r="A537" i="1"/>
  <c r="B537" i="1"/>
  <c r="F536" i="1"/>
  <c r="G536" i="1" s="1"/>
  <c r="H536" i="1"/>
  <c r="I536" i="1" s="1"/>
  <c r="B536" i="1"/>
  <c r="A536" i="1"/>
  <c r="F535" i="1"/>
  <c r="G535" i="1" s="1"/>
  <c r="H535" i="1"/>
  <c r="I535" i="1" s="1"/>
  <c r="A535" i="1"/>
  <c r="B535" i="1"/>
  <c r="F534" i="1"/>
  <c r="G534" i="1" s="1"/>
  <c r="H534" i="1"/>
  <c r="I534" i="1" s="1"/>
  <c r="A534" i="1"/>
  <c r="B534" i="1"/>
  <c r="H533" i="1"/>
  <c r="I533" i="1" s="1"/>
  <c r="F533" i="1"/>
  <c r="G533" i="1" s="1"/>
  <c r="B533" i="1"/>
  <c r="A533" i="1"/>
  <c r="H532" i="1"/>
  <c r="I532" i="1" s="1"/>
  <c r="F532" i="1"/>
  <c r="G532" i="1" s="1"/>
  <c r="B532" i="1"/>
  <c r="A532" i="1"/>
  <c r="H531" i="1"/>
  <c r="I531" i="1" s="1"/>
  <c r="F531" i="1"/>
  <c r="G531" i="1" s="1"/>
  <c r="B531" i="1"/>
  <c r="A531" i="1"/>
  <c r="F530" i="1"/>
  <c r="G530" i="1" s="1"/>
  <c r="H530" i="1"/>
  <c r="I530" i="1" s="1"/>
  <c r="B530" i="1"/>
  <c r="A530" i="1"/>
  <c r="H529" i="1"/>
  <c r="I529" i="1" s="1"/>
  <c r="F529" i="1"/>
  <c r="G529" i="1" s="1"/>
  <c r="B529" i="1"/>
  <c r="A529" i="1"/>
  <c r="F528" i="1"/>
  <c r="G528" i="1" s="1"/>
  <c r="H528" i="1"/>
  <c r="I528" i="1" s="1"/>
  <c r="B528" i="1"/>
  <c r="A528" i="1"/>
  <c r="F527" i="1"/>
  <c r="G527" i="1" s="1"/>
  <c r="H527" i="1"/>
  <c r="I527" i="1" s="1"/>
  <c r="A527" i="1"/>
  <c r="B527" i="1"/>
  <c r="H526" i="1"/>
  <c r="I526" i="1" s="1"/>
  <c r="F526" i="1"/>
  <c r="G526" i="1" s="1"/>
  <c r="B526" i="1"/>
  <c r="A526" i="1"/>
  <c r="H525" i="1"/>
  <c r="I525" i="1" s="1"/>
  <c r="F525" i="1"/>
  <c r="G525" i="1" s="1"/>
  <c r="B525" i="1"/>
  <c r="A525" i="1"/>
  <c r="F524" i="1"/>
  <c r="G524" i="1" s="1"/>
  <c r="H524" i="1"/>
  <c r="I524" i="1" s="1"/>
  <c r="B524" i="1"/>
  <c r="A524" i="1"/>
  <c r="H523" i="1"/>
  <c r="I523" i="1" s="1"/>
  <c r="F523" i="1"/>
  <c r="G523" i="1" s="1"/>
  <c r="A523" i="1"/>
  <c r="B523" i="1"/>
  <c r="F522" i="1"/>
  <c r="G522" i="1" s="1"/>
  <c r="H522" i="1"/>
  <c r="I522" i="1" s="1"/>
  <c r="A522" i="1"/>
  <c r="B522" i="1"/>
  <c r="H521" i="1"/>
  <c r="I521" i="1" s="1"/>
  <c r="F521" i="1"/>
  <c r="G521" i="1" s="1"/>
  <c r="B521" i="1"/>
  <c r="A521" i="1"/>
  <c r="F520" i="1"/>
  <c r="G520" i="1" s="1"/>
  <c r="H520" i="1"/>
  <c r="I520" i="1" s="1"/>
  <c r="A520" i="1"/>
  <c r="B520" i="1"/>
  <c r="H519" i="1"/>
  <c r="I519" i="1" s="1"/>
  <c r="F519" i="1"/>
  <c r="G519" i="1" s="1"/>
  <c r="B519" i="1"/>
  <c r="A519" i="1"/>
  <c r="H518" i="1"/>
  <c r="I518" i="1" s="1"/>
  <c r="F518" i="1"/>
  <c r="G518" i="1" s="1"/>
  <c r="A518" i="1"/>
  <c r="B518" i="1"/>
  <c r="H517" i="1"/>
  <c r="I517" i="1" s="1"/>
  <c r="F517" i="1"/>
  <c r="G517" i="1" s="1"/>
  <c r="A517" i="1"/>
  <c r="B517" i="1"/>
  <c r="H516" i="1"/>
  <c r="I516" i="1" s="1"/>
  <c r="F516" i="1"/>
  <c r="G516" i="1" s="1"/>
  <c r="B516" i="1"/>
  <c r="A516" i="1"/>
  <c r="F515" i="1"/>
  <c r="G515" i="1" s="1"/>
  <c r="H515" i="1"/>
  <c r="I515" i="1" s="1"/>
  <c r="B515" i="1"/>
  <c r="A515" i="1"/>
  <c r="H514" i="1"/>
  <c r="I514" i="1" s="1"/>
  <c r="F514" i="1"/>
  <c r="G514" i="1" s="1"/>
  <c r="A514" i="1"/>
  <c r="B514" i="1"/>
  <c r="H513" i="1"/>
  <c r="I513" i="1" s="1"/>
  <c r="F513" i="1"/>
  <c r="G513" i="1" s="1"/>
  <c r="B513" i="1"/>
  <c r="A513" i="1"/>
  <c r="H512" i="1"/>
  <c r="I512" i="1" s="1"/>
  <c r="F512" i="1"/>
  <c r="G512" i="1" s="1"/>
  <c r="B512" i="1"/>
  <c r="A512" i="1"/>
  <c r="H511" i="1"/>
  <c r="I511" i="1" s="1"/>
  <c r="F511" i="1"/>
  <c r="G511" i="1" s="1"/>
  <c r="B511" i="1"/>
  <c r="A511" i="1"/>
  <c r="H510" i="1"/>
  <c r="I510" i="1" s="1"/>
  <c r="F510" i="1"/>
  <c r="G510" i="1" s="1"/>
  <c r="B510" i="1"/>
  <c r="A510" i="1"/>
  <c r="H509" i="1"/>
  <c r="I509" i="1" s="1"/>
  <c r="F509" i="1"/>
  <c r="G509" i="1" s="1"/>
  <c r="B509" i="1"/>
  <c r="A509" i="1"/>
  <c r="F508" i="1"/>
  <c r="G508" i="1" s="1"/>
  <c r="H508" i="1"/>
  <c r="I508" i="1" s="1"/>
  <c r="B508" i="1"/>
  <c r="A508" i="1"/>
  <c r="H507" i="1"/>
  <c r="I507" i="1" s="1"/>
  <c r="F507" i="1"/>
  <c r="G507" i="1" s="1"/>
  <c r="A507" i="1"/>
  <c r="B507" i="1"/>
  <c r="H506" i="1"/>
  <c r="I506" i="1" s="1"/>
  <c r="F506" i="1"/>
  <c r="G506" i="1" s="1"/>
  <c r="B506" i="1"/>
  <c r="A506" i="1"/>
  <c r="H505" i="1"/>
  <c r="I505" i="1" s="1"/>
  <c r="F505" i="1"/>
  <c r="G505" i="1" s="1"/>
  <c r="B505" i="1"/>
  <c r="A505" i="1"/>
  <c r="H504" i="1"/>
  <c r="I504" i="1" s="1"/>
  <c r="F504" i="1"/>
  <c r="G504" i="1" s="1"/>
  <c r="B504" i="1"/>
  <c r="A504" i="1"/>
  <c r="F503" i="1"/>
  <c r="G503" i="1" s="1"/>
  <c r="H503" i="1"/>
  <c r="I503" i="1" s="1"/>
  <c r="A503" i="1"/>
  <c r="B503" i="1"/>
  <c r="F502" i="1"/>
  <c r="G502" i="1" s="1"/>
  <c r="H502" i="1"/>
  <c r="I502" i="1" s="1"/>
  <c r="B502" i="1"/>
  <c r="A502" i="1"/>
  <c r="F501" i="1"/>
  <c r="G501" i="1" s="1"/>
  <c r="H501" i="1"/>
  <c r="I501" i="1" s="1"/>
  <c r="A501" i="1"/>
  <c r="B501" i="1"/>
  <c r="F500" i="1"/>
  <c r="G500" i="1" s="1"/>
  <c r="H500" i="1"/>
  <c r="I500" i="1" s="1"/>
  <c r="B500" i="1"/>
  <c r="A500" i="1"/>
  <c r="F499" i="1"/>
  <c r="G499" i="1" s="1"/>
  <c r="H499" i="1"/>
  <c r="I499" i="1" s="1"/>
  <c r="A499" i="1"/>
  <c r="B499" i="1"/>
  <c r="H498" i="1"/>
  <c r="I498" i="1" s="1"/>
  <c r="F498" i="1"/>
  <c r="G498" i="1" s="1"/>
  <c r="B498" i="1"/>
  <c r="A498" i="1"/>
  <c r="H497" i="1"/>
  <c r="I497" i="1" s="1"/>
  <c r="F497" i="1"/>
  <c r="G497" i="1" s="1"/>
  <c r="B497" i="1"/>
  <c r="A497" i="1"/>
  <c r="F496" i="1"/>
  <c r="G496" i="1" s="1"/>
  <c r="H496" i="1"/>
  <c r="I496" i="1" s="1"/>
  <c r="A496" i="1"/>
  <c r="B496" i="1"/>
  <c r="H495" i="1"/>
  <c r="I495" i="1" s="1"/>
  <c r="F495" i="1"/>
  <c r="G495" i="1" s="1"/>
  <c r="A495" i="1"/>
  <c r="B495" i="1"/>
  <c r="F494" i="1"/>
  <c r="G494" i="1" s="1"/>
  <c r="H494" i="1"/>
  <c r="I494" i="1" s="1"/>
  <c r="A494" i="1"/>
  <c r="B494" i="1"/>
  <c r="H493" i="1"/>
  <c r="I493" i="1" s="1"/>
  <c r="F493" i="1"/>
  <c r="G493" i="1" s="1"/>
  <c r="B493" i="1"/>
  <c r="A493" i="1"/>
  <c r="H492" i="1"/>
  <c r="I492" i="1" s="1"/>
  <c r="F492" i="1"/>
  <c r="G492" i="1" s="1"/>
  <c r="A492" i="1"/>
  <c r="B492" i="1"/>
  <c r="H491" i="1"/>
  <c r="I491" i="1" s="1"/>
  <c r="F491" i="1"/>
  <c r="G491" i="1" s="1"/>
  <c r="A491" i="1"/>
  <c r="B491" i="1"/>
  <c r="H490" i="1"/>
  <c r="I490" i="1" s="1"/>
  <c r="F490" i="1"/>
  <c r="G490" i="1" s="1"/>
  <c r="B490" i="1"/>
  <c r="A490" i="1"/>
  <c r="H489" i="1"/>
  <c r="I489" i="1" s="1"/>
  <c r="F489" i="1"/>
  <c r="G489" i="1" s="1"/>
  <c r="A489" i="1"/>
  <c r="B489" i="1"/>
  <c r="H488" i="1"/>
  <c r="I488" i="1" s="1"/>
  <c r="F488" i="1"/>
  <c r="G488" i="1" s="1"/>
  <c r="A488" i="1"/>
  <c r="B488" i="1"/>
  <c r="H487" i="1"/>
  <c r="I487" i="1" s="1"/>
  <c r="F487" i="1"/>
  <c r="G487" i="1" s="1"/>
  <c r="A487" i="1"/>
  <c r="B487" i="1"/>
  <c r="F486" i="1"/>
  <c r="G486" i="1" s="1"/>
  <c r="H486" i="1"/>
  <c r="I486" i="1" s="1"/>
  <c r="B486" i="1"/>
  <c r="A486" i="1"/>
  <c r="H485" i="1"/>
  <c r="I485" i="1" s="1"/>
  <c r="F485" i="1"/>
  <c r="G485" i="1" s="1"/>
  <c r="B485" i="1"/>
  <c r="A485" i="1"/>
  <c r="F484" i="1"/>
  <c r="G484" i="1" s="1"/>
  <c r="H484" i="1"/>
  <c r="I484" i="1" s="1"/>
  <c r="B484" i="1"/>
  <c r="A484" i="1"/>
  <c r="F483" i="1"/>
  <c r="G483" i="1" s="1"/>
  <c r="H483" i="1"/>
  <c r="I483" i="1" s="1"/>
  <c r="B483" i="1"/>
  <c r="A483" i="1"/>
  <c r="F482" i="1"/>
  <c r="G482" i="1" s="1"/>
  <c r="H482" i="1"/>
  <c r="I482" i="1" s="1"/>
  <c r="A482" i="1"/>
  <c r="B482" i="1"/>
  <c r="H481" i="1"/>
  <c r="I481" i="1" s="1"/>
  <c r="F481" i="1"/>
  <c r="G481" i="1" s="1"/>
  <c r="A481" i="1"/>
  <c r="B481" i="1"/>
  <c r="H480" i="1"/>
  <c r="I480" i="1" s="1"/>
  <c r="F480" i="1"/>
  <c r="G480" i="1" s="1"/>
  <c r="F479" i="1"/>
  <c r="G479" i="1" s="1"/>
  <c r="H479" i="1"/>
  <c r="I479" i="1" s="1"/>
  <c r="H478" i="1"/>
  <c r="I478" i="1" s="1"/>
  <c r="F478" i="1"/>
  <c r="G478" i="1" s="1"/>
  <c r="H477" i="1"/>
  <c r="I477" i="1" s="1"/>
  <c r="F477" i="1"/>
  <c r="G477" i="1" s="1"/>
  <c r="H476" i="1"/>
  <c r="I476" i="1" s="1"/>
  <c r="F476" i="1"/>
  <c r="G476" i="1" s="1"/>
  <c r="F475" i="1"/>
  <c r="G475" i="1" s="1"/>
  <c r="H475" i="1"/>
  <c r="I475" i="1" s="1"/>
  <c r="H474" i="1"/>
  <c r="I474" i="1" s="1"/>
  <c r="F474" i="1"/>
  <c r="G474" i="1" s="1"/>
  <c r="F473" i="1"/>
  <c r="G473" i="1" s="1"/>
  <c r="H473" i="1"/>
  <c r="I473" i="1" s="1"/>
  <c r="H472" i="1"/>
  <c r="I472" i="1" s="1"/>
  <c r="F472" i="1"/>
  <c r="G472" i="1" s="1"/>
  <c r="H471" i="1"/>
  <c r="I471" i="1" s="1"/>
  <c r="F471" i="1"/>
  <c r="G471" i="1" s="1"/>
  <c r="H470" i="1"/>
  <c r="I470" i="1" s="1"/>
  <c r="F470" i="1"/>
  <c r="G470" i="1" s="1"/>
  <c r="F469" i="1"/>
  <c r="G469" i="1" s="1"/>
  <c r="H469" i="1"/>
  <c r="I469" i="1" s="1"/>
  <c r="F468" i="1"/>
  <c r="G468" i="1" s="1"/>
  <c r="H468" i="1"/>
  <c r="I468" i="1" s="1"/>
  <c r="F467" i="1"/>
  <c r="G467" i="1" s="1"/>
  <c r="H467" i="1"/>
  <c r="I467" i="1" s="1"/>
  <c r="F466" i="1"/>
  <c r="G466" i="1" s="1"/>
  <c r="H466" i="1"/>
  <c r="I466" i="1" s="1"/>
  <c r="F465" i="1"/>
  <c r="G465" i="1" s="1"/>
  <c r="H465" i="1"/>
  <c r="I465" i="1" s="1"/>
  <c r="H464" i="1"/>
  <c r="I464" i="1" s="1"/>
  <c r="F464" i="1"/>
  <c r="G464" i="1" s="1"/>
  <c r="F463" i="1"/>
  <c r="G463" i="1" s="1"/>
  <c r="H463" i="1"/>
  <c r="I463" i="1" s="1"/>
  <c r="F462" i="1"/>
  <c r="G462" i="1" s="1"/>
  <c r="H462" i="1"/>
  <c r="I462" i="1" s="1"/>
  <c r="H461" i="1"/>
  <c r="I461" i="1" s="1"/>
  <c r="F461" i="1"/>
  <c r="G461" i="1" s="1"/>
  <c r="F460" i="1"/>
  <c r="G460" i="1" s="1"/>
  <c r="H460" i="1"/>
  <c r="I460" i="1" s="1"/>
  <c r="H459" i="1"/>
  <c r="I459" i="1" s="1"/>
  <c r="F459" i="1"/>
  <c r="G459" i="1" s="1"/>
  <c r="H458" i="1"/>
  <c r="I458" i="1" s="1"/>
  <c r="F458" i="1"/>
  <c r="G458" i="1" s="1"/>
  <c r="H457" i="1"/>
  <c r="I457" i="1" s="1"/>
  <c r="F457" i="1"/>
  <c r="G457" i="1" s="1"/>
  <c r="H456" i="1"/>
  <c r="I456" i="1" s="1"/>
  <c r="F456" i="1"/>
  <c r="G456" i="1" s="1"/>
  <c r="H455" i="1"/>
  <c r="I455" i="1" s="1"/>
  <c r="F455" i="1"/>
  <c r="G455" i="1" s="1"/>
  <c r="F454" i="1"/>
  <c r="G454" i="1" s="1"/>
  <c r="H454" i="1"/>
  <c r="I454" i="1" s="1"/>
  <c r="F453" i="1"/>
  <c r="G453" i="1" s="1"/>
  <c r="H453" i="1"/>
  <c r="I453" i="1" s="1"/>
  <c r="F452" i="1"/>
  <c r="G452" i="1" s="1"/>
  <c r="H452" i="1"/>
  <c r="I452" i="1" s="1"/>
  <c r="H451" i="1"/>
  <c r="I451" i="1" s="1"/>
  <c r="F451" i="1"/>
  <c r="G451" i="1" s="1"/>
  <c r="F450" i="1"/>
  <c r="G450" i="1" s="1"/>
  <c r="H450" i="1"/>
  <c r="I450" i="1" s="1"/>
  <c r="H449" i="1"/>
  <c r="I449" i="1" s="1"/>
  <c r="F449" i="1"/>
  <c r="G449" i="1" s="1"/>
  <c r="F448" i="1"/>
  <c r="G448" i="1" s="1"/>
  <c r="H448" i="1"/>
  <c r="I448" i="1" s="1"/>
  <c r="F447" i="1"/>
  <c r="G447" i="1" s="1"/>
  <c r="H447" i="1"/>
  <c r="I447" i="1" s="1"/>
  <c r="H446" i="1"/>
  <c r="I446" i="1" s="1"/>
  <c r="F446" i="1"/>
  <c r="G446" i="1" s="1"/>
  <c r="F445" i="1"/>
  <c r="G445" i="1" s="1"/>
  <c r="H445" i="1"/>
  <c r="I445" i="1" s="1"/>
  <c r="H444" i="1"/>
  <c r="I444" i="1" s="1"/>
  <c r="F444" i="1"/>
  <c r="G444" i="1" s="1"/>
  <c r="H443" i="1"/>
  <c r="I443" i="1" s="1"/>
  <c r="F443" i="1"/>
  <c r="G443" i="1" s="1"/>
  <c r="F442" i="1"/>
  <c r="G442" i="1" s="1"/>
  <c r="H442" i="1"/>
  <c r="I442" i="1" s="1"/>
  <c r="F441" i="1"/>
  <c r="G441" i="1" s="1"/>
  <c r="H441" i="1"/>
  <c r="I441" i="1" s="1"/>
  <c r="H440" i="1"/>
  <c r="I440" i="1" s="1"/>
  <c r="F440" i="1"/>
  <c r="G440" i="1" s="1"/>
  <c r="H439" i="1"/>
  <c r="I439" i="1" s="1"/>
  <c r="F439" i="1"/>
  <c r="G439" i="1" s="1"/>
  <c r="H438" i="1"/>
  <c r="I438" i="1" s="1"/>
  <c r="F438" i="1"/>
  <c r="G438" i="1" s="1"/>
  <c r="F437" i="1"/>
  <c r="G437" i="1" s="1"/>
  <c r="H437" i="1"/>
  <c r="I437" i="1" s="1"/>
  <c r="F436" i="1"/>
  <c r="G436" i="1" s="1"/>
  <c r="H436" i="1"/>
  <c r="I436" i="1" s="1"/>
  <c r="H435" i="1"/>
  <c r="I435" i="1" s="1"/>
  <c r="F435" i="1"/>
  <c r="G435" i="1" s="1"/>
  <c r="H434" i="1"/>
  <c r="I434" i="1" s="1"/>
  <c r="F434" i="1"/>
  <c r="G434" i="1" s="1"/>
  <c r="H433" i="1"/>
  <c r="I433" i="1" s="1"/>
  <c r="F433" i="1"/>
  <c r="G433" i="1" s="1"/>
  <c r="H432" i="1"/>
  <c r="I432" i="1" s="1"/>
  <c r="F432" i="1"/>
  <c r="G432" i="1" s="1"/>
  <c r="H431" i="1"/>
  <c r="I431" i="1" s="1"/>
  <c r="F431" i="1"/>
  <c r="G431" i="1" s="1"/>
  <c r="H430" i="1"/>
  <c r="I430" i="1" s="1"/>
  <c r="F430" i="1"/>
  <c r="G430" i="1" s="1"/>
  <c r="H429" i="1"/>
  <c r="I429" i="1" s="1"/>
  <c r="F429" i="1"/>
  <c r="G429" i="1" s="1"/>
  <c r="H428" i="1"/>
  <c r="I428" i="1" s="1"/>
  <c r="F428" i="1"/>
  <c r="G428" i="1" s="1"/>
  <c r="H427" i="1"/>
  <c r="I427" i="1" s="1"/>
  <c r="F427" i="1"/>
  <c r="G427" i="1" s="1"/>
  <c r="H426" i="1"/>
  <c r="I426" i="1" s="1"/>
  <c r="F426" i="1"/>
  <c r="G426" i="1" s="1"/>
  <c r="H425" i="1"/>
  <c r="I425" i="1" s="1"/>
  <c r="F425" i="1"/>
  <c r="G425" i="1" s="1"/>
  <c r="F424" i="1"/>
  <c r="G424" i="1" s="1"/>
  <c r="H424" i="1"/>
  <c r="I424" i="1" s="1"/>
  <c r="F423" i="1"/>
  <c r="G423" i="1" s="1"/>
  <c r="H423" i="1"/>
  <c r="I423" i="1" s="1"/>
  <c r="F422" i="1"/>
  <c r="G422" i="1" s="1"/>
  <c r="H422" i="1"/>
  <c r="I422" i="1" s="1"/>
  <c r="F421" i="1"/>
  <c r="G421" i="1" s="1"/>
  <c r="H421" i="1"/>
  <c r="I421" i="1" s="1"/>
  <c r="F420" i="1"/>
  <c r="G420" i="1" s="1"/>
  <c r="H420" i="1"/>
  <c r="I420" i="1" s="1"/>
  <c r="F419" i="1"/>
  <c r="G419" i="1" s="1"/>
  <c r="H419" i="1"/>
  <c r="I419" i="1" s="1"/>
  <c r="H418" i="1"/>
  <c r="I418" i="1" s="1"/>
  <c r="F418" i="1"/>
  <c r="G418" i="1" s="1"/>
  <c r="F417" i="1"/>
  <c r="G417" i="1" s="1"/>
  <c r="H417" i="1"/>
  <c r="I417" i="1" s="1"/>
  <c r="H416" i="1"/>
  <c r="I416" i="1" s="1"/>
  <c r="F416" i="1"/>
  <c r="G416" i="1" s="1"/>
  <c r="F415" i="1"/>
  <c r="G415" i="1" s="1"/>
  <c r="H415" i="1"/>
  <c r="I415" i="1" s="1"/>
  <c r="H414" i="1"/>
  <c r="I414" i="1" s="1"/>
  <c r="F414" i="1"/>
  <c r="G414" i="1" s="1"/>
  <c r="F413" i="1"/>
  <c r="G413" i="1" s="1"/>
  <c r="H413" i="1"/>
  <c r="I413" i="1" s="1"/>
  <c r="H412" i="1"/>
  <c r="I412" i="1" s="1"/>
  <c r="F412" i="1"/>
  <c r="G412" i="1" s="1"/>
  <c r="H411" i="1"/>
  <c r="I411" i="1" s="1"/>
  <c r="F411" i="1"/>
  <c r="G411" i="1" s="1"/>
  <c r="F410" i="1"/>
  <c r="G410" i="1" s="1"/>
  <c r="H410" i="1"/>
  <c r="I410" i="1" s="1"/>
  <c r="H409" i="1"/>
  <c r="I409" i="1" s="1"/>
  <c r="F409" i="1"/>
  <c r="G409" i="1" s="1"/>
  <c r="H408" i="1"/>
  <c r="I408" i="1" s="1"/>
  <c r="F408" i="1"/>
  <c r="G408" i="1" s="1"/>
  <c r="H407" i="1"/>
  <c r="I407" i="1" s="1"/>
  <c r="F407" i="1"/>
  <c r="G407" i="1" s="1"/>
  <c r="H406" i="1"/>
  <c r="I406" i="1" s="1"/>
  <c r="F406" i="1"/>
  <c r="G406" i="1" s="1"/>
  <c r="F405" i="1"/>
  <c r="G405" i="1" s="1"/>
  <c r="H405" i="1"/>
  <c r="I405" i="1" s="1"/>
  <c r="F404" i="1"/>
  <c r="G404" i="1" s="1"/>
  <c r="H404" i="1"/>
  <c r="I404" i="1" s="1"/>
  <c r="F403" i="1"/>
  <c r="G403" i="1" s="1"/>
  <c r="H403" i="1"/>
  <c r="I403" i="1" s="1"/>
  <c r="H402" i="1"/>
  <c r="I402" i="1" s="1"/>
  <c r="F402" i="1"/>
  <c r="G402" i="1" s="1"/>
  <c r="B402" i="1"/>
  <c r="A402" i="1"/>
  <c r="F401" i="1"/>
  <c r="G401" i="1" s="1"/>
  <c r="H401" i="1"/>
  <c r="I401" i="1" s="1"/>
  <c r="B401" i="1"/>
  <c r="A401" i="1"/>
  <c r="F400" i="1"/>
  <c r="G400" i="1" s="1"/>
  <c r="H400" i="1"/>
  <c r="I400" i="1" s="1"/>
  <c r="A400" i="1"/>
  <c r="B400" i="1"/>
  <c r="H399" i="1"/>
  <c r="I399" i="1" s="1"/>
  <c r="F399" i="1"/>
  <c r="G399" i="1" s="1"/>
  <c r="B399" i="1"/>
  <c r="A399" i="1"/>
  <c r="H398" i="1"/>
  <c r="I398" i="1" s="1"/>
  <c r="F398" i="1"/>
  <c r="G398" i="1" s="1"/>
  <c r="B398" i="1"/>
  <c r="A398" i="1"/>
  <c r="F397" i="1"/>
  <c r="G397" i="1" s="1"/>
  <c r="H397" i="1"/>
  <c r="I397" i="1" s="1"/>
  <c r="A397" i="1"/>
  <c r="B397" i="1"/>
  <c r="H396" i="1"/>
  <c r="I396" i="1" s="1"/>
  <c r="F396" i="1"/>
  <c r="G396" i="1" s="1"/>
  <c r="A396" i="1"/>
  <c r="B396" i="1"/>
  <c r="F395" i="1"/>
  <c r="G395" i="1" s="1"/>
  <c r="H395" i="1"/>
  <c r="I395" i="1" s="1"/>
  <c r="B395" i="1"/>
  <c r="A395" i="1"/>
  <c r="H394" i="1"/>
  <c r="I394" i="1" s="1"/>
  <c r="F394" i="1"/>
  <c r="G394" i="1" s="1"/>
  <c r="A394" i="1"/>
  <c r="B394" i="1"/>
  <c r="F393" i="1"/>
  <c r="G393" i="1" s="1"/>
  <c r="H393" i="1"/>
  <c r="I393" i="1" s="1"/>
  <c r="A393" i="1"/>
  <c r="B393" i="1"/>
  <c r="H392" i="1"/>
  <c r="I392" i="1" s="1"/>
  <c r="F392" i="1"/>
  <c r="G392" i="1" s="1"/>
  <c r="B392" i="1"/>
  <c r="A392" i="1"/>
  <c r="F391" i="1"/>
  <c r="G391" i="1" s="1"/>
  <c r="H391" i="1"/>
  <c r="I391" i="1" s="1"/>
  <c r="B391" i="1"/>
  <c r="A391" i="1"/>
  <c r="H390" i="1"/>
  <c r="I390" i="1" s="1"/>
  <c r="F390" i="1"/>
  <c r="G390" i="1" s="1"/>
  <c r="A390" i="1"/>
  <c r="B390" i="1"/>
  <c r="F389" i="1"/>
  <c r="G389" i="1" s="1"/>
  <c r="H389" i="1"/>
  <c r="I389" i="1" s="1"/>
  <c r="A389" i="1"/>
  <c r="B389" i="1"/>
  <c r="H388" i="1"/>
  <c r="I388" i="1" s="1"/>
  <c r="F388" i="1"/>
  <c r="G388" i="1" s="1"/>
  <c r="A388" i="1"/>
  <c r="B388" i="1"/>
  <c r="H387" i="1"/>
  <c r="I387" i="1" s="1"/>
  <c r="F387" i="1"/>
  <c r="G387" i="1" s="1"/>
  <c r="B387" i="1"/>
  <c r="A387" i="1"/>
  <c r="H386" i="1"/>
  <c r="I386" i="1" s="1"/>
  <c r="F386" i="1"/>
  <c r="G386" i="1" s="1"/>
  <c r="A386" i="1"/>
  <c r="B386" i="1"/>
  <c r="F385" i="1"/>
  <c r="G385" i="1" s="1"/>
  <c r="H385" i="1"/>
  <c r="I385" i="1" s="1"/>
  <c r="B385" i="1"/>
  <c r="A385" i="1"/>
  <c r="H384" i="1"/>
  <c r="I384" i="1" s="1"/>
  <c r="F384" i="1"/>
  <c r="G384" i="1" s="1"/>
  <c r="B384" i="1"/>
  <c r="A384" i="1"/>
  <c r="F383" i="1"/>
  <c r="G383" i="1" s="1"/>
  <c r="H383" i="1"/>
  <c r="I383" i="1" s="1"/>
  <c r="B383" i="1"/>
  <c r="A383" i="1"/>
  <c r="F382" i="1"/>
  <c r="G382" i="1" s="1"/>
  <c r="H382" i="1"/>
  <c r="I382" i="1" s="1"/>
  <c r="A382" i="1"/>
  <c r="B382" i="1"/>
  <c r="F381" i="1"/>
  <c r="G381" i="1" s="1"/>
  <c r="H381" i="1"/>
  <c r="I381" i="1" s="1"/>
  <c r="A381" i="1"/>
  <c r="B381" i="1"/>
  <c r="H380" i="1"/>
  <c r="I380" i="1" s="1"/>
  <c r="F380" i="1"/>
  <c r="G380" i="1" s="1"/>
  <c r="B380" i="1"/>
  <c r="A380" i="1"/>
  <c r="F379" i="1"/>
  <c r="G379" i="1" s="1"/>
  <c r="H379" i="1"/>
  <c r="I379" i="1" s="1"/>
  <c r="A379" i="1"/>
  <c r="B379" i="1"/>
  <c r="F378" i="1"/>
  <c r="G378" i="1" s="1"/>
  <c r="H378" i="1"/>
  <c r="I378" i="1" s="1"/>
  <c r="B378" i="1"/>
  <c r="A378" i="1"/>
  <c r="F377" i="1"/>
  <c r="G377" i="1" s="1"/>
  <c r="H377" i="1"/>
  <c r="I377" i="1" s="1"/>
  <c r="A377" i="1"/>
  <c r="B377" i="1"/>
  <c r="F376" i="1"/>
  <c r="G376" i="1" s="1"/>
  <c r="H376" i="1"/>
  <c r="I376" i="1" s="1"/>
  <c r="A376" i="1"/>
  <c r="B376" i="1"/>
  <c r="F375" i="1"/>
  <c r="G375" i="1" s="1"/>
  <c r="H375" i="1"/>
  <c r="I375" i="1" s="1"/>
  <c r="A375" i="1"/>
  <c r="B375" i="1"/>
  <c r="H374" i="1"/>
  <c r="I374" i="1" s="1"/>
  <c r="F374" i="1"/>
  <c r="G374" i="1" s="1"/>
  <c r="A374" i="1"/>
  <c r="B374" i="1"/>
  <c r="F373" i="1"/>
  <c r="G373" i="1" s="1"/>
  <c r="H373" i="1"/>
  <c r="I373" i="1" s="1"/>
  <c r="B373" i="1"/>
  <c r="A373" i="1"/>
  <c r="H372" i="1"/>
  <c r="I372" i="1" s="1"/>
  <c r="F372" i="1"/>
  <c r="G372" i="1" s="1"/>
  <c r="A372" i="1"/>
  <c r="B372" i="1"/>
  <c r="H371" i="1"/>
  <c r="I371" i="1" s="1"/>
  <c r="F371" i="1"/>
  <c r="G371" i="1" s="1"/>
  <c r="A371" i="1"/>
  <c r="B371" i="1"/>
  <c r="F370" i="1"/>
  <c r="G370" i="1" s="1"/>
  <c r="H370" i="1"/>
  <c r="I370" i="1" s="1"/>
  <c r="A370" i="1"/>
  <c r="B370" i="1"/>
  <c r="F369" i="1"/>
  <c r="G369" i="1" s="1"/>
  <c r="H369" i="1"/>
  <c r="I369" i="1" s="1"/>
  <c r="B369" i="1"/>
  <c r="A369" i="1"/>
  <c r="H368" i="1"/>
  <c r="I368" i="1" s="1"/>
  <c r="F368" i="1"/>
  <c r="G368" i="1" s="1"/>
  <c r="B368" i="1"/>
  <c r="A368" i="1"/>
  <c r="H367" i="1"/>
  <c r="I367" i="1" s="1"/>
  <c r="F367" i="1"/>
  <c r="G367" i="1" s="1"/>
  <c r="B367" i="1"/>
  <c r="A367" i="1"/>
  <c r="H366" i="1"/>
  <c r="I366" i="1" s="1"/>
  <c r="F366" i="1"/>
  <c r="G366" i="1" s="1"/>
  <c r="A366" i="1"/>
  <c r="B366" i="1"/>
  <c r="F365" i="1"/>
  <c r="G365" i="1" s="1"/>
  <c r="H365" i="1"/>
  <c r="I365" i="1" s="1"/>
  <c r="B365" i="1"/>
  <c r="A365" i="1"/>
  <c r="F364" i="1"/>
  <c r="G364" i="1" s="1"/>
  <c r="H364" i="1"/>
  <c r="I364" i="1" s="1"/>
  <c r="B364" i="1"/>
  <c r="A364" i="1"/>
  <c r="H363" i="1"/>
  <c r="I363" i="1" s="1"/>
  <c r="F363" i="1"/>
  <c r="G363" i="1" s="1"/>
  <c r="A363" i="1"/>
  <c r="B363" i="1"/>
  <c r="H362" i="1"/>
  <c r="I362" i="1" s="1"/>
  <c r="F362" i="1"/>
  <c r="G362" i="1" s="1"/>
  <c r="B362" i="1"/>
  <c r="A362" i="1"/>
  <c r="H361" i="1"/>
  <c r="I361" i="1" s="1"/>
  <c r="F361" i="1"/>
  <c r="G361" i="1" s="1"/>
  <c r="B361" i="1"/>
  <c r="A361" i="1"/>
  <c r="H360" i="1"/>
  <c r="I360" i="1" s="1"/>
  <c r="F360" i="1"/>
  <c r="G360" i="1" s="1"/>
  <c r="B360" i="1"/>
  <c r="A360" i="1"/>
  <c r="H359" i="1"/>
  <c r="I359" i="1" s="1"/>
  <c r="F359" i="1"/>
  <c r="G359" i="1" s="1"/>
  <c r="A359" i="1"/>
  <c r="B359" i="1"/>
  <c r="H358" i="1"/>
  <c r="I358" i="1" s="1"/>
  <c r="F358" i="1"/>
  <c r="G358" i="1" s="1"/>
  <c r="A358" i="1"/>
  <c r="B358" i="1"/>
  <c r="F357" i="1"/>
  <c r="G357" i="1" s="1"/>
  <c r="H357" i="1"/>
  <c r="I357" i="1" s="1"/>
  <c r="B357" i="1"/>
  <c r="A357" i="1"/>
  <c r="H356" i="1"/>
  <c r="I356" i="1" s="1"/>
  <c r="F356" i="1"/>
  <c r="G356" i="1" s="1"/>
  <c r="B356" i="1"/>
  <c r="A356" i="1"/>
  <c r="H355" i="1"/>
  <c r="I355" i="1" s="1"/>
  <c r="F355" i="1"/>
  <c r="G355" i="1" s="1"/>
  <c r="A355" i="1"/>
  <c r="B355" i="1"/>
  <c r="H354" i="1"/>
  <c r="I354" i="1" s="1"/>
  <c r="F354" i="1"/>
  <c r="G354" i="1" s="1"/>
  <c r="A354" i="1"/>
  <c r="B354" i="1"/>
  <c r="F353" i="1"/>
  <c r="G353" i="1" s="1"/>
  <c r="H353" i="1"/>
  <c r="I353" i="1" s="1"/>
  <c r="A353" i="1"/>
  <c r="B353" i="1"/>
  <c r="H352" i="1"/>
  <c r="I352" i="1" s="1"/>
  <c r="F352" i="1"/>
  <c r="G352" i="1" s="1"/>
  <c r="A352" i="1"/>
  <c r="B352" i="1"/>
  <c r="F351" i="1"/>
  <c r="G351" i="1" s="1"/>
  <c r="H351" i="1"/>
  <c r="I351" i="1" s="1"/>
  <c r="B351" i="1"/>
  <c r="A351" i="1"/>
  <c r="F350" i="1"/>
  <c r="G350" i="1" s="1"/>
  <c r="H350" i="1"/>
  <c r="I350" i="1" s="1"/>
  <c r="A350" i="1"/>
  <c r="B350" i="1"/>
  <c r="F349" i="1"/>
  <c r="G349" i="1" s="1"/>
  <c r="H349" i="1"/>
  <c r="I349" i="1" s="1"/>
  <c r="B349" i="1"/>
  <c r="A349" i="1"/>
  <c r="H348" i="1"/>
  <c r="I348" i="1" s="1"/>
  <c r="F348" i="1"/>
  <c r="G348" i="1" s="1"/>
  <c r="A348" i="1"/>
  <c r="B348" i="1"/>
  <c r="F347" i="1"/>
  <c r="G347" i="1" s="1"/>
  <c r="H347" i="1"/>
  <c r="I347" i="1" s="1"/>
  <c r="B347" i="1"/>
  <c r="A347" i="1"/>
  <c r="H346" i="1"/>
  <c r="I346" i="1" s="1"/>
  <c r="F346" i="1"/>
  <c r="G346" i="1" s="1"/>
  <c r="B346" i="1"/>
  <c r="A346" i="1"/>
  <c r="H345" i="1"/>
  <c r="I345" i="1" s="1"/>
  <c r="F345" i="1"/>
  <c r="G345" i="1" s="1"/>
  <c r="A345" i="1"/>
  <c r="B345" i="1"/>
  <c r="H344" i="1"/>
  <c r="I344" i="1" s="1"/>
  <c r="F344" i="1"/>
  <c r="G344" i="1" s="1"/>
  <c r="B344" i="1"/>
  <c r="A344" i="1"/>
  <c r="H343" i="1"/>
  <c r="I343" i="1" s="1"/>
  <c r="F343" i="1"/>
  <c r="G343" i="1" s="1"/>
  <c r="B343" i="1"/>
  <c r="A343" i="1"/>
  <c r="H342" i="1"/>
  <c r="I342" i="1" s="1"/>
  <c r="F342" i="1"/>
  <c r="G342" i="1" s="1"/>
  <c r="A342" i="1"/>
  <c r="B342" i="1"/>
  <c r="H341" i="1"/>
  <c r="I341" i="1" s="1"/>
  <c r="F341" i="1"/>
  <c r="G341" i="1" s="1"/>
  <c r="A341" i="1"/>
  <c r="B341" i="1"/>
  <c r="F340" i="1"/>
  <c r="G340" i="1" s="1"/>
  <c r="H340" i="1"/>
  <c r="I340" i="1" s="1"/>
  <c r="A340" i="1"/>
  <c r="B340" i="1"/>
  <c r="H339" i="1"/>
  <c r="I339" i="1" s="1"/>
  <c r="F339" i="1"/>
  <c r="G339" i="1" s="1"/>
  <c r="A339" i="1"/>
  <c r="B339" i="1"/>
  <c r="F338" i="1"/>
  <c r="G338" i="1" s="1"/>
  <c r="H338" i="1"/>
  <c r="I338" i="1" s="1"/>
  <c r="B338" i="1"/>
  <c r="A338" i="1"/>
  <c r="H337" i="1"/>
  <c r="I337" i="1" s="1"/>
  <c r="F337" i="1"/>
  <c r="G337" i="1" s="1"/>
  <c r="A337" i="1"/>
  <c r="B337" i="1"/>
  <c r="F336" i="1"/>
  <c r="G336" i="1" s="1"/>
  <c r="H336" i="1"/>
  <c r="I336" i="1" s="1"/>
  <c r="A336" i="1"/>
  <c r="B336" i="1"/>
  <c r="H335" i="1"/>
  <c r="I335" i="1" s="1"/>
  <c r="F335" i="1"/>
  <c r="G335" i="1" s="1"/>
  <c r="A335" i="1"/>
  <c r="B335" i="1"/>
  <c r="F334" i="1"/>
  <c r="G334" i="1" s="1"/>
  <c r="H334" i="1"/>
  <c r="I334" i="1" s="1"/>
  <c r="B334" i="1"/>
  <c r="A334" i="1"/>
  <c r="H333" i="1"/>
  <c r="I333" i="1" s="1"/>
  <c r="F333" i="1"/>
  <c r="G333" i="1" s="1"/>
  <c r="B333" i="1"/>
  <c r="A333" i="1"/>
  <c r="F332" i="1"/>
  <c r="G332" i="1" s="1"/>
  <c r="H332" i="1"/>
  <c r="I332" i="1" s="1"/>
  <c r="B332" i="1"/>
  <c r="A332" i="1"/>
  <c r="F331" i="1"/>
  <c r="G331" i="1" s="1"/>
  <c r="H331" i="1"/>
  <c r="I331" i="1" s="1"/>
  <c r="A331" i="1"/>
  <c r="B331" i="1"/>
  <c r="H330" i="1"/>
  <c r="I330" i="1" s="1"/>
  <c r="F330" i="1"/>
  <c r="G330" i="1" s="1"/>
  <c r="B330" i="1"/>
  <c r="A330" i="1"/>
  <c r="H329" i="1"/>
  <c r="I329" i="1" s="1"/>
  <c r="F329" i="1"/>
  <c r="G329" i="1" s="1"/>
  <c r="B329" i="1"/>
  <c r="A329" i="1"/>
  <c r="F328" i="1"/>
  <c r="G328" i="1" s="1"/>
  <c r="H328" i="1"/>
  <c r="I328" i="1" s="1"/>
  <c r="A328" i="1"/>
  <c r="B328" i="1"/>
  <c r="H327" i="1"/>
  <c r="I327" i="1" s="1"/>
  <c r="F327" i="1"/>
  <c r="G327" i="1" s="1"/>
  <c r="B327" i="1"/>
  <c r="A327" i="1"/>
  <c r="H326" i="1"/>
  <c r="I326" i="1" s="1"/>
  <c r="F326" i="1"/>
  <c r="G326" i="1" s="1"/>
  <c r="A326" i="1"/>
  <c r="B326" i="1"/>
  <c r="F325" i="1"/>
  <c r="G325" i="1" s="1"/>
  <c r="H325" i="1"/>
  <c r="I325" i="1" s="1"/>
  <c r="A325" i="1"/>
  <c r="B325" i="1"/>
  <c r="F324" i="1"/>
  <c r="G324" i="1" s="1"/>
  <c r="H324" i="1"/>
  <c r="I324" i="1" s="1"/>
  <c r="A324" i="1"/>
  <c r="B324" i="1"/>
  <c r="F323" i="1"/>
  <c r="G323" i="1" s="1"/>
  <c r="H323" i="1"/>
  <c r="I323" i="1" s="1"/>
  <c r="B323" i="1"/>
  <c r="A323" i="1"/>
  <c r="H322" i="1"/>
  <c r="I322" i="1" s="1"/>
  <c r="F322" i="1"/>
  <c r="G322" i="1" s="1"/>
  <c r="B322" i="1"/>
  <c r="A322" i="1"/>
  <c r="F321" i="1"/>
  <c r="G321" i="1" s="1"/>
  <c r="H321" i="1"/>
  <c r="I321" i="1" s="1"/>
  <c r="B321" i="1"/>
  <c r="A321" i="1"/>
  <c r="F320" i="1"/>
  <c r="G320" i="1" s="1"/>
  <c r="H320" i="1"/>
  <c r="I320" i="1" s="1"/>
  <c r="B320" i="1"/>
  <c r="A320" i="1"/>
  <c r="F319" i="1"/>
  <c r="G319" i="1" s="1"/>
  <c r="H319" i="1"/>
  <c r="I319" i="1" s="1"/>
  <c r="B319" i="1"/>
  <c r="A319" i="1"/>
  <c r="H318" i="1"/>
  <c r="I318" i="1" s="1"/>
  <c r="F318" i="1"/>
  <c r="G318" i="1" s="1"/>
  <c r="B318" i="1"/>
  <c r="A318" i="1"/>
  <c r="F317" i="1"/>
  <c r="G317" i="1" s="1"/>
  <c r="H317" i="1"/>
  <c r="I317" i="1" s="1"/>
  <c r="A317" i="1"/>
  <c r="B317" i="1"/>
  <c r="F316" i="1"/>
  <c r="G316" i="1" s="1"/>
  <c r="H316" i="1"/>
  <c r="I316" i="1" s="1"/>
  <c r="B316" i="1"/>
  <c r="A316" i="1"/>
  <c r="F315" i="1"/>
  <c r="G315" i="1" s="1"/>
  <c r="H315" i="1"/>
  <c r="I315" i="1" s="1"/>
  <c r="B315" i="1"/>
  <c r="A315" i="1"/>
  <c r="F314" i="1"/>
  <c r="G314" i="1" s="1"/>
  <c r="H314" i="1"/>
  <c r="I314" i="1" s="1"/>
  <c r="B314" i="1"/>
  <c r="A314" i="1"/>
  <c r="H313" i="1"/>
  <c r="I313" i="1" s="1"/>
  <c r="F313" i="1"/>
  <c r="G313" i="1" s="1"/>
  <c r="B313" i="1"/>
  <c r="A313" i="1"/>
  <c r="H312" i="1"/>
  <c r="I312" i="1" s="1"/>
  <c r="F312" i="1"/>
  <c r="G312" i="1" s="1"/>
  <c r="A312" i="1"/>
  <c r="B312" i="1"/>
  <c r="H311" i="1"/>
  <c r="I311" i="1" s="1"/>
  <c r="F311" i="1"/>
  <c r="G311" i="1" s="1"/>
  <c r="A311" i="1"/>
  <c r="B311" i="1"/>
  <c r="H310" i="1"/>
  <c r="I310" i="1" s="1"/>
  <c r="F310" i="1"/>
  <c r="G310" i="1" s="1"/>
  <c r="B310" i="1"/>
  <c r="A310" i="1"/>
  <c r="H309" i="1"/>
  <c r="I309" i="1" s="1"/>
  <c r="F309" i="1"/>
  <c r="G309" i="1" s="1"/>
  <c r="A309" i="1"/>
  <c r="B309" i="1"/>
  <c r="H308" i="1"/>
  <c r="I308" i="1" s="1"/>
  <c r="F308" i="1"/>
  <c r="G308" i="1" s="1"/>
  <c r="B308" i="1"/>
  <c r="A308" i="1"/>
  <c r="H307" i="1"/>
  <c r="I307" i="1" s="1"/>
  <c r="F307" i="1"/>
  <c r="G307" i="1" s="1"/>
  <c r="A307" i="1"/>
  <c r="B307" i="1"/>
  <c r="H306" i="1"/>
  <c r="I306" i="1" s="1"/>
  <c r="F306" i="1"/>
  <c r="G306" i="1" s="1"/>
  <c r="B306" i="1"/>
  <c r="A306" i="1"/>
  <c r="F305" i="1"/>
  <c r="G305" i="1" s="1"/>
  <c r="H305" i="1"/>
  <c r="I305" i="1" s="1"/>
  <c r="B305" i="1"/>
  <c r="A305" i="1"/>
  <c r="H304" i="1"/>
  <c r="I304" i="1" s="1"/>
  <c r="F304" i="1"/>
  <c r="G304" i="1" s="1"/>
  <c r="B304" i="1"/>
  <c r="A304" i="1"/>
  <c r="H303" i="1"/>
  <c r="I303" i="1" s="1"/>
  <c r="F303" i="1"/>
  <c r="G303" i="1" s="1"/>
  <c r="B303" i="1"/>
  <c r="A303" i="1"/>
  <c r="F302" i="1"/>
  <c r="G302" i="1" s="1"/>
  <c r="H302" i="1"/>
  <c r="I302" i="1" s="1"/>
  <c r="B302" i="1"/>
  <c r="A302" i="1"/>
  <c r="H301" i="1"/>
  <c r="I301" i="1" s="1"/>
  <c r="F301" i="1"/>
  <c r="G301" i="1" s="1"/>
  <c r="B301" i="1"/>
  <c r="A301" i="1"/>
  <c r="F300" i="1"/>
  <c r="G300" i="1" s="1"/>
  <c r="H300" i="1"/>
  <c r="I300" i="1" s="1"/>
  <c r="A300" i="1"/>
  <c r="B300" i="1"/>
  <c r="H299" i="1"/>
  <c r="I299" i="1" s="1"/>
  <c r="F299" i="1"/>
  <c r="G299" i="1" s="1"/>
  <c r="A299" i="1"/>
  <c r="B299" i="1"/>
  <c r="H298" i="1"/>
  <c r="I298" i="1" s="1"/>
  <c r="F298" i="1"/>
  <c r="G298" i="1" s="1"/>
  <c r="B298" i="1"/>
  <c r="A298" i="1"/>
  <c r="H297" i="1"/>
  <c r="I297" i="1" s="1"/>
  <c r="F297" i="1"/>
  <c r="G297" i="1" s="1"/>
  <c r="A297" i="1"/>
  <c r="B297" i="1"/>
  <c r="F296" i="1"/>
  <c r="G296" i="1" s="1"/>
  <c r="H296" i="1"/>
  <c r="I296" i="1" s="1"/>
  <c r="B296" i="1"/>
  <c r="A296" i="1"/>
  <c r="F295" i="1"/>
  <c r="G295" i="1" s="1"/>
  <c r="H295" i="1"/>
  <c r="I295" i="1" s="1"/>
  <c r="A295" i="1"/>
  <c r="B295" i="1"/>
  <c r="F294" i="1"/>
  <c r="G294" i="1" s="1"/>
  <c r="H294" i="1"/>
  <c r="I294" i="1" s="1"/>
  <c r="A294" i="1"/>
  <c r="B294" i="1"/>
  <c r="F293" i="1"/>
  <c r="G293" i="1" s="1"/>
  <c r="H293" i="1"/>
  <c r="I293" i="1" s="1"/>
  <c r="A293" i="1"/>
  <c r="B293" i="1"/>
  <c r="H292" i="1"/>
  <c r="I292" i="1" s="1"/>
  <c r="F292" i="1"/>
  <c r="G292" i="1" s="1"/>
  <c r="B292" i="1"/>
  <c r="A292" i="1"/>
  <c r="H291" i="1"/>
  <c r="I291" i="1" s="1"/>
  <c r="F291" i="1"/>
  <c r="G291" i="1" s="1"/>
  <c r="A291" i="1"/>
  <c r="B291" i="1"/>
  <c r="F290" i="1"/>
  <c r="G290" i="1" s="1"/>
  <c r="H290" i="1"/>
  <c r="I290" i="1" s="1"/>
  <c r="B290" i="1"/>
  <c r="A290" i="1"/>
  <c r="F289" i="1"/>
  <c r="G289" i="1" s="1"/>
  <c r="H289" i="1"/>
  <c r="I289" i="1" s="1"/>
  <c r="A289" i="1"/>
  <c r="B289" i="1"/>
  <c r="F288" i="1"/>
  <c r="G288" i="1" s="1"/>
  <c r="H288" i="1"/>
  <c r="I288" i="1" s="1"/>
  <c r="A288" i="1"/>
  <c r="B288" i="1"/>
  <c r="H287" i="1"/>
  <c r="I287" i="1" s="1"/>
  <c r="F287" i="1"/>
  <c r="G287" i="1" s="1"/>
  <c r="A287" i="1"/>
  <c r="B287" i="1"/>
  <c r="H286" i="1"/>
  <c r="I286" i="1" s="1"/>
  <c r="F286" i="1"/>
  <c r="G286" i="1" s="1"/>
  <c r="A286" i="1"/>
  <c r="B286" i="1"/>
  <c r="H285" i="1"/>
  <c r="I285" i="1" s="1"/>
  <c r="F285" i="1"/>
  <c r="G285" i="1" s="1"/>
  <c r="A285" i="1"/>
  <c r="B285" i="1"/>
  <c r="F284" i="1"/>
  <c r="G284" i="1" s="1"/>
  <c r="H284" i="1"/>
  <c r="I284" i="1" s="1"/>
  <c r="A284" i="1"/>
  <c r="B284" i="1"/>
  <c r="F283" i="1"/>
  <c r="G283" i="1" s="1"/>
  <c r="H283" i="1"/>
  <c r="I283" i="1" s="1"/>
  <c r="A283" i="1"/>
  <c r="B283" i="1"/>
  <c r="F282" i="1"/>
  <c r="G282" i="1" s="1"/>
  <c r="H282" i="1"/>
  <c r="I282" i="1" s="1"/>
  <c r="A282" i="1"/>
  <c r="B282" i="1"/>
  <c r="F281" i="1"/>
  <c r="G281" i="1" s="1"/>
  <c r="H281" i="1"/>
  <c r="I281" i="1" s="1"/>
  <c r="A281" i="1"/>
  <c r="B281" i="1"/>
  <c r="H280" i="1"/>
  <c r="I280" i="1" s="1"/>
  <c r="F280" i="1"/>
  <c r="G280" i="1" s="1"/>
  <c r="B280" i="1"/>
  <c r="A280" i="1"/>
  <c r="H279" i="1"/>
  <c r="I279" i="1" s="1"/>
  <c r="F279" i="1"/>
  <c r="G279" i="1" s="1"/>
  <c r="A279" i="1"/>
  <c r="B279" i="1"/>
  <c r="H278" i="1"/>
  <c r="I278" i="1" s="1"/>
  <c r="F278" i="1"/>
  <c r="G278" i="1" s="1"/>
  <c r="A278" i="1"/>
  <c r="B278" i="1"/>
  <c r="H277" i="1"/>
  <c r="I277" i="1" s="1"/>
  <c r="F277" i="1"/>
  <c r="G277" i="1" s="1"/>
  <c r="B277" i="1"/>
  <c r="A277" i="1"/>
  <c r="H276" i="1"/>
  <c r="I276" i="1" s="1"/>
  <c r="F276" i="1"/>
  <c r="G276" i="1" s="1"/>
  <c r="A276" i="1"/>
  <c r="B276" i="1"/>
  <c r="H275" i="1"/>
  <c r="I275" i="1" s="1"/>
  <c r="F275" i="1"/>
  <c r="G275" i="1" s="1"/>
  <c r="A275" i="1"/>
  <c r="B275" i="1"/>
  <c r="H274" i="1"/>
  <c r="I274" i="1" s="1"/>
  <c r="F274" i="1"/>
  <c r="G274" i="1" s="1"/>
  <c r="B274" i="1"/>
  <c r="A274" i="1"/>
  <c r="H273" i="1"/>
  <c r="I273" i="1" s="1"/>
  <c r="F273" i="1"/>
  <c r="G273" i="1" s="1"/>
  <c r="B273" i="1"/>
  <c r="A273" i="1"/>
  <c r="F272" i="1"/>
  <c r="G272" i="1" s="1"/>
  <c r="H272" i="1"/>
  <c r="I272" i="1" s="1"/>
  <c r="A272" i="1"/>
  <c r="B272" i="1"/>
  <c r="H271" i="1"/>
  <c r="I271" i="1" s="1"/>
  <c r="F271" i="1"/>
  <c r="G271" i="1" s="1"/>
  <c r="A271" i="1"/>
  <c r="B271" i="1"/>
  <c r="H270" i="1"/>
  <c r="I270" i="1" s="1"/>
  <c r="F270" i="1"/>
  <c r="G270" i="1" s="1"/>
  <c r="B270" i="1"/>
  <c r="A270" i="1"/>
  <c r="F269" i="1"/>
  <c r="G269" i="1" s="1"/>
  <c r="H269" i="1"/>
  <c r="I269" i="1" s="1"/>
  <c r="B269" i="1"/>
  <c r="A269" i="1"/>
  <c r="F268" i="1"/>
  <c r="G268" i="1" s="1"/>
  <c r="H268" i="1"/>
  <c r="I268" i="1" s="1"/>
  <c r="A268" i="1"/>
  <c r="B268" i="1"/>
  <c r="F267" i="1"/>
  <c r="G267" i="1" s="1"/>
  <c r="H267" i="1"/>
  <c r="I267" i="1" s="1"/>
  <c r="B267" i="1"/>
  <c r="A267" i="1"/>
  <c r="F266" i="1"/>
  <c r="G266" i="1" s="1"/>
  <c r="H266" i="1"/>
  <c r="I266" i="1" s="1"/>
  <c r="B266" i="1"/>
  <c r="A266" i="1"/>
  <c r="F265" i="1"/>
  <c r="G265" i="1" s="1"/>
  <c r="H265" i="1"/>
  <c r="I265" i="1" s="1"/>
  <c r="A265" i="1"/>
  <c r="B265" i="1"/>
  <c r="H264" i="1"/>
  <c r="I264" i="1" s="1"/>
  <c r="F264" i="1"/>
  <c r="G264" i="1" s="1"/>
  <c r="B264" i="1"/>
  <c r="A264" i="1"/>
  <c r="H263" i="1"/>
  <c r="I263" i="1" s="1"/>
  <c r="F263" i="1"/>
  <c r="G263" i="1" s="1"/>
  <c r="B263" i="1"/>
  <c r="A263" i="1"/>
  <c r="F262" i="1"/>
  <c r="G262" i="1" s="1"/>
  <c r="H262" i="1"/>
  <c r="I262" i="1" s="1"/>
  <c r="A262" i="1"/>
  <c r="B262" i="1"/>
  <c r="H261" i="1"/>
  <c r="I261" i="1" s="1"/>
  <c r="F261" i="1"/>
  <c r="G261" i="1" s="1"/>
  <c r="A261" i="1"/>
  <c r="B261" i="1"/>
  <c r="H260" i="1"/>
  <c r="I260" i="1" s="1"/>
  <c r="F260" i="1"/>
  <c r="G260" i="1" s="1"/>
  <c r="A260" i="1"/>
  <c r="B260" i="1"/>
  <c r="F259" i="1"/>
  <c r="G259" i="1" s="1"/>
  <c r="H259" i="1"/>
  <c r="I259" i="1" s="1"/>
  <c r="A259" i="1"/>
  <c r="B259" i="1"/>
  <c r="H258" i="1"/>
  <c r="I258" i="1" s="1"/>
  <c r="F258" i="1"/>
  <c r="G258" i="1" s="1"/>
  <c r="A258" i="1"/>
  <c r="B258" i="1"/>
  <c r="F257" i="1"/>
  <c r="G257" i="1" s="1"/>
  <c r="H257" i="1"/>
  <c r="I257" i="1" s="1"/>
  <c r="A257" i="1"/>
  <c r="B257" i="1"/>
  <c r="F256" i="1"/>
  <c r="G256" i="1" s="1"/>
  <c r="H256" i="1"/>
  <c r="I256" i="1" s="1"/>
  <c r="A256" i="1"/>
  <c r="B256" i="1"/>
  <c r="F255" i="1"/>
  <c r="G255" i="1" s="1"/>
  <c r="H255" i="1"/>
  <c r="I255" i="1" s="1"/>
  <c r="A255" i="1"/>
  <c r="B255" i="1"/>
  <c r="H254" i="1"/>
  <c r="I254" i="1" s="1"/>
  <c r="F254" i="1"/>
  <c r="G254" i="1" s="1"/>
  <c r="B254" i="1"/>
  <c r="A254" i="1"/>
  <c r="F253" i="1"/>
  <c r="G253" i="1" s="1"/>
  <c r="H253" i="1"/>
  <c r="I253" i="1" s="1"/>
  <c r="A253" i="1"/>
  <c r="B253" i="1"/>
  <c r="F252" i="1"/>
  <c r="G252" i="1" s="1"/>
  <c r="H252" i="1"/>
  <c r="I252" i="1" s="1"/>
  <c r="A252" i="1"/>
  <c r="B252" i="1"/>
  <c r="H251" i="1"/>
  <c r="I251" i="1" s="1"/>
  <c r="F251" i="1"/>
  <c r="G251" i="1" s="1"/>
  <c r="A251" i="1"/>
  <c r="B251" i="1"/>
  <c r="H250" i="1"/>
  <c r="I250" i="1" s="1"/>
  <c r="F250" i="1"/>
  <c r="G250" i="1" s="1"/>
  <c r="A250" i="1"/>
  <c r="B250" i="1"/>
  <c r="H249" i="1"/>
  <c r="I249" i="1" s="1"/>
  <c r="F249" i="1"/>
  <c r="G249" i="1" s="1"/>
  <c r="A249" i="1"/>
  <c r="B249" i="1"/>
  <c r="F248" i="1"/>
  <c r="G248" i="1" s="1"/>
  <c r="H248" i="1"/>
  <c r="I248" i="1" s="1"/>
  <c r="B248" i="1"/>
  <c r="A248" i="1"/>
  <c r="H247" i="1"/>
  <c r="I247" i="1" s="1"/>
  <c r="F247" i="1"/>
  <c r="G247" i="1" s="1"/>
  <c r="A247" i="1"/>
  <c r="B247" i="1"/>
  <c r="H246" i="1"/>
  <c r="I246" i="1" s="1"/>
  <c r="F246" i="1"/>
  <c r="G246" i="1" s="1"/>
  <c r="A246" i="1"/>
  <c r="B246" i="1"/>
  <c r="F245" i="1"/>
  <c r="G245" i="1" s="1"/>
  <c r="H245" i="1"/>
  <c r="I245" i="1" s="1"/>
  <c r="B245" i="1"/>
  <c r="A245" i="1"/>
  <c r="F244" i="1"/>
  <c r="G244" i="1" s="1"/>
  <c r="H244" i="1"/>
  <c r="I244" i="1" s="1"/>
  <c r="A244" i="1"/>
  <c r="B244" i="1"/>
  <c r="F243" i="1"/>
  <c r="G243" i="1" s="1"/>
  <c r="H243" i="1"/>
  <c r="I243" i="1" s="1"/>
  <c r="B243" i="1"/>
  <c r="A243" i="1"/>
  <c r="H242" i="1"/>
  <c r="I242" i="1" s="1"/>
  <c r="F242" i="1"/>
  <c r="G242" i="1" s="1"/>
  <c r="B242" i="1"/>
  <c r="A242" i="1"/>
  <c r="F241" i="1"/>
  <c r="G241" i="1" s="1"/>
  <c r="H241" i="1"/>
  <c r="I241" i="1" s="1"/>
  <c r="A241" i="1"/>
  <c r="B241" i="1"/>
  <c r="F240" i="1"/>
  <c r="G240" i="1" s="1"/>
  <c r="H240" i="1"/>
  <c r="I240" i="1" s="1"/>
  <c r="B240" i="1"/>
  <c r="A240" i="1"/>
  <c r="F239" i="1"/>
  <c r="G239" i="1" s="1"/>
  <c r="H239" i="1"/>
  <c r="I239" i="1" s="1"/>
  <c r="B239" i="1"/>
  <c r="A239" i="1"/>
  <c r="F238" i="1"/>
  <c r="G238" i="1" s="1"/>
  <c r="H238" i="1"/>
  <c r="I238" i="1" s="1"/>
  <c r="B238" i="1"/>
  <c r="A238" i="1"/>
  <c r="F237" i="1"/>
  <c r="G237" i="1" s="1"/>
  <c r="H237" i="1"/>
  <c r="I237" i="1" s="1"/>
  <c r="B237" i="1"/>
  <c r="A237" i="1"/>
  <c r="H236" i="1"/>
  <c r="I236" i="1" s="1"/>
  <c r="F236" i="1"/>
  <c r="G236" i="1" s="1"/>
  <c r="B236" i="1"/>
  <c r="A236" i="1"/>
  <c r="H235" i="1"/>
  <c r="I235" i="1" s="1"/>
  <c r="F235" i="1"/>
  <c r="G235" i="1" s="1"/>
  <c r="A235" i="1"/>
  <c r="B235" i="1"/>
  <c r="F234" i="1"/>
  <c r="G234" i="1" s="1"/>
  <c r="H234" i="1"/>
  <c r="I234" i="1" s="1"/>
  <c r="A234" i="1"/>
  <c r="B234" i="1"/>
  <c r="F233" i="1"/>
  <c r="G233" i="1" s="1"/>
  <c r="H233" i="1"/>
  <c r="I233" i="1" s="1"/>
  <c r="B233" i="1"/>
  <c r="A233" i="1"/>
  <c r="F232" i="1"/>
  <c r="G232" i="1" s="1"/>
  <c r="H232" i="1"/>
  <c r="I232" i="1" s="1"/>
  <c r="B232" i="1"/>
  <c r="A232" i="1"/>
  <c r="H231" i="1"/>
  <c r="I231" i="1" s="1"/>
  <c r="F231" i="1"/>
  <c r="G231" i="1" s="1"/>
  <c r="B231" i="1"/>
  <c r="A231" i="1"/>
  <c r="H230" i="1"/>
  <c r="I230" i="1" s="1"/>
  <c r="F230" i="1"/>
  <c r="G230" i="1" s="1"/>
  <c r="B230" i="1"/>
  <c r="A230" i="1"/>
  <c r="F229" i="1"/>
  <c r="G229" i="1" s="1"/>
  <c r="H229" i="1"/>
  <c r="I229" i="1" s="1"/>
  <c r="A229" i="1"/>
  <c r="B229" i="1"/>
  <c r="H228" i="1"/>
  <c r="I228" i="1" s="1"/>
  <c r="F228" i="1"/>
  <c r="G228" i="1" s="1"/>
  <c r="A228" i="1"/>
  <c r="B228" i="1"/>
  <c r="F227" i="1"/>
  <c r="G227" i="1" s="1"/>
  <c r="H227" i="1"/>
  <c r="I227" i="1" s="1"/>
  <c r="A227" i="1"/>
  <c r="B227" i="1"/>
  <c r="H226" i="1"/>
  <c r="I226" i="1" s="1"/>
  <c r="F226" i="1"/>
  <c r="G226" i="1" s="1"/>
  <c r="B226" i="1"/>
  <c r="A226" i="1"/>
  <c r="H225" i="1"/>
  <c r="I225" i="1" s="1"/>
  <c r="F225" i="1"/>
  <c r="G225" i="1" s="1"/>
  <c r="B225" i="1"/>
  <c r="A225" i="1"/>
  <c r="F224" i="1"/>
  <c r="G224" i="1" s="1"/>
  <c r="H224" i="1"/>
  <c r="I224" i="1" s="1"/>
  <c r="B224" i="1"/>
  <c r="A224" i="1"/>
  <c r="H223" i="1"/>
  <c r="I223" i="1" s="1"/>
  <c r="F223" i="1"/>
  <c r="G223" i="1" s="1"/>
  <c r="B223" i="1"/>
  <c r="A223" i="1"/>
  <c r="F222" i="1"/>
  <c r="G222" i="1" s="1"/>
  <c r="H222" i="1"/>
  <c r="I222" i="1" s="1"/>
  <c r="A222" i="1"/>
  <c r="B222" i="1"/>
  <c r="H221" i="1"/>
  <c r="I221" i="1" s="1"/>
  <c r="F221" i="1"/>
  <c r="G221" i="1" s="1"/>
  <c r="B221" i="1"/>
  <c r="A221" i="1"/>
  <c r="F220" i="1"/>
  <c r="G220" i="1" s="1"/>
  <c r="H220" i="1"/>
  <c r="I220" i="1" s="1"/>
  <c r="B220" i="1"/>
  <c r="A220" i="1"/>
  <c r="F219" i="1"/>
  <c r="G219" i="1" s="1"/>
  <c r="H219" i="1"/>
  <c r="I219" i="1" s="1"/>
  <c r="A219" i="1"/>
  <c r="B219" i="1"/>
  <c r="F218" i="1"/>
  <c r="G218" i="1" s="1"/>
  <c r="H218" i="1"/>
  <c r="I218" i="1" s="1"/>
  <c r="B218" i="1"/>
  <c r="A218" i="1"/>
  <c r="H217" i="1"/>
  <c r="I217" i="1" s="1"/>
  <c r="F217" i="1"/>
  <c r="G217" i="1" s="1"/>
  <c r="A217" i="1"/>
  <c r="B217" i="1"/>
  <c r="H216" i="1"/>
  <c r="I216" i="1" s="1"/>
  <c r="F216" i="1"/>
  <c r="G216" i="1" s="1"/>
  <c r="B216" i="1"/>
  <c r="A216" i="1"/>
  <c r="H215" i="1"/>
  <c r="I215" i="1" s="1"/>
  <c r="F215" i="1"/>
  <c r="G215" i="1" s="1"/>
  <c r="A215" i="1"/>
  <c r="B215" i="1"/>
  <c r="F214" i="1"/>
  <c r="G214" i="1" s="1"/>
  <c r="H214" i="1"/>
  <c r="I214" i="1" s="1"/>
  <c r="B214" i="1"/>
  <c r="A214" i="1"/>
  <c r="H213" i="1"/>
  <c r="I213" i="1" s="1"/>
  <c r="F213" i="1"/>
  <c r="G213" i="1" s="1"/>
  <c r="B213" i="1"/>
  <c r="A213" i="1"/>
  <c r="H212" i="1"/>
  <c r="I212" i="1" s="1"/>
  <c r="F212" i="1"/>
  <c r="G212" i="1" s="1"/>
  <c r="A212" i="1"/>
  <c r="B212" i="1"/>
  <c r="F211" i="1"/>
  <c r="G211" i="1" s="1"/>
  <c r="H211" i="1"/>
  <c r="I211" i="1" s="1"/>
  <c r="B211" i="1"/>
  <c r="A211" i="1"/>
  <c r="H210" i="1"/>
  <c r="I210" i="1" s="1"/>
  <c r="F210" i="1"/>
  <c r="G210" i="1" s="1"/>
  <c r="A210" i="1"/>
  <c r="B210" i="1"/>
  <c r="H209" i="1"/>
  <c r="I209" i="1" s="1"/>
  <c r="F209" i="1"/>
  <c r="G209" i="1" s="1"/>
  <c r="A209" i="1"/>
  <c r="B209" i="1"/>
  <c r="F208" i="1"/>
  <c r="G208" i="1" s="1"/>
  <c r="H208" i="1"/>
  <c r="I208" i="1" s="1"/>
  <c r="B208" i="1"/>
  <c r="A208" i="1"/>
  <c r="F207" i="1"/>
  <c r="G207" i="1" s="1"/>
  <c r="H207" i="1"/>
  <c r="I207" i="1" s="1"/>
  <c r="B207" i="1"/>
  <c r="A207" i="1"/>
  <c r="H206" i="1"/>
  <c r="I206" i="1" s="1"/>
  <c r="F206" i="1"/>
  <c r="G206" i="1" s="1"/>
  <c r="A206" i="1"/>
  <c r="B206" i="1"/>
  <c r="F205" i="1"/>
  <c r="G205" i="1" s="1"/>
  <c r="H205" i="1"/>
  <c r="I205" i="1" s="1"/>
  <c r="A205" i="1"/>
  <c r="B205" i="1"/>
  <c r="F204" i="1"/>
  <c r="G204" i="1" s="1"/>
  <c r="H204" i="1"/>
  <c r="I204" i="1" s="1"/>
  <c r="B204" i="1"/>
  <c r="A204" i="1"/>
  <c r="H203" i="1"/>
  <c r="I203" i="1" s="1"/>
  <c r="F203" i="1"/>
  <c r="G203" i="1" s="1"/>
  <c r="A203" i="1"/>
  <c r="B203" i="1"/>
  <c r="H202" i="1"/>
  <c r="I202" i="1" s="1"/>
  <c r="F202" i="1"/>
  <c r="G202" i="1" s="1"/>
  <c r="A202" i="1"/>
  <c r="B202" i="1"/>
  <c r="H201" i="1"/>
  <c r="I201" i="1" s="1"/>
  <c r="F201" i="1"/>
  <c r="G201" i="1" s="1"/>
  <c r="B201" i="1"/>
  <c r="A201" i="1"/>
  <c r="H200" i="1"/>
  <c r="I200" i="1" s="1"/>
  <c r="F200" i="1"/>
  <c r="G200" i="1" s="1"/>
  <c r="B200" i="1"/>
  <c r="A200" i="1"/>
  <c r="F199" i="1"/>
  <c r="G199" i="1" s="1"/>
  <c r="H199" i="1"/>
  <c r="I199" i="1" s="1"/>
  <c r="B199" i="1"/>
  <c r="A199" i="1"/>
  <c r="H198" i="1"/>
  <c r="I198" i="1" s="1"/>
  <c r="F198" i="1"/>
  <c r="G198" i="1" s="1"/>
  <c r="B198" i="1"/>
  <c r="A198" i="1"/>
  <c r="F197" i="1"/>
  <c r="G197" i="1" s="1"/>
  <c r="H197" i="1"/>
  <c r="I197" i="1" s="1"/>
  <c r="B197" i="1"/>
  <c r="A197" i="1"/>
  <c r="F196" i="1"/>
  <c r="G196" i="1" s="1"/>
  <c r="H196" i="1"/>
  <c r="I196" i="1" s="1"/>
  <c r="A196" i="1"/>
  <c r="B196" i="1"/>
  <c r="H195" i="1"/>
  <c r="I195" i="1" s="1"/>
  <c r="F195" i="1"/>
  <c r="G195" i="1" s="1"/>
  <c r="B195" i="1"/>
  <c r="A195" i="1"/>
  <c r="H194" i="1"/>
  <c r="I194" i="1" s="1"/>
  <c r="F194" i="1"/>
  <c r="G194" i="1" s="1"/>
  <c r="B194" i="1"/>
  <c r="A194" i="1"/>
  <c r="F193" i="1"/>
  <c r="G193" i="1" s="1"/>
  <c r="H193" i="1"/>
  <c r="I193" i="1" s="1"/>
  <c r="B193" i="1"/>
  <c r="A193" i="1"/>
  <c r="F192" i="1"/>
  <c r="G192" i="1" s="1"/>
  <c r="H192" i="1"/>
  <c r="I192" i="1" s="1"/>
  <c r="B192" i="1"/>
  <c r="A192" i="1"/>
  <c r="F191" i="1"/>
  <c r="G191" i="1" s="1"/>
  <c r="H191" i="1"/>
  <c r="I191" i="1" s="1"/>
  <c r="A191" i="1"/>
  <c r="B191" i="1"/>
  <c r="F190" i="1"/>
  <c r="G190" i="1" s="1"/>
  <c r="H190" i="1"/>
  <c r="I190" i="1" s="1"/>
  <c r="B190" i="1"/>
  <c r="A190" i="1"/>
  <c r="H189" i="1"/>
  <c r="I189" i="1" s="1"/>
  <c r="F189" i="1"/>
  <c r="G189" i="1" s="1"/>
  <c r="B189" i="1"/>
  <c r="A189" i="1"/>
  <c r="F188" i="1"/>
  <c r="G188" i="1" s="1"/>
  <c r="H188" i="1"/>
  <c r="I188" i="1" s="1"/>
  <c r="A188" i="1"/>
  <c r="B188" i="1"/>
  <c r="F187" i="1"/>
  <c r="G187" i="1" s="1"/>
  <c r="H187" i="1"/>
  <c r="I187" i="1" s="1"/>
  <c r="A187" i="1"/>
  <c r="B187" i="1"/>
  <c r="F186" i="1"/>
  <c r="G186" i="1" s="1"/>
  <c r="H186" i="1"/>
  <c r="I186" i="1" s="1"/>
  <c r="B186" i="1"/>
  <c r="A186" i="1"/>
  <c r="F185" i="1"/>
  <c r="G185" i="1" s="1"/>
  <c r="H185" i="1"/>
  <c r="I185" i="1" s="1"/>
  <c r="A185" i="1"/>
  <c r="B185" i="1"/>
  <c r="H184" i="1"/>
  <c r="I184" i="1" s="1"/>
  <c r="F184" i="1"/>
  <c r="G184" i="1" s="1"/>
  <c r="B184" i="1"/>
  <c r="A184" i="1"/>
  <c r="H183" i="1"/>
  <c r="I183" i="1" s="1"/>
  <c r="F183" i="1"/>
  <c r="G183" i="1" s="1"/>
  <c r="B183" i="1"/>
  <c r="A183" i="1"/>
  <c r="H182" i="1"/>
  <c r="I182" i="1" s="1"/>
  <c r="F182" i="1"/>
  <c r="G182" i="1" s="1"/>
  <c r="A182" i="1"/>
  <c r="B182" i="1"/>
  <c r="F181" i="1"/>
  <c r="G181" i="1" s="1"/>
  <c r="H181" i="1"/>
  <c r="I181" i="1" s="1"/>
  <c r="B181" i="1"/>
  <c r="A181" i="1"/>
  <c r="H180" i="1"/>
  <c r="I180" i="1" s="1"/>
  <c r="F180" i="1"/>
  <c r="G180" i="1" s="1"/>
  <c r="B180" i="1"/>
  <c r="A180" i="1"/>
  <c r="F179" i="1"/>
  <c r="G179" i="1" s="1"/>
  <c r="H179" i="1"/>
  <c r="I179" i="1" s="1"/>
  <c r="B179" i="1"/>
  <c r="A179" i="1"/>
  <c r="H178" i="1"/>
  <c r="I178" i="1" s="1"/>
  <c r="F178" i="1"/>
  <c r="G178" i="1" s="1"/>
  <c r="B178" i="1"/>
  <c r="A178" i="1"/>
  <c r="F177" i="1"/>
  <c r="G177" i="1" s="1"/>
  <c r="H177" i="1"/>
  <c r="I177" i="1" s="1"/>
  <c r="B177" i="1"/>
  <c r="A177" i="1"/>
  <c r="H176" i="1"/>
  <c r="I176" i="1" s="1"/>
  <c r="F176" i="1"/>
  <c r="G176" i="1" s="1"/>
  <c r="A176" i="1"/>
  <c r="B176" i="1"/>
  <c r="H175" i="1"/>
  <c r="I175" i="1" s="1"/>
  <c r="F175" i="1"/>
  <c r="G175" i="1" s="1"/>
  <c r="A175" i="1"/>
  <c r="B175" i="1"/>
  <c r="H174" i="1"/>
  <c r="I174" i="1" s="1"/>
  <c r="F174" i="1"/>
  <c r="G174" i="1" s="1"/>
  <c r="B174" i="1"/>
  <c r="A174" i="1"/>
  <c r="H173" i="1"/>
  <c r="I173" i="1" s="1"/>
  <c r="F173" i="1"/>
  <c r="G173" i="1" s="1"/>
  <c r="A173" i="1"/>
  <c r="B173" i="1"/>
  <c r="H172" i="1"/>
  <c r="I172" i="1" s="1"/>
  <c r="F172" i="1"/>
  <c r="G172" i="1" s="1"/>
  <c r="B172" i="1"/>
  <c r="A172" i="1"/>
  <c r="H171" i="1"/>
  <c r="I171" i="1" s="1"/>
  <c r="F171" i="1"/>
  <c r="G171" i="1" s="1"/>
  <c r="B171" i="1"/>
  <c r="A171" i="1"/>
  <c r="F170" i="1"/>
  <c r="G170" i="1" s="1"/>
  <c r="H170" i="1"/>
  <c r="I170" i="1" s="1"/>
  <c r="A170" i="1"/>
  <c r="B170" i="1"/>
  <c r="H169" i="1"/>
  <c r="I169" i="1" s="1"/>
  <c r="F169" i="1"/>
  <c r="G169" i="1" s="1"/>
  <c r="B169" i="1"/>
  <c r="A169" i="1"/>
  <c r="H168" i="1"/>
  <c r="I168" i="1" s="1"/>
  <c r="F168" i="1"/>
  <c r="G168" i="1" s="1"/>
  <c r="A168" i="1"/>
  <c r="B168" i="1"/>
  <c r="F167" i="1"/>
  <c r="G167" i="1" s="1"/>
  <c r="H167" i="1"/>
  <c r="I167" i="1" s="1"/>
  <c r="B167" i="1"/>
  <c r="A167" i="1"/>
  <c r="F166" i="1"/>
  <c r="G166" i="1" s="1"/>
  <c r="H166" i="1"/>
  <c r="I166" i="1" s="1"/>
  <c r="A166" i="1"/>
  <c r="B166" i="1"/>
  <c r="H165" i="1"/>
  <c r="I165" i="1" s="1"/>
  <c r="F165" i="1"/>
  <c r="G165" i="1" s="1"/>
  <c r="A165" i="1"/>
  <c r="B165" i="1"/>
  <c r="F164" i="1"/>
  <c r="G164" i="1" s="1"/>
  <c r="H164" i="1"/>
  <c r="I164" i="1" s="1"/>
  <c r="B164" i="1"/>
  <c r="A164" i="1"/>
  <c r="F163" i="1"/>
  <c r="G163" i="1" s="1"/>
  <c r="H163" i="1"/>
  <c r="I163" i="1" s="1"/>
  <c r="B163" i="1"/>
  <c r="A163" i="1"/>
  <c r="H162" i="1"/>
  <c r="I162" i="1" s="1"/>
  <c r="F162" i="1"/>
  <c r="G162" i="1" s="1"/>
  <c r="A162" i="1"/>
  <c r="B162" i="1"/>
  <c r="F161" i="1"/>
  <c r="G161" i="1" s="1"/>
  <c r="H161" i="1"/>
  <c r="I161" i="1" s="1"/>
  <c r="A161" i="1"/>
  <c r="B161" i="1"/>
  <c r="H160" i="1"/>
  <c r="I160" i="1" s="1"/>
  <c r="F160" i="1"/>
  <c r="G160" i="1" s="1"/>
  <c r="B160" i="1"/>
  <c r="A160" i="1"/>
  <c r="H159" i="1"/>
  <c r="I159" i="1" s="1"/>
  <c r="F159" i="1"/>
  <c r="G159" i="1" s="1"/>
  <c r="B159" i="1"/>
  <c r="A159" i="1"/>
  <c r="H158" i="1"/>
  <c r="I158" i="1" s="1"/>
  <c r="F158" i="1"/>
  <c r="G158" i="1" s="1"/>
  <c r="B158" i="1"/>
  <c r="A158" i="1"/>
  <c r="H157" i="1"/>
  <c r="I157" i="1" s="1"/>
  <c r="F157" i="1"/>
  <c r="G157" i="1" s="1"/>
  <c r="B157" i="1"/>
  <c r="A157" i="1"/>
  <c r="F156" i="1"/>
  <c r="G156" i="1" s="1"/>
  <c r="H156" i="1"/>
  <c r="I156" i="1" s="1"/>
  <c r="A156" i="1"/>
  <c r="B156" i="1"/>
  <c r="F155" i="1"/>
  <c r="G155" i="1" s="1"/>
  <c r="H155" i="1"/>
  <c r="I155" i="1" s="1"/>
  <c r="B155" i="1"/>
  <c r="A155" i="1"/>
  <c r="H154" i="1"/>
  <c r="I154" i="1" s="1"/>
  <c r="F154" i="1"/>
  <c r="G154" i="1" s="1"/>
  <c r="B154" i="1"/>
  <c r="A154" i="1"/>
  <c r="F153" i="1"/>
  <c r="G153" i="1" s="1"/>
  <c r="H153" i="1"/>
  <c r="I153" i="1" s="1"/>
  <c r="A153" i="1"/>
  <c r="B153" i="1"/>
  <c r="F152" i="1"/>
  <c r="G152" i="1" s="1"/>
  <c r="H152" i="1"/>
  <c r="I152" i="1" s="1"/>
  <c r="A152" i="1"/>
  <c r="B152" i="1"/>
  <c r="F151" i="1"/>
  <c r="G151" i="1" s="1"/>
  <c r="H151" i="1"/>
  <c r="I151" i="1" s="1"/>
  <c r="B151" i="1"/>
  <c r="A151" i="1"/>
  <c r="F150" i="1"/>
  <c r="G150" i="1" s="1"/>
  <c r="H150" i="1"/>
  <c r="I150" i="1" s="1"/>
  <c r="A150" i="1"/>
  <c r="B150" i="1"/>
  <c r="F149" i="1"/>
  <c r="G149" i="1" s="1"/>
  <c r="H149" i="1"/>
  <c r="I149" i="1" s="1"/>
  <c r="A149" i="1"/>
  <c r="B149" i="1"/>
  <c r="F148" i="1"/>
  <c r="G148" i="1" s="1"/>
  <c r="H148" i="1"/>
  <c r="I148" i="1" s="1"/>
  <c r="A148" i="1"/>
  <c r="B148" i="1"/>
  <c r="H147" i="1"/>
  <c r="I147" i="1" s="1"/>
  <c r="F147" i="1"/>
  <c r="G147" i="1" s="1"/>
  <c r="B147" i="1"/>
  <c r="A147" i="1"/>
  <c r="H146" i="1"/>
  <c r="I146" i="1" s="1"/>
  <c r="F146" i="1"/>
  <c r="G146" i="1" s="1"/>
  <c r="B146" i="1"/>
  <c r="A146" i="1"/>
  <c r="F145" i="1"/>
  <c r="G145" i="1" s="1"/>
  <c r="H145" i="1"/>
  <c r="I145" i="1" s="1"/>
  <c r="B145" i="1"/>
  <c r="A145" i="1"/>
  <c r="H144" i="1"/>
  <c r="I144" i="1" s="1"/>
  <c r="F144" i="1"/>
  <c r="G144" i="1" s="1"/>
  <c r="B144" i="1"/>
  <c r="A144" i="1"/>
  <c r="H143" i="1"/>
  <c r="I143" i="1" s="1"/>
  <c r="F143" i="1"/>
  <c r="G143" i="1" s="1"/>
  <c r="A143" i="1"/>
  <c r="B143" i="1"/>
  <c r="H142" i="1"/>
  <c r="I142" i="1" s="1"/>
  <c r="F142" i="1"/>
  <c r="G142" i="1" s="1"/>
  <c r="B142" i="1"/>
  <c r="A142" i="1"/>
  <c r="F141" i="1"/>
  <c r="G141" i="1" s="1"/>
  <c r="H141" i="1"/>
  <c r="I141" i="1" s="1"/>
  <c r="A141" i="1"/>
  <c r="B141" i="1"/>
  <c r="H140" i="1"/>
  <c r="I140" i="1" s="1"/>
  <c r="F140" i="1"/>
  <c r="G140" i="1" s="1"/>
  <c r="A140" i="1"/>
  <c r="B140" i="1"/>
  <c r="H139" i="1"/>
  <c r="I139" i="1" s="1"/>
  <c r="F139" i="1"/>
  <c r="G139" i="1" s="1"/>
  <c r="B139" i="1"/>
  <c r="A139" i="1"/>
  <c r="H138" i="1"/>
  <c r="I138" i="1" s="1"/>
  <c r="F138" i="1"/>
  <c r="G138" i="1" s="1"/>
  <c r="A138" i="1"/>
  <c r="B138" i="1"/>
  <c r="F137" i="1"/>
  <c r="G137" i="1" s="1"/>
  <c r="H137" i="1"/>
  <c r="I137" i="1" s="1"/>
  <c r="A137" i="1"/>
  <c r="B137" i="1"/>
  <c r="F136" i="1"/>
  <c r="G136" i="1" s="1"/>
  <c r="H136" i="1"/>
  <c r="I136" i="1" s="1"/>
  <c r="A136" i="1"/>
  <c r="B136" i="1"/>
  <c r="F135" i="1"/>
  <c r="G135" i="1" s="1"/>
  <c r="H135" i="1"/>
  <c r="I135" i="1" s="1"/>
  <c r="B135" i="1"/>
  <c r="A135" i="1"/>
  <c r="H134" i="1"/>
  <c r="I134" i="1" s="1"/>
  <c r="F134" i="1"/>
  <c r="G134" i="1" s="1"/>
  <c r="A134" i="1"/>
  <c r="B134" i="1"/>
  <c r="H133" i="1"/>
  <c r="I133" i="1" s="1"/>
  <c r="F133" i="1"/>
  <c r="G133" i="1" s="1"/>
  <c r="B133" i="1"/>
  <c r="A133" i="1"/>
  <c r="F132" i="1"/>
  <c r="G132" i="1" s="1"/>
  <c r="H132" i="1"/>
  <c r="I132" i="1" s="1"/>
  <c r="A132" i="1"/>
  <c r="B132" i="1"/>
  <c r="F131" i="1"/>
  <c r="G131" i="1" s="1"/>
  <c r="H131" i="1"/>
  <c r="I131" i="1" s="1"/>
  <c r="A131" i="1"/>
  <c r="B131" i="1"/>
  <c r="H130" i="1"/>
  <c r="I130" i="1" s="1"/>
  <c r="F130" i="1"/>
  <c r="G130" i="1" s="1"/>
  <c r="A130" i="1"/>
  <c r="B130" i="1"/>
  <c r="F129" i="1"/>
  <c r="G129" i="1" s="1"/>
  <c r="H129" i="1"/>
  <c r="I129" i="1" s="1"/>
  <c r="A129" i="1"/>
  <c r="B129" i="1"/>
  <c r="F128" i="1"/>
  <c r="G128" i="1" s="1"/>
  <c r="H128" i="1"/>
  <c r="I128" i="1" s="1"/>
  <c r="B128" i="1"/>
  <c r="A128" i="1"/>
  <c r="F127" i="1"/>
  <c r="G127" i="1" s="1"/>
  <c r="H127" i="1"/>
  <c r="I127" i="1" s="1"/>
  <c r="A127" i="1"/>
  <c r="B127" i="1"/>
  <c r="F126" i="1"/>
  <c r="G126" i="1" s="1"/>
  <c r="H126" i="1"/>
  <c r="B126" i="1"/>
  <c r="A126" i="1"/>
  <c r="F125" i="1"/>
  <c r="G125" i="1" s="1"/>
  <c r="H125" i="1"/>
  <c r="A125" i="1"/>
  <c r="B125" i="1"/>
  <c r="F124" i="1"/>
  <c r="A124" i="1"/>
  <c r="B124" i="1"/>
  <c r="F123" i="1"/>
  <c r="F122" i="1"/>
  <c r="F121" i="1"/>
  <c r="B121" i="1"/>
  <c r="A121" i="1"/>
  <c r="F120" i="1"/>
  <c r="B120" i="1"/>
  <c r="A120" i="1"/>
  <c r="F119" i="1"/>
  <c r="B119" i="1"/>
  <c r="A119" i="1"/>
  <c r="F118" i="1"/>
  <c r="B118" i="1"/>
  <c r="A118" i="1"/>
  <c r="F117" i="1"/>
  <c r="B117" i="1"/>
  <c r="A117" i="1"/>
  <c r="F116" i="1"/>
  <c r="A116" i="1"/>
  <c r="B116" i="1"/>
  <c r="F115" i="1"/>
  <c r="B115" i="1"/>
  <c r="A115" i="1"/>
  <c r="F114" i="1"/>
  <c r="B114" i="1"/>
  <c r="A114" i="1"/>
  <c r="F113" i="1"/>
  <c r="A113" i="1"/>
  <c r="B113" i="1"/>
  <c r="F112" i="1"/>
  <c r="A112" i="1"/>
  <c r="B112" i="1"/>
  <c r="F111" i="1"/>
  <c r="B111" i="1"/>
  <c r="A111" i="1"/>
  <c r="F110" i="1"/>
  <c r="A110" i="1"/>
  <c r="B110" i="1"/>
  <c r="F109" i="1"/>
  <c r="A109" i="1"/>
  <c r="B109" i="1"/>
  <c r="F108" i="1"/>
  <c r="A108" i="1"/>
  <c r="B108" i="1"/>
  <c r="F107" i="1"/>
  <c r="A107" i="1"/>
  <c r="B107" i="1"/>
  <c r="F106" i="1"/>
  <c r="B106" i="1"/>
  <c r="A106" i="1"/>
  <c r="F105" i="1"/>
  <c r="B105" i="1"/>
  <c r="A105" i="1"/>
  <c r="F104" i="1"/>
  <c r="B104" i="1"/>
  <c r="A104" i="1"/>
  <c r="F103" i="1"/>
  <c r="B103" i="1"/>
  <c r="A103" i="1"/>
  <c r="F102" i="1"/>
  <c r="B102" i="1"/>
  <c r="A102" i="1"/>
  <c r="F101" i="1"/>
  <c r="B101" i="1"/>
  <c r="A101" i="1"/>
  <c r="F100" i="1"/>
  <c r="B100" i="1"/>
  <c r="A100" i="1"/>
  <c r="F99" i="1"/>
  <c r="A99" i="1"/>
  <c r="B99" i="1"/>
  <c r="F98" i="1"/>
  <c r="A98" i="1"/>
  <c r="B98" i="1"/>
  <c r="F97" i="1"/>
  <c r="B97" i="1"/>
  <c r="A97" i="1"/>
  <c r="B96" i="1"/>
  <c r="A96" i="1"/>
  <c r="F95" i="1"/>
  <c r="B95" i="1"/>
  <c r="A95" i="1"/>
  <c r="A94" i="1"/>
  <c r="B94" i="1"/>
  <c r="A93" i="1"/>
  <c r="B93" i="1"/>
  <c r="F92" i="1"/>
  <c r="B92" i="1"/>
  <c r="A92" i="1"/>
  <c r="F91" i="1"/>
  <c r="B91" i="1"/>
  <c r="A91" i="1"/>
  <c r="B90" i="1"/>
  <c r="A90" i="1"/>
  <c r="F89" i="1"/>
  <c r="B89" i="1"/>
  <c r="A89" i="1"/>
  <c r="F88" i="1"/>
  <c r="B88" i="1"/>
  <c r="A88" i="1"/>
  <c r="F87" i="1"/>
  <c r="A87" i="1"/>
  <c r="B87" i="1"/>
  <c r="F86" i="1"/>
  <c r="B86" i="1"/>
  <c r="A86" i="1"/>
  <c r="F85" i="1"/>
  <c r="B85" i="1"/>
  <c r="A85" i="1"/>
  <c r="F84" i="1"/>
  <c r="A84" i="1"/>
  <c r="B84" i="1"/>
  <c r="F83" i="1"/>
  <c r="A83" i="1"/>
  <c r="B83" i="1"/>
  <c r="F82" i="1"/>
  <c r="B82" i="1"/>
  <c r="A82" i="1"/>
  <c r="F81" i="1"/>
  <c r="A81" i="1"/>
  <c r="B81" i="1"/>
  <c r="B80" i="1"/>
  <c r="A80" i="1"/>
  <c r="F79" i="1"/>
  <c r="A79" i="1"/>
  <c r="B79" i="1"/>
  <c r="F78" i="1"/>
  <c r="B78" i="1"/>
  <c r="A78" i="1"/>
  <c r="F77" i="1"/>
  <c r="B77" i="1"/>
  <c r="A77" i="1"/>
  <c r="B76" i="1"/>
  <c r="A76" i="1"/>
  <c r="F75" i="1"/>
  <c r="B75" i="1"/>
  <c r="A75" i="1"/>
  <c r="F74" i="1"/>
  <c r="B74" i="1"/>
  <c r="A74" i="1"/>
  <c r="F73" i="1"/>
  <c r="B73" i="1"/>
  <c r="A73" i="1"/>
  <c r="F72" i="1"/>
  <c r="A72" i="1"/>
  <c r="B72" i="1"/>
  <c r="F71" i="1"/>
  <c r="A71" i="1"/>
  <c r="B71" i="1"/>
  <c r="F70" i="1"/>
  <c r="A70" i="1"/>
  <c r="B70" i="1"/>
  <c r="F69" i="1"/>
  <c r="B69" i="1"/>
  <c r="A69" i="1"/>
  <c r="B68" i="1"/>
  <c r="A68" i="1"/>
  <c r="F67" i="1"/>
  <c r="B67" i="1"/>
  <c r="A67" i="1"/>
  <c r="F66" i="1"/>
  <c r="B66" i="1"/>
  <c r="A66" i="1"/>
  <c r="F65" i="1"/>
  <c r="A65" i="1"/>
  <c r="B65" i="1"/>
  <c r="F64" i="1"/>
  <c r="B64" i="1"/>
  <c r="A64" i="1"/>
  <c r="F63" i="1"/>
  <c r="A63" i="1"/>
  <c r="B63" i="1"/>
  <c r="F62" i="1"/>
  <c r="B62" i="1"/>
  <c r="A62" i="1"/>
  <c r="F61" i="1"/>
  <c r="B61" i="1"/>
  <c r="A61" i="1"/>
  <c r="F60" i="1"/>
  <c r="A60" i="1"/>
  <c r="B60" i="1"/>
  <c r="F59" i="1"/>
  <c r="A59" i="1"/>
  <c r="B59" i="1"/>
  <c r="F58" i="1"/>
  <c r="A58" i="1"/>
  <c r="B58" i="1"/>
  <c r="F57" i="1"/>
  <c r="B57" i="1"/>
  <c r="A57" i="1"/>
  <c r="F56" i="1"/>
  <c r="A56" i="1"/>
  <c r="B56" i="1"/>
  <c r="F55" i="1"/>
  <c r="B55" i="1"/>
  <c r="A55" i="1"/>
  <c r="F54" i="1"/>
  <c r="B54" i="1"/>
  <c r="A54" i="1"/>
  <c r="F53" i="1"/>
  <c r="B53" i="1"/>
  <c r="A53" i="1"/>
  <c r="F52" i="1"/>
  <c r="A52" i="1"/>
  <c r="B52" i="1"/>
  <c r="F51" i="1"/>
  <c r="B51" i="1"/>
  <c r="A51" i="1"/>
  <c r="F50" i="1"/>
  <c r="B50" i="1"/>
  <c r="A50" i="1"/>
  <c r="F49" i="1"/>
  <c r="A49" i="1"/>
  <c r="B49" i="1"/>
  <c r="F48" i="1"/>
  <c r="A48" i="1"/>
  <c r="B48" i="1"/>
  <c r="F47" i="1"/>
  <c r="B47" i="1"/>
  <c r="A47" i="1"/>
  <c r="B46" i="1"/>
  <c r="A46" i="1"/>
  <c r="F45" i="1"/>
  <c r="A45" i="1"/>
  <c r="B45" i="1"/>
  <c r="F44" i="1"/>
  <c r="A44" i="1"/>
  <c r="B44" i="1"/>
  <c r="F43" i="1"/>
  <c r="B43" i="1"/>
  <c r="A43" i="1"/>
  <c r="F42" i="1"/>
  <c r="A42" i="1"/>
  <c r="B42" i="1"/>
  <c r="F41" i="1"/>
  <c r="A41" i="1"/>
  <c r="B41" i="1"/>
  <c r="F40" i="1"/>
  <c r="A40" i="1"/>
  <c r="B40" i="1"/>
  <c r="F39" i="1"/>
  <c r="B39" i="1"/>
  <c r="A39" i="1"/>
  <c r="F38" i="1"/>
  <c r="A38" i="1"/>
  <c r="B38" i="1"/>
  <c r="B37" i="1"/>
  <c r="A37" i="1"/>
  <c r="F36" i="1"/>
  <c r="B36" i="1"/>
  <c r="A36" i="1"/>
  <c r="F35" i="1"/>
  <c r="B35" i="1"/>
  <c r="A35" i="1"/>
  <c r="F34" i="1"/>
  <c r="B34" i="1"/>
  <c r="A34" i="1"/>
  <c r="F33" i="1"/>
  <c r="B33" i="1"/>
  <c r="A33" i="1"/>
  <c r="F32" i="1"/>
  <c r="A32" i="1"/>
  <c r="B32" i="1"/>
  <c r="F31" i="1"/>
  <c r="A31" i="1"/>
  <c r="B31" i="1"/>
  <c r="F30" i="1"/>
  <c r="B30" i="1"/>
  <c r="A30" i="1"/>
  <c r="F29" i="1"/>
  <c r="A29" i="1"/>
  <c r="B29" i="1"/>
  <c r="F28" i="1"/>
  <c r="B28" i="1"/>
  <c r="A28" i="1"/>
  <c r="A27" i="1"/>
  <c r="B27" i="1"/>
  <c r="F26" i="1"/>
  <c r="B26" i="1"/>
  <c r="A26" i="1"/>
  <c r="F25" i="1"/>
  <c r="B25" i="1"/>
  <c r="A25" i="1"/>
  <c r="F24" i="1"/>
  <c r="A24" i="1"/>
  <c r="B24" i="1"/>
  <c r="F23" i="1"/>
  <c r="A23" i="1"/>
  <c r="B23" i="1"/>
  <c r="F22" i="1"/>
  <c r="A22" i="1"/>
  <c r="B22" i="1"/>
  <c r="F21" i="1"/>
  <c r="A21" i="1"/>
  <c r="B21" i="1"/>
  <c r="F20" i="1"/>
  <c r="A20" i="1"/>
  <c r="B20" i="1"/>
  <c r="F19" i="1"/>
  <c r="A19" i="1"/>
  <c r="B19" i="1"/>
  <c r="F18" i="1"/>
  <c r="A18" i="1"/>
  <c r="B18" i="1"/>
  <c r="F17" i="1"/>
  <c r="B17" i="1"/>
  <c r="A17" i="1"/>
  <c r="F16" i="1"/>
  <c r="B16" i="1"/>
  <c r="A16" i="1"/>
  <c r="F15" i="1"/>
  <c r="B15" i="1"/>
  <c r="A15" i="1"/>
  <c r="F14" i="1"/>
  <c r="A14" i="1"/>
  <c r="B14" i="1"/>
  <c r="F13" i="1"/>
  <c r="B13" i="1"/>
  <c r="A13" i="1"/>
  <c r="F12" i="1"/>
  <c r="B12" i="1"/>
  <c r="A12" i="1"/>
  <c r="F11" i="1"/>
  <c r="B11" i="1"/>
  <c r="A11" i="1"/>
  <c r="F10" i="1"/>
  <c r="B10" i="1"/>
  <c r="A10" i="1"/>
  <c r="F9" i="1"/>
  <c r="A9" i="1"/>
  <c r="B9" i="1"/>
  <c r="F8" i="1"/>
  <c r="B8" i="1"/>
  <c r="A8" i="1"/>
  <c r="F7" i="1"/>
  <c r="B7" i="1"/>
  <c r="A7" i="1"/>
  <c r="V20" i="1"/>
  <c r="F6" i="1"/>
  <c r="B6" i="1"/>
  <c r="A6" i="1"/>
  <c r="G6" i="1" l="1"/>
  <c r="W20" i="1"/>
  <c r="G124" i="1"/>
  <c r="H124" i="1"/>
  <c r="G123" i="1"/>
  <c r="H123" i="1"/>
  <c r="G122" i="1"/>
  <c r="H122" i="1"/>
  <c r="G121" i="1"/>
  <c r="H121" i="1"/>
  <c r="G120" i="1"/>
  <c r="H120" i="1"/>
  <c r="G119" i="1"/>
  <c r="H119" i="1"/>
  <c r="G118" i="1"/>
  <c r="H118" i="1"/>
  <c r="G117" i="1"/>
  <c r="H117" i="1"/>
  <c r="G116" i="1"/>
  <c r="H116" i="1"/>
  <c r="G115" i="1"/>
  <c r="H115" i="1"/>
  <c r="G114" i="1"/>
  <c r="H114" i="1"/>
  <c r="G113" i="1"/>
  <c r="H113" i="1"/>
  <c r="G112" i="1"/>
  <c r="H112" i="1"/>
  <c r="G111" i="1"/>
  <c r="H111" i="1" s="1"/>
  <c r="G110" i="1"/>
  <c r="H110" i="1"/>
  <c r="G109" i="1"/>
  <c r="H109" i="1"/>
  <c r="G108" i="1"/>
  <c r="H108" i="1"/>
  <c r="G107" i="1"/>
  <c r="H107" i="1"/>
  <c r="G106" i="1"/>
  <c r="H106" i="1"/>
  <c r="G105" i="1"/>
  <c r="H105" i="1"/>
  <c r="G104" i="1"/>
  <c r="H104" i="1"/>
  <c r="G103" i="1"/>
  <c r="H103" i="1"/>
  <c r="G102" i="1"/>
  <c r="H102" i="1"/>
  <c r="G101" i="1"/>
  <c r="H101" i="1"/>
  <c r="G100" i="1"/>
  <c r="H100" i="1"/>
  <c r="G99" i="1"/>
  <c r="H99" i="1"/>
  <c r="G98" i="1"/>
  <c r="H98" i="1"/>
  <c r="G97" i="1"/>
  <c r="H97" i="1"/>
  <c r="G95" i="1"/>
  <c r="H95" i="1"/>
  <c r="G92" i="1"/>
  <c r="H92" i="1"/>
  <c r="G91" i="1"/>
  <c r="H91" i="1"/>
  <c r="G89" i="1"/>
  <c r="H89" i="1"/>
  <c r="G88" i="1"/>
  <c r="H88" i="1"/>
  <c r="G87" i="1"/>
  <c r="H87" i="1"/>
  <c r="G86" i="1"/>
  <c r="H86" i="1"/>
  <c r="G85" i="1"/>
  <c r="H85" i="1"/>
  <c r="G84" i="1"/>
  <c r="H84" i="1"/>
  <c r="G83" i="1"/>
  <c r="H83" i="1"/>
  <c r="G82" i="1"/>
  <c r="H82" i="1"/>
  <c r="G81" i="1"/>
  <c r="H81" i="1"/>
  <c r="G79" i="1"/>
  <c r="H79" i="1"/>
  <c r="G78" i="1"/>
  <c r="H78" i="1"/>
  <c r="G77" i="1"/>
  <c r="H77" i="1" s="1"/>
  <c r="G75" i="1"/>
  <c r="H75" i="1"/>
  <c r="G74" i="1"/>
  <c r="H74" i="1"/>
  <c r="G73" i="1"/>
  <c r="H73" i="1"/>
  <c r="G72" i="1"/>
  <c r="H72" i="1"/>
  <c r="G71" i="1"/>
  <c r="H71" i="1"/>
  <c r="G70" i="1"/>
  <c r="H70" i="1"/>
  <c r="G69" i="1"/>
  <c r="H69" i="1"/>
  <c r="G67" i="1"/>
  <c r="H67" i="1"/>
  <c r="G66" i="1"/>
  <c r="H66" i="1"/>
  <c r="G65" i="1"/>
  <c r="H65" i="1"/>
  <c r="G64" i="1"/>
  <c r="H64" i="1"/>
  <c r="G63" i="1"/>
  <c r="H63" i="1"/>
  <c r="G62" i="1"/>
  <c r="H62" i="1"/>
  <c r="G61" i="1"/>
  <c r="H61" i="1"/>
  <c r="G60" i="1"/>
  <c r="H60" i="1"/>
  <c r="G59" i="1"/>
  <c r="H59" i="1"/>
  <c r="G58" i="1"/>
  <c r="H58" i="1"/>
  <c r="G57" i="1"/>
  <c r="H57" i="1"/>
  <c r="G56" i="1"/>
  <c r="H56" i="1"/>
  <c r="G55" i="1"/>
  <c r="H55" i="1"/>
  <c r="G54" i="1"/>
  <c r="H54" i="1"/>
  <c r="G53" i="1"/>
  <c r="H53" i="1"/>
  <c r="G52" i="1"/>
  <c r="H52" i="1"/>
  <c r="G51" i="1"/>
  <c r="H51" i="1"/>
  <c r="G50" i="1"/>
  <c r="H50" i="1"/>
  <c r="G49" i="1"/>
  <c r="H49" i="1"/>
  <c r="G48" i="1"/>
  <c r="H48" i="1"/>
  <c r="G47" i="1"/>
  <c r="H47" i="1"/>
  <c r="G45" i="1"/>
  <c r="H45" i="1" s="1"/>
  <c r="G44" i="1"/>
  <c r="H44" i="1"/>
  <c r="G43" i="1"/>
  <c r="H43" i="1"/>
  <c r="G42" i="1"/>
  <c r="H42" i="1"/>
  <c r="G41" i="1"/>
  <c r="H41" i="1"/>
  <c r="G40" i="1"/>
  <c r="H40" i="1"/>
  <c r="G39" i="1"/>
  <c r="H39" i="1"/>
  <c r="G38" i="1"/>
  <c r="H38" i="1"/>
  <c r="G36" i="1"/>
  <c r="H36" i="1"/>
  <c r="G35" i="1"/>
  <c r="H35" i="1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6" i="1"/>
  <c r="H26" i="1"/>
  <c r="G25" i="1"/>
  <c r="H25" i="1"/>
  <c r="G24" i="1"/>
  <c r="H24" i="1"/>
  <c r="G23" i="1"/>
  <c r="H23" i="1"/>
  <c r="G22" i="1"/>
  <c r="H22" i="1"/>
  <c r="G21" i="1"/>
  <c r="H21" i="1"/>
  <c r="G20" i="1"/>
  <c r="H20" i="1"/>
  <c r="G19" i="1"/>
  <c r="H19" i="1"/>
  <c r="G18" i="1"/>
  <c r="H18" i="1"/>
  <c r="G17" i="1"/>
  <c r="H17" i="1"/>
  <c r="G16" i="1"/>
  <c r="H16" i="1"/>
  <c r="G15" i="1"/>
  <c r="H15" i="1"/>
  <c r="G14" i="1"/>
  <c r="H14" i="1" s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H6" i="1" l="1"/>
  <c r="X20" i="1"/>
  <c r="AY9" i="1"/>
  <c r="AX9" i="1"/>
  <c r="AW9" i="1"/>
  <c r="AV9" i="1"/>
  <c r="AU9" i="1"/>
  <c r="AT9" i="1"/>
  <c r="AQ9" i="1"/>
  <c r="AP9" i="1"/>
  <c r="AL9" i="1"/>
  <c r="AK9" i="1"/>
  <c r="AJ9" i="1"/>
  <c r="AH9" i="1"/>
  <c r="AF9" i="1"/>
  <c r="AE9" i="1"/>
  <c r="AC9" i="1"/>
  <c r="AB9" i="1"/>
  <c r="Y9" i="1"/>
  <c r="X9" i="1"/>
  <c r="U9" i="1"/>
  <c r="T9" i="1" l="1"/>
  <c r="I6" i="1"/>
  <c r="I7" i="1" l="1"/>
  <c r="I8" i="1" l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E96" i="1" l="1" a="1"/>
  <c r="F96" i="1" l="1"/>
  <c r="G96" i="1" l="1"/>
  <c r="H96" i="1" s="1"/>
  <c r="K96" i="1"/>
  <c r="L96" i="1"/>
  <c r="AS9" i="1"/>
  <c r="E93" i="1" a="1"/>
  <c r="M96" i="1" l="1"/>
  <c r="F93" i="1"/>
  <c r="G93" i="1" l="1"/>
  <c r="H93" i="1"/>
  <c r="E94" i="1" l="1" a="1"/>
  <c r="E90" i="1" a="1"/>
  <c r="F94" i="1" l="1"/>
  <c r="F90" i="1"/>
  <c r="G94" i="1" l="1"/>
  <c r="H94" i="1" s="1"/>
  <c r="G90" i="1"/>
  <c r="H90" i="1"/>
  <c r="AR9" i="1" l="1"/>
  <c r="E80" i="1" l="1" a="1"/>
  <c r="F80" i="1" l="1"/>
  <c r="G80" i="1" l="1"/>
  <c r="H80" i="1"/>
  <c r="AO9" i="1" l="1"/>
  <c r="E76" i="1" a="1"/>
  <c r="F76" i="1" l="1"/>
  <c r="G76" i="1" s="1"/>
  <c r="H76" i="1"/>
  <c r="AN9" i="1" l="1"/>
  <c r="L11" i="1"/>
  <c r="L10" i="1"/>
  <c r="E68" i="1" l="1" a="1"/>
  <c r="F68" i="1" l="1"/>
  <c r="G68" i="1" l="1"/>
  <c r="H68" i="1" s="1"/>
  <c r="AM9" i="1" l="1"/>
  <c r="E46" i="1" l="1" a="1"/>
  <c r="E27" i="1" a="1"/>
  <c r="E37" i="1" a="1"/>
  <c r="F46" i="1" l="1"/>
  <c r="E1001" i="1"/>
  <c r="F27" i="1"/>
  <c r="F37" i="1"/>
  <c r="R68" i="1" l="1"/>
  <c r="S68" i="1" s="1"/>
  <c r="R76" i="1"/>
  <c r="S76" i="1" s="1"/>
  <c r="R80" i="1"/>
  <c r="S80" i="1" s="1"/>
  <c r="R90" i="1"/>
  <c r="S90" i="1" s="1"/>
  <c r="R94" i="1"/>
  <c r="S94" i="1" s="1"/>
  <c r="R93" i="1"/>
  <c r="S93" i="1" s="1"/>
  <c r="R96" i="1"/>
  <c r="S96" i="1" s="1"/>
  <c r="R480" i="1"/>
  <c r="S480" i="1" s="1"/>
  <c r="R122" i="1"/>
  <c r="S122" i="1" s="1"/>
  <c r="R1007" i="1"/>
  <c r="R1004" i="1"/>
  <c r="S1004" i="1" s="1"/>
  <c r="R1002" i="1"/>
  <c r="S1002" i="1" s="1"/>
  <c r="R1001" i="1"/>
  <c r="S1001" i="1" s="1"/>
  <c r="R11" i="1"/>
  <c r="S11" i="1" s="1"/>
  <c r="R18" i="1"/>
  <c r="S18" i="1" s="1"/>
  <c r="R25" i="1"/>
  <c r="S25" i="1" s="1"/>
  <c r="R34" i="1"/>
  <c r="S34" i="1" s="1"/>
  <c r="R35" i="1"/>
  <c r="S35" i="1" s="1"/>
  <c r="R60" i="1"/>
  <c r="S60" i="1" s="1"/>
  <c r="R67" i="1"/>
  <c r="S67" i="1" s="1"/>
  <c r="R72" i="1"/>
  <c r="S72" i="1" s="1"/>
  <c r="R78" i="1"/>
  <c r="S78" i="1" s="1"/>
  <c r="R79" i="1"/>
  <c r="S79" i="1" s="1"/>
  <c r="R81" i="1"/>
  <c r="S81" i="1" s="1"/>
  <c r="R100" i="1"/>
  <c r="S100" i="1" s="1"/>
  <c r="R101" i="1"/>
  <c r="S101" i="1" s="1"/>
  <c r="R105" i="1"/>
  <c r="S105" i="1" s="1"/>
  <c r="R116" i="1"/>
  <c r="S116" i="1" s="1"/>
  <c r="R117" i="1"/>
  <c r="S117" i="1" s="1"/>
  <c r="R121" i="1"/>
  <c r="S121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14" i="1"/>
  <c r="S14" i="1" s="1"/>
  <c r="R21" i="1"/>
  <c r="S21" i="1" s="1"/>
  <c r="R42" i="1"/>
  <c r="S42" i="1" s="1"/>
  <c r="R104" i="1"/>
  <c r="S104" i="1" s="1"/>
  <c r="R108" i="1"/>
  <c r="S108" i="1" s="1"/>
  <c r="R113" i="1"/>
  <c r="S113" i="1" s="1"/>
  <c r="R114" i="1"/>
  <c r="S114" i="1" s="1"/>
  <c r="R118" i="1"/>
  <c r="S118" i="1" s="1"/>
  <c r="R120" i="1"/>
  <c r="S120" i="1" s="1"/>
  <c r="R255" i="1"/>
  <c r="S255" i="1" s="1"/>
  <c r="R256" i="1"/>
  <c r="S256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62" i="1"/>
  <c r="S62" i="1" s="1"/>
  <c r="R63" i="1"/>
  <c r="S63" i="1" s="1"/>
  <c r="R73" i="1"/>
  <c r="S73" i="1" s="1"/>
  <c r="R74" i="1"/>
  <c r="S74" i="1" s="1"/>
  <c r="R83" i="1"/>
  <c r="S83" i="1" s="1"/>
  <c r="R97" i="1"/>
  <c r="S97" i="1" s="1"/>
  <c r="R98" i="1"/>
  <c r="S98" i="1" s="1"/>
  <c r="R99" i="1"/>
  <c r="S99" i="1" s="1"/>
  <c r="R112" i="1"/>
  <c r="S112" i="1" s="1"/>
  <c r="R119" i="1"/>
  <c r="S119" i="1" s="1"/>
  <c r="R254" i="1"/>
  <c r="S254" i="1" s="1"/>
  <c r="R257" i="1"/>
  <c r="S257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40" i="1"/>
  <c r="S40" i="1" s="1"/>
  <c r="R48" i="1"/>
  <c r="S48" i="1" s="1"/>
  <c r="R52" i="1"/>
  <c r="S52" i="1" s="1"/>
  <c r="R55" i="1"/>
  <c r="S55" i="1" s="1"/>
  <c r="R56" i="1"/>
  <c r="S56" i="1" s="1"/>
  <c r="R57" i="1"/>
  <c r="S57" i="1" s="1"/>
  <c r="R59" i="1"/>
  <c r="S59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9" i="1"/>
  <c r="S9" i="1" s="1"/>
  <c r="R10" i="1"/>
  <c r="S10" i="1" s="1"/>
  <c r="R15" i="1"/>
  <c r="S15" i="1" s="1"/>
  <c r="R16" i="1"/>
  <c r="S16" i="1" s="1"/>
  <c r="R30" i="1"/>
  <c r="S30" i="1" s="1"/>
  <c r="R31" i="1"/>
  <c r="S31" i="1" s="1"/>
  <c r="R38" i="1"/>
  <c r="S38" i="1" s="1"/>
  <c r="R45" i="1"/>
  <c r="S45" i="1" s="1"/>
  <c r="R53" i="1"/>
  <c r="S53" i="1" s="1"/>
  <c r="R54" i="1"/>
  <c r="S54" i="1" s="1"/>
  <c r="R58" i="1"/>
  <c r="S58" i="1" s="1"/>
  <c r="R65" i="1"/>
  <c r="S65" i="1" s="1"/>
  <c r="R82" i="1"/>
  <c r="S82" i="1" s="1"/>
  <c r="R103" i="1"/>
  <c r="S103" i="1" s="1"/>
  <c r="R109" i="1"/>
  <c r="S109" i="1" s="1"/>
  <c r="R110" i="1"/>
  <c r="S110" i="1" s="1"/>
  <c r="R515" i="1"/>
  <c r="S515" i="1" s="1"/>
  <c r="R518" i="1"/>
  <c r="S518" i="1" s="1"/>
  <c r="R519" i="1"/>
  <c r="S519" i="1" s="1"/>
  <c r="R520" i="1"/>
  <c r="S520" i="1" s="1"/>
  <c r="R522" i="1"/>
  <c r="S522" i="1" s="1"/>
  <c r="R523" i="1"/>
  <c r="S523" i="1" s="1"/>
  <c r="R525" i="1"/>
  <c r="S525" i="1" s="1"/>
  <c r="R526" i="1"/>
  <c r="S526" i="1" s="1"/>
  <c r="R527" i="1"/>
  <c r="S527" i="1" s="1"/>
  <c r="R535" i="1"/>
  <c r="S535" i="1" s="1"/>
  <c r="R537" i="1"/>
  <c r="S537" i="1" s="1"/>
  <c r="R538" i="1"/>
  <c r="S538" i="1" s="1"/>
  <c r="R539" i="1"/>
  <c r="S539" i="1" s="1"/>
  <c r="R540" i="1"/>
  <c r="S540" i="1" s="1"/>
  <c r="R541" i="1"/>
  <c r="S541" i="1" s="1"/>
  <c r="R543" i="1"/>
  <c r="S543" i="1" s="1"/>
  <c r="R545" i="1"/>
  <c r="S545" i="1" s="1"/>
  <c r="R546" i="1"/>
  <c r="S546" i="1" s="1"/>
  <c r="R547" i="1"/>
  <c r="S547" i="1" s="1"/>
  <c r="R549" i="1"/>
  <c r="S549" i="1" s="1"/>
  <c r="R551" i="1"/>
  <c r="S551" i="1" s="1"/>
  <c r="R553" i="1"/>
  <c r="S553" i="1" s="1"/>
  <c r="R554" i="1"/>
  <c r="S554" i="1" s="1"/>
  <c r="R555" i="1"/>
  <c r="S555" i="1" s="1"/>
  <c r="R559" i="1"/>
  <c r="S559" i="1" s="1"/>
  <c r="R562" i="1"/>
  <c r="S562" i="1" s="1"/>
  <c r="R563" i="1"/>
  <c r="S563" i="1" s="1"/>
  <c r="R564" i="1"/>
  <c r="S564" i="1" s="1"/>
  <c r="R565" i="1"/>
  <c r="S565" i="1" s="1"/>
  <c r="R567" i="1"/>
  <c r="S567" i="1" s="1"/>
  <c r="R571" i="1"/>
  <c r="S571" i="1" s="1"/>
  <c r="R572" i="1"/>
  <c r="S572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6" i="1"/>
  <c r="S6" i="1" s="1"/>
  <c r="R12" i="1"/>
  <c r="S12" i="1" s="1"/>
  <c r="R13" i="1"/>
  <c r="S13" i="1" s="1"/>
  <c r="R19" i="1"/>
  <c r="S19" i="1" s="1"/>
  <c r="R20" i="1"/>
  <c r="S20" i="1" s="1"/>
  <c r="R28" i="1"/>
  <c r="S28" i="1" s="1"/>
  <c r="R29" i="1"/>
  <c r="S29" i="1" s="1"/>
  <c r="R36" i="1"/>
  <c r="S36" i="1" s="1"/>
  <c r="R39" i="1"/>
  <c r="S39" i="1" s="1"/>
  <c r="R41" i="1"/>
  <c r="S41" i="1" s="1"/>
  <c r="R43" i="1"/>
  <c r="S43" i="1" s="1"/>
  <c r="R44" i="1"/>
  <c r="S44" i="1" s="1"/>
  <c r="R64" i="1"/>
  <c r="S64" i="1" s="1"/>
  <c r="R66" i="1"/>
  <c r="S66" i="1" s="1"/>
  <c r="R71" i="1"/>
  <c r="S71" i="1" s="1"/>
  <c r="R85" i="1"/>
  <c r="S85" i="1" s="1"/>
  <c r="R86" i="1"/>
  <c r="S86" i="1" s="1"/>
  <c r="R87" i="1"/>
  <c r="S87" i="1" s="1"/>
  <c r="R88" i="1"/>
  <c r="S88" i="1" s="1"/>
  <c r="R111" i="1"/>
  <c r="S111" i="1" s="1"/>
  <c r="R516" i="1"/>
  <c r="S516" i="1" s="1"/>
  <c r="R517" i="1"/>
  <c r="S517" i="1" s="1"/>
  <c r="R521" i="1"/>
  <c r="S521" i="1" s="1"/>
  <c r="R524" i="1"/>
  <c r="S524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6" i="1"/>
  <c r="S536" i="1" s="1"/>
  <c r="R542" i="1"/>
  <c r="S542" i="1" s="1"/>
  <c r="R544" i="1"/>
  <c r="S544" i="1" s="1"/>
  <c r="R548" i="1"/>
  <c r="S548" i="1" s="1"/>
  <c r="R550" i="1"/>
  <c r="S550" i="1" s="1"/>
  <c r="R552" i="1"/>
  <c r="S552" i="1" s="1"/>
  <c r="R556" i="1"/>
  <c r="S556" i="1" s="1"/>
  <c r="R557" i="1"/>
  <c r="S557" i="1" s="1"/>
  <c r="R558" i="1"/>
  <c r="S558" i="1" s="1"/>
  <c r="R560" i="1"/>
  <c r="S560" i="1" s="1"/>
  <c r="R561" i="1"/>
  <c r="S561" i="1" s="1"/>
  <c r="R566" i="1"/>
  <c r="S566" i="1" s="1"/>
  <c r="R568" i="1"/>
  <c r="S568" i="1" s="1"/>
  <c r="R569" i="1"/>
  <c r="S569" i="1" s="1"/>
  <c r="R570" i="1"/>
  <c r="S570" i="1" s="1"/>
  <c r="R573" i="1"/>
  <c r="S573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7" i="1"/>
  <c r="S7" i="1" s="1"/>
  <c r="R8" i="1"/>
  <c r="S8" i="1" s="1"/>
  <c r="R22" i="1"/>
  <c r="S22" i="1" s="1"/>
  <c r="R23" i="1"/>
  <c r="S23" i="1" s="1"/>
  <c r="R61" i="1"/>
  <c r="S61" i="1" s="1"/>
  <c r="R69" i="1"/>
  <c r="S69" i="1" s="1"/>
  <c r="R70" i="1"/>
  <c r="S70" i="1" s="1"/>
  <c r="R75" i="1"/>
  <c r="S75" i="1" s="1"/>
  <c r="R77" i="1"/>
  <c r="S77" i="1" s="1"/>
  <c r="R84" i="1"/>
  <c r="S84" i="1" s="1"/>
  <c r="R89" i="1"/>
  <c r="S89" i="1" s="1"/>
  <c r="R91" i="1"/>
  <c r="S91" i="1" s="1"/>
  <c r="R92" i="1"/>
  <c r="S92" i="1" s="1"/>
  <c r="R95" i="1"/>
  <c r="S95" i="1" s="1"/>
  <c r="R102" i="1"/>
  <c r="S102" i="1" s="1"/>
  <c r="R106" i="1"/>
  <c r="S106" i="1" s="1"/>
  <c r="R107" i="1"/>
  <c r="S107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6" i="1"/>
  <c r="S1006" i="1" s="1"/>
  <c r="R17" i="1"/>
  <c r="S17" i="1" s="1"/>
  <c r="R24" i="1"/>
  <c r="S24" i="1" s="1"/>
  <c r="R26" i="1"/>
  <c r="S26" i="1" s="1"/>
  <c r="R32" i="1"/>
  <c r="S32" i="1" s="1"/>
  <c r="R33" i="1"/>
  <c r="S33" i="1" s="1"/>
  <c r="R47" i="1"/>
  <c r="S47" i="1" s="1"/>
  <c r="R49" i="1"/>
  <c r="S49" i="1" s="1"/>
  <c r="R50" i="1"/>
  <c r="S50" i="1" s="1"/>
  <c r="R51" i="1"/>
  <c r="S51" i="1" s="1"/>
  <c r="R115" i="1"/>
  <c r="S115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F1001" i="1"/>
  <c r="E1003" i="1" s="1"/>
  <c r="G27" i="1"/>
  <c r="G46" i="1"/>
  <c r="H46" i="1"/>
  <c r="R46" i="1"/>
  <c r="S46" i="1" s="1"/>
  <c r="R27" i="1"/>
  <c r="R37" i="1"/>
  <c r="G37" i="1"/>
  <c r="H37" i="1"/>
  <c r="S37" i="1" l="1"/>
  <c r="F4" i="1"/>
  <c r="R1003" i="1"/>
  <c r="S1003" i="1" s="1"/>
  <c r="H27" i="1"/>
  <c r="G1001" i="1"/>
  <c r="AI9" i="1"/>
  <c r="AG9" i="1"/>
  <c r="S27" i="1"/>
  <c r="I27" i="1" l="1"/>
  <c r="AD9" i="1"/>
  <c r="H1001" i="1"/>
  <c r="I1" i="1" s="1"/>
  <c r="I28" i="1" l="1"/>
  <c r="I29" i="1" l="1"/>
  <c r="I30" i="1" s="1"/>
  <c r="I31" i="1" s="1"/>
  <c r="I32" i="1" s="1"/>
  <c r="I33" i="1" s="1"/>
  <c r="I34" i="1" s="1"/>
  <c r="I35" i="1" s="1"/>
  <c r="I36" i="1" l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001" i="1"/>
  <c r="L12" i="1"/>
  <c r="L13" i="1" s="1"/>
  <c r="L18" i="1" l="1"/>
  <c r="L19" i="1"/>
  <c r="L17" i="1"/>
  <c r="L20" i="1" s="1"/>
  <c r="L24" i="1" s="1"/>
  <c r="N31" i="1" l="1"/>
  <c r="N30" i="1"/>
  <c r="N37" i="1"/>
  <c r="N34" i="1"/>
  <c r="N33" i="1"/>
  <c r="N29" i="1"/>
  <c r="N36" i="1"/>
  <c r="N32" i="1"/>
  <c r="N28" i="1"/>
  <c r="N35" i="1"/>
  <c r="L36" i="1" l="1"/>
  <c r="L32" i="1"/>
  <c r="I2" i="1" s="1"/>
  <c r="I3" i="1" s="1"/>
  <c r="L28" i="1"/>
  <c r="L35" i="1"/>
  <c r="L31" i="1"/>
  <c r="L30" i="1"/>
  <c r="L37" i="1"/>
  <c r="L34" i="1"/>
  <c r="L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<sst xmlns="http://schemas.openxmlformats.org/spreadsheetml/2006/main" count="36" uniqueCount="34">
  <si>
    <t>Efecto Tipo de Cambio</t>
  </si>
  <si>
    <t>Resultado Actual</t>
  </si>
  <si>
    <t>Tipo de Cambio Referencia</t>
  </si>
  <si>
    <t>Proyectado</t>
  </si>
  <si>
    <t>Tipo de Cambio Proyectado</t>
  </si>
  <si>
    <t>Total</t>
  </si>
  <si>
    <t>Tipo de Cambio Ponderado</t>
  </si>
  <si>
    <t>Fecha</t>
  </si>
  <si>
    <t>Importe U$S</t>
  </si>
  <si>
    <t>Importe $</t>
  </si>
  <si>
    <t xml:space="preserve">Tipo de cambio </t>
  </si>
  <si>
    <t>Acumulado</t>
  </si>
  <si>
    <t>Busqueda</t>
  </si>
  <si>
    <t>Cambio</t>
  </si>
  <si>
    <t>Mes</t>
  </si>
  <si>
    <t>Año</t>
  </si>
  <si>
    <t>Pesos Obra total</t>
  </si>
  <si>
    <t>Total PPO Pesos CEAOSA</t>
  </si>
  <si>
    <t>Total PPO LLSS</t>
  </si>
  <si>
    <t>Total PPO AJ P.</t>
  </si>
  <si>
    <t>Total pesos OBRA</t>
  </si>
  <si>
    <t>Pagos pesos total</t>
  </si>
  <si>
    <t>Total Pago Pesos CEAOSA</t>
  </si>
  <si>
    <t>Total Pago LLSS</t>
  </si>
  <si>
    <t>Total Pago AJ P.</t>
  </si>
  <si>
    <t>USD</t>
  </si>
  <si>
    <t>PESOS</t>
  </si>
  <si>
    <t>Promedio</t>
  </si>
  <si>
    <t>Modelo</t>
  </si>
  <si>
    <t>Pendiente pesos total</t>
  </si>
  <si>
    <t>Pesos pendientes</t>
  </si>
  <si>
    <t>Sensibilidad TC</t>
  </si>
  <si>
    <t>Ponderado</t>
  </si>
  <si>
    <t>TC ponderado a la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</si>
</sst>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_-;_-@_-"/>
    <numFmt numFmtId="166" formatCode="_(* #,##0_);_(* \(#,##0\);_(* &quot;-&quot;??_);_(@_)"/>
    <numFmt numFmtId="167" formatCode="_-* #,##0\ _€_-;\-* #,##0\ _€_-;_-* &quot;-&quot;?\ _€_-;_-@_-"/>
    <numFmt numFmtId="168" formatCode="_-* #,##0.0_-;\-* #,##0.0_-;_-* &quot;-&quot;??_-;_-@_-"/>
    <numFmt numFmtId="169" formatCode="_-* #,##0_-;\-* #,##0_-;_-* &quot;-&quot;?_-;_-@_-"/>
    <numFmt numFmtId="170" formatCode="_-[$USD]\ * #,##0_-;\-[$USD]\ * #,##0_-;_-[$USD]\ * &quot;-&quot;??_-;_-@_-"/>
    <numFmt numFmtId="171" formatCode="_-* #,##0.00\ &quot;€&quot;_-;\-* #,##0.00\ &quot;€&quot;_-;_-* &quot;-&quot;??\ &quot;€&quot;_-;_-@_-"/>
    <numFmt numFmtId="172" formatCode="_-&quot;€&quot;\ * #,##0_-;\-&quot;€&quot;\ * #,##0_-;_-&quot;€&quot;\ * &quot;-&quot;??_-;_-@_-"/>
    <numFmt numFmtId="173" formatCode="_-* #,##0.000000000_-;\-* #,##0.0000000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64" fontId="0" fillId="0" borderId="2" xfId="1" applyNumberFormat="1" applyFont="1" applyBorder="1"/>
    <xf numFmtId="0" fontId="0" fillId="0" borderId="3" xfId="0" applyBorder="1"/>
    <xf numFmtId="0" fontId="0" fillId="0" borderId="4" xfId="0" applyBorder="1"/>
    <xf numFmtId="2" fontId="0" fillId="2" borderId="5" xfId="0" applyNumberFormat="1" applyFill="1" applyBorder="1"/>
    <xf numFmtId="0" fontId="0" fillId="0" borderId="6" xfId="0" applyBorder="1"/>
    <xf numFmtId="164" fontId="0" fillId="0" borderId="7" xfId="1" applyNumberFormat="1" applyFont="1" applyBorder="1"/>
    <xf numFmtId="0" fontId="0" fillId="0" borderId="8" xfId="0" applyBorder="1"/>
    <xf numFmtId="0" fontId="0" fillId="0" borderId="9" xfId="0" applyBorder="1"/>
    <xf numFmtId="2" fontId="0" fillId="0" borderId="10" xfId="0" applyNumberFormat="1" applyBorder="1"/>
    <xf numFmtId="165" fontId="0" fillId="0" borderId="0" xfId="0" applyNumberFormat="1"/>
    <xf numFmtId="2" fontId="0" fillId="0" borderId="5" xfId="0" applyNumberFormat="1" applyBorder="1"/>
    <xf numFmtId="0" fontId="0" fillId="3" borderId="11" xfId="0" applyFill="1" applyBorder="1"/>
    <xf numFmtId="0" fontId="0" fillId="3" borderId="7" xfId="0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5" xfId="0" applyBorder="1"/>
    <xf numFmtId="14" fontId="0" fillId="0" borderId="13" xfId="0" applyNumberFormat="1" applyBorder="1"/>
    <xf numFmtId="164" fontId="0" fillId="0" borderId="13" xfId="1" applyNumberFormat="1" applyFont="1" applyBorder="1"/>
    <xf numFmtId="43" fontId="0" fillId="0" borderId="13" xfId="1" applyFont="1" applyBorder="1"/>
    <xf numFmtId="10" fontId="0" fillId="0" borderId="0" xfId="3" applyNumberFormat="1" applyFont="1"/>
    <xf numFmtId="43" fontId="0" fillId="0" borderId="0" xfId="1" applyFont="1"/>
    <xf numFmtId="164" fontId="0" fillId="0" borderId="0" xfId="1" applyNumberFormat="1" applyFont="1"/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0" fillId="0" borderId="0" xfId="0" applyNumberFormat="1"/>
    <xf numFmtId="3" fontId="5" fillId="0" borderId="0" xfId="4" applyNumberFormat="1" applyFont="1"/>
    <xf numFmtId="3" fontId="6" fillId="0" borderId="0" xfId="4" applyNumberFormat="1" applyFont="1"/>
    <xf numFmtId="164" fontId="0" fillId="0" borderId="0" xfId="0" applyNumberFormat="1"/>
    <xf numFmtId="0" fontId="7" fillId="0" borderId="13" xfId="0" applyFont="1" applyBorder="1" applyAlignment="1">
      <alignment horizontal="left" vertical="center"/>
    </xf>
    <xf numFmtId="3" fontId="7" fillId="0" borderId="13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3" fontId="3" fillId="0" borderId="13" xfId="0" applyNumberFormat="1" applyFont="1" applyBorder="1" applyAlignment="1">
      <alignment horizontal="right" vertical="center"/>
    </xf>
    <xf numFmtId="167" fontId="3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168" fontId="0" fillId="0" borderId="0" xfId="1" applyNumberFormat="1" applyFont="1" applyFill="1" applyBorder="1"/>
    <xf numFmtId="164" fontId="0" fillId="0" borderId="0" xfId="1" applyNumberFormat="1" applyFont="1" applyFill="1" applyBorder="1"/>
    <xf numFmtId="0" fontId="0" fillId="0" borderId="0" xfId="0" applyAlignment="1">
      <alignment horizontal="left" vertical="center"/>
    </xf>
    <xf numFmtId="3" fontId="0" fillId="0" borderId="0" xfId="0" applyNumberFormat="1"/>
    <xf numFmtId="169" fontId="0" fillId="0" borderId="0" xfId="0" applyNumberFormat="1"/>
    <xf numFmtId="17" fontId="0" fillId="0" borderId="3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43" fontId="0" fillId="0" borderId="0" xfId="0" applyNumberFormat="1"/>
    <xf numFmtId="164" fontId="2" fillId="0" borderId="0" xfId="0" applyNumberFormat="1" applyFont="1"/>
    <xf numFmtId="1" fontId="0" fillId="0" borderId="13" xfId="0" applyNumberFormat="1" applyBorder="1"/>
    <xf numFmtId="0" fontId="0" fillId="0" borderId="13" xfId="0" applyBorder="1"/>
    <xf numFmtId="2" fontId="0" fillId="0" borderId="13" xfId="0" applyNumberFormat="1" applyBorder="1"/>
    <xf numFmtId="1" fontId="0" fillId="2" borderId="13" xfId="0" applyNumberFormat="1" applyFill="1" applyBorder="1"/>
    <xf numFmtId="164" fontId="0" fillId="2" borderId="13" xfId="1" applyNumberFormat="1" applyFont="1" applyFill="1" applyBorder="1"/>
    <xf numFmtId="0" fontId="0" fillId="0" borderId="0" xfId="0" applyAlignment="1">
      <alignment horizontal="center" vertical="center"/>
    </xf>
    <xf numFmtId="0" fontId="8" fillId="0" borderId="0" xfId="0" applyFont="1"/>
    <xf numFmtId="0" fontId="9" fillId="0" borderId="0" xfId="0" applyFont="1"/>
    <xf numFmtId="1" fontId="0" fillId="0" borderId="13" xfId="1" applyNumberFormat="1" applyFont="1" applyFill="1" applyBorder="1"/>
    <xf numFmtId="164" fontId="0" fillId="0" borderId="13" xfId="1" applyNumberFormat="1" applyFont="1" applyFill="1" applyBorder="1"/>
    <xf numFmtId="0" fontId="9" fillId="0" borderId="0" xfId="0" applyFont="1" applyAlignment="1">
      <alignment horizontal="right"/>
    </xf>
    <xf numFmtId="16" fontId="0" fillId="0" borderId="0" xfId="0" applyNumberFormat="1"/>
    <xf numFmtId="0" fontId="2" fillId="0" borderId="0" xfId="0" applyFont="1"/>
    <xf numFmtId="2" fontId="2" fillId="0" borderId="0" xfId="0" applyNumberFormat="1" applyFont="1" applyAlignment="1">
      <alignment horizontal="left"/>
    </xf>
    <xf numFmtId="170" fontId="0" fillId="0" borderId="0" xfId="0" applyNumberFormat="1"/>
    <xf numFmtId="172" fontId="0" fillId="0" borderId="0" xfId="2" applyNumberFormat="1" applyFont="1" applyFill="1" applyBorder="1"/>
    <xf numFmtId="172" fontId="2" fillId="0" borderId="0" xfId="0" applyNumberFormat="1" applyFont="1"/>
    <xf numFmtId="168" fontId="0" fillId="0" borderId="13" xfId="1" applyNumberFormat="1" applyFont="1" applyBorder="1"/>
    <xf numFmtId="14" fontId="0" fillId="0" borderId="0" xfId="0" applyNumberFormat="1"/>
    <xf numFmtId="164" fontId="2" fillId="0" borderId="0" xfId="1" applyNumberFormat="1" applyFont="1"/>
    <xf numFmtId="173" fontId="0" fillId="0" borderId="0" xfId="0" applyNumberFormat="1"/>
  </cellXfs>
  <cellStyles count="5">
    <cellStyle name="Millares" xfId="1" builtinId="3"/>
    <cellStyle name="Moneda" xfId="2" builtinId="4"/>
    <cellStyle name="Normal" xfId="0" builtinId="0"/>
    <cellStyle name="Normal 14" xfId="4" xr:uid="{38A9F34C-2EEF-43FC-A051-FBD83D2BA17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dcuru-my.sharepoint.com/personal/acarrasco_ddc_com_uy/Documents/DDC/Celtray/@Celtray%20Residencial/Etapa%201/@Actualizaci&#243;n/Flujo%20Base%20Celtray%20SA%20-%20Residencial%20TC%2042.xlsx" TargetMode="External"/><Relationship Id="rId1" Type="http://schemas.openxmlformats.org/officeDocument/2006/relationships/externalLinkPath" Target="https://ddcuru-my.sharepoint.com/personal/acarrasco_ddc_com_uy/Documents/DDC/Celtray/@Celtray%20Residencial/Etapa%201/@Actualizaci&#243;n/Flujo%20Base%20Celtray%20SA%20-%20Residencial%20TC%20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upuesto (Resp 0725)"/>
      <sheetName val="Rubrado obra (resp 12-25)"/>
      <sheetName val="Constructora"/>
      <sheetName val="LLSS"/>
      <sheetName val="Rubrado obra"/>
      <sheetName val="Presupuesto"/>
      <sheetName val="Presupuesto separado"/>
      <sheetName val="Lista de Tareas"/>
      <sheetName val="UY$"/>
      <sheetName val="U$S"/>
      <sheetName val="U$S2"/>
      <sheetName val="U$S2 (LIV 3)"/>
      <sheetName val="Flujo Gastos (con iva)"/>
      <sheetName val="Flujo Gastos"/>
      <sheetName val="Avance"/>
      <sheetName val="Mayor asesores (nuevo)"/>
      <sheetName val="Avance (solo etapa 1)"/>
      <sheetName val="Efecto TC"/>
      <sheetName val="Mayor asesores (respaldo)"/>
      <sheetName val="Mayor asesores"/>
      <sheetName val="Ventas"/>
      <sheetName val="Flujo Ingresos"/>
      <sheetName val="Financiamiento"/>
      <sheetName val="Chequeos"/>
      <sheetName val="Mayor Costos"/>
      <sheetName val="Resumen"/>
      <sheetName val="Flujo fondos act"/>
      <sheetName val="Flujo de Fondos"/>
      <sheetName val="Patrimonio"/>
      <sheetName val="Compras DDC"/>
      <sheetName val="Adicionales"/>
    </sheetNames>
    <sheetDataSet>
      <sheetData sheetId="0"/>
      <sheetData sheetId="1"/>
      <sheetData sheetId="2"/>
      <sheetData sheetId="3"/>
      <sheetData sheetId="4"/>
      <sheetData sheetId="5">
        <row r="9">
          <cell r="C9">
            <v>14603263</v>
          </cell>
        </row>
        <row r="11">
          <cell r="C11">
            <v>2448632.3809523811</v>
          </cell>
        </row>
        <row r="53">
          <cell r="C53">
            <v>1066207.5238095238</v>
          </cell>
        </row>
      </sheetData>
      <sheetData sheetId="6"/>
      <sheetData sheetId="7"/>
      <sheetData sheetId="8">
        <row r="5">
          <cell r="E5">
            <v>45124</v>
          </cell>
          <cell r="G5" t="str">
            <v>Debito Chequera</v>
          </cell>
          <cell r="H5" t="str">
            <v>Itaú</v>
          </cell>
          <cell r="J5">
            <v>1740</v>
          </cell>
          <cell r="K5">
            <v>-1740</v>
          </cell>
        </row>
        <row r="6">
          <cell r="E6">
            <v>45124</v>
          </cell>
          <cell r="G6" t="str">
            <v>Gastos Bancarios</v>
          </cell>
          <cell r="H6" t="str">
            <v>Itaú</v>
          </cell>
          <cell r="J6">
            <v>1.72</v>
          </cell>
          <cell r="K6">
            <v>-1741.72</v>
          </cell>
        </row>
        <row r="7">
          <cell r="E7">
            <v>45126</v>
          </cell>
          <cell r="K7">
            <v>0.27999999999997272</v>
          </cell>
          <cell r="L7">
            <v>1742</v>
          </cell>
          <cell r="O7" t="str">
            <v>Traspaso CELTRAY 8268514</v>
          </cell>
        </row>
        <row r="8">
          <cell r="E8">
            <v>45161</v>
          </cell>
          <cell r="G8" t="str">
            <v>Gastos Bancarios</v>
          </cell>
          <cell r="H8" t="str">
            <v>Itaú</v>
          </cell>
          <cell r="J8">
            <v>260</v>
          </cell>
          <cell r="K8">
            <v>-259.72000000000003</v>
          </cell>
        </row>
        <row r="9">
          <cell r="E9">
            <v>45161</v>
          </cell>
          <cell r="G9" t="str">
            <v>Gastos Bancarios</v>
          </cell>
          <cell r="H9" t="str">
            <v>Itaú</v>
          </cell>
          <cell r="J9">
            <v>1740</v>
          </cell>
          <cell r="K9">
            <v>-1999.72</v>
          </cell>
        </row>
        <row r="10">
          <cell r="E10">
            <v>45161</v>
          </cell>
          <cell r="G10" t="str">
            <v>Gastos Bancarios</v>
          </cell>
          <cell r="H10" t="str">
            <v>Itaú</v>
          </cell>
          <cell r="J10">
            <v>0.99</v>
          </cell>
          <cell r="K10">
            <v>-2000.71</v>
          </cell>
        </row>
        <row r="11">
          <cell r="E11">
            <v>45162</v>
          </cell>
          <cell r="K11">
            <v>0.28999999999996362</v>
          </cell>
          <cell r="L11">
            <v>2001</v>
          </cell>
          <cell r="O11" t="str">
            <v>Traspaso CELTRAY 8268514</v>
          </cell>
        </row>
        <row r="12">
          <cell r="E12">
            <v>45239</v>
          </cell>
          <cell r="K12">
            <v>150000.29</v>
          </cell>
          <cell r="L12">
            <v>150000</v>
          </cell>
          <cell r="O12" t="str">
            <v>Cambio</v>
          </cell>
        </row>
        <row r="13">
          <cell r="E13">
            <v>45239</v>
          </cell>
          <cell r="F13" t="str">
            <v>Imprevistos operativos</v>
          </cell>
          <cell r="G13" t="str">
            <v>Análisis de muestra de tosca</v>
          </cell>
          <cell r="H13" t="str">
            <v>Insuelos</v>
          </cell>
          <cell r="I13">
            <v>26180</v>
          </cell>
          <cell r="J13">
            <v>145180</v>
          </cell>
          <cell r="K13">
            <v>4820.2900000000081</v>
          </cell>
        </row>
        <row r="14">
          <cell r="E14">
            <v>45250</v>
          </cell>
          <cell r="K14">
            <v>94820.290000000008</v>
          </cell>
          <cell r="L14">
            <v>90000</v>
          </cell>
          <cell r="O14" t="str">
            <v>Cambio</v>
          </cell>
        </row>
        <row r="15">
          <cell r="E15">
            <v>45251</v>
          </cell>
          <cell r="F15" t="str">
            <v>Imprevistos operativos</v>
          </cell>
          <cell r="G15" t="str">
            <v>Timbres para registro de plano</v>
          </cell>
          <cell r="H15" t="str">
            <v>Caja de profesionales</v>
          </cell>
          <cell r="J15">
            <v>20354</v>
          </cell>
          <cell r="K15">
            <v>74466.290000000008</v>
          </cell>
        </row>
        <row r="16">
          <cell r="E16">
            <v>45251</v>
          </cell>
          <cell r="F16" t="str">
            <v>Imprevistos operativos</v>
          </cell>
          <cell r="G16" t="str">
            <v>Gastos Bancarios</v>
          </cell>
          <cell r="H16" t="str">
            <v>Itaú</v>
          </cell>
          <cell r="J16">
            <v>74.84</v>
          </cell>
          <cell r="K16">
            <v>74391.450000000012</v>
          </cell>
        </row>
        <row r="17">
          <cell r="E17">
            <v>45253</v>
          </cell>
          <cell r="F17" t="str">
            <v>Imprevistos operativos</v>
          </cell>
          <cell r="G17" t="str">
            <v>Registro de marcas Aura, Nova, Orion</v>
          </cell>
          <cell r="H17" t="str">
            <v>MVD marcas</v>
          </cell>
          <cell r="I17">
            <v>3300</v>
          </cell>
          <cell r="J17">
            <v>61800</v>
          </cell>
          <cell r="K17">
            <v>12591.450000000012</v>
          </cell>
        </row>
        <row r="18">
          <cell r="E18">
            <v>45253</v>
          </cell>
          <cell r="F18" t="str">
            <v>Imprevistos operativos</v>
          </cell>
          <cell r="G18" t="str">
            <v>Gastos Bancarios</v>
          </cell>
          <cell r="H18" t="str">
            <v>Itaú</v>
          </cell>
          <cell r="J18">
            <v>74.349999999999994</v>
          </cell>
          <cell r="K18">
            <v>12517.100000000011</v>
          </cell>
        </row>
        <row r="19">
          <cell r="E19">
            <v>45258</v>
          </cell>
          <cell r="K19">
            <v>234517.1</v>
          </cell>
          <cell r="L19">
            <v>222000</v>
          </cell>
          <cell r="O19" t="str">
            <v>Cambio</v>
          </cell>
        </row>
        <row r="20">
          <cell r="E20">
            <v>45258</v>
          </cell>
          <cell r="F20" t="str">
            <v>Instalación sanitaria</v>
          </cell>
          <cell r="G20" t="str">
            <v>Ing. Sanitario avance 25%</v>
          </cell>
          <cell r="H20" t="str">
            <v>Estudio Pittamiglio</v>
          </cell>
          <cell r="I20">
            <v>39711.629999999997</v>
          </cell>
          <cell r="J20">
            <v>220218</v>
          </cell>
          <cell r="K20">
            <v>14299.100000000006</v>
          </cell>
        </row>
        <row r="21">
          <cell r="E21">
            <v>45265</v>
          </cell>
          <cell r="F21" t="str">
            <v>Publicidad por etapa 1 y 2</v>
          </cell>
          <cell r="G21" t="str">
            <v>Registro dominio LIV</v>
          </cell>
          <cell r="H21" t="str">
            <v>I+D</v>
          </cell>
          <cell r="I21">
            <v>968</v>
          </cell>
          <cell r="J21">
            <v>5368</v>
          </cell>
          <cell r="K21">
            <v>8931.1000000000058</v>
          </cell>
        </row>
        <row r="22">
          <cell r="E22">
            <v>45265</v>
          </cell>
          <cell r="F22" t="str">
            <v>Imprevistos operativos</v>
          </cell>
          <cell r="G22" t="str">
            <v>Gastos Bancarios</v>
          </cell>
          <cell r="H22" t="str">
            <v>Itaú</v>
          </cell>
          <cell r="J22">
            <v>74.290000000000006</v>
          </cell>
          <cell r="K22">
            <v>8856.8100000000049</v>
          </cell>
        </row>
        <row r="23">
          <cell r="E23">
            <v>45279</v>
          </cell>
          <cell r="K23">
            <v>58856.810000000005</v>
          </cell>
          <cell r="L23">
            <v>50000</v>
          </cell>
          <cell r="O23" t="str">
            <v>Cambio</v>
          </cell>
        </row>
        <row r="24">
          <cell r="E24">
            <v>45288</v>
          </cell>
          <cell r="F24" t="str">
            <v>Publicidad por etapa 1 y 2</v>
          </cell>
          <cell r="G24" t="str">
            <v>Arreglo cartel</v>
          </cell>
          <cell r="H24" t="str">
            <v>Grupo gráfico</v>
          </cell>
          <cell r="I24">
            <v>3300</v>
          </cell>
          <cell r="J24">
            <v>18300</v>
          </cell>
          <cell r="K24">
            <v>40556.810000000005</v>
          </cell>
        </row>
        <row r="25">
          <cell r="E25">
            <v>45288</v>
          </cell>
          <cell r="F25" t="str">
            <v>Imprevistos operativos</v>
          </cell>
          <cell r="G25" t="str">
            <v>Gastos Bancarios</v>
          </cell>
          <cell r="H25" t="str">
            <v>Itaú</v>
          </cell>
          <cell r="J25">
            <v>74.13</v>
          </cell>
          <cell r="K25">
            <v>40482.680000000008</v>
          </cell>
        </row>
        <row r="26">
          <cell r="E26">
            <v>45288</v>
          </cell>
          <cell r="K26">
            <v>390482.68</v>
          </cell>
          <cell r="L26">
            <v>350000</v>
          </cell>
          <cell r="O26" t="str">
            <v>Cambio</v>
          </cell>
        </row>
        <row r="27">
          <cell r="E27">
            <v>45288</v>
          </cell>
          <cell r="F27" t="str">
            <v>Instalación sanitaria</v>
          </cell>
          <cell r="G27" t="str">
            <v>Ing. Sanitario avance 50%</v>
          </cell>
          <cell r="H27" t="str">
            <v>Estudio Pittamiglio</v>
          </cell>
          <cell r="J27">
            <v>364988</v>
          </cell>
          <cell r="K27">
            <v>25494.679999999993</v>
          </cell>
        </row>
        <row r="28">
          <cell r="E28">
            <v>45316</v>
          </cell>
          <cell r="F28" t="str">
            <v>Imprevistos operativos</v>
          </cell>
          <cell r="G28" t="str">
            <v>Oposición a registro "LIVVI"</v>
          </cell>
          <cell r="H28" t="str">
            <v>MVD marcas</v>
          </cell>
          <cell r="I28">
            <v>1320</v>
          </cell>
          <cell r="J28">
            <v>16620</v>
          </cell>
          <cell r="K28">
            <v>8874.679999999993</v>
          </cell>
        </row>
        <row r="29">
          <cell r="E29">
            <v>45316</v>
          </cell>
          <cell r="F29" t="str">
            <v>Imprevistos operativos</v>
          </cell>
          <cell r="G29" t="str">
            <v>Gastos Bancarios</v>
          </cell>
          <cell r="H29" t="str">
            <v>Itaú</v>
          </cell>
          <cell r="J29">
            <v>73.540000000000006</v>
          </cell>
          <cell r="K29">
            <v>8801.1399999999921</v>
          </cell>
        </row>
        <row r="30">
          <cell r="E30">
            <v>45329</v>
          </cell>
          <cell r="F30" t="str">
            <v>Imprevistos operativos</v>
          </cell>
          <cell r="G30" t="str">
            <v>Solicitud conexión a colector Exp 7722073 y 6722079 (Reintegro Felipe)</v>
          </cell>
          <cell r="H30" t="str">
            <v>IMM</v>
          </cell>
          <cell r="J30">
            <v>1616</v>
          </cell>
          <cell r="K30">
            <v>7185.1399999999921</v>
          </cell>
        </row>
        <row r="31">
          <cell r="E31">
            <v>45352</v>
          </cell>
          <cell r="K31">
            <v>147185.13999999998</v>
          </cell>
          <cell r="L31">
            <v>140000</v>
          </cell>
          <cell r="O31" t="str">
            <v>Cambio</v>
          </cell>
        </row>
        <row r="32">
          <cell r="E32">
            <v>45365</v>
          </cell>
          <cell r="G32" t="str">
            <v>Honorarios estudio impacto de tránsito</v>
          </cell>
          <cell r="H32" t="str">
            <v>CG Ingenieros</v>
          </cell>
          <cell r="I32">
            <v>21340</v>
          </cell>
          <cell r="J32">
            <v>118340</v>
          </cell>
          <cell r="K32">
            <v>28845.139999999985</v>
          </cell>
        </row>
        <row r="33">
          <cell r="E33">
            <v>45370</v>
          </cell>
          <cell r="K33">
            <v>1218845.1399999999</v>
          </cell>
          <cell r="L33">
            <v>1190000</v>
          </cell>
          <cell r="O33" t="str">
            <v>Cambio</v>
          </cell>
        </row>
        <row r="34">
          <cell r="E34">
            <v>45370</v>
          </cell>
          <cell r="G34" t="str">
            <v>ITP + timbres nuevo plano (Pago a Consultores) (A reintegrar por Merinos)</v>
          </cell>
          <cell r="H34" t="str">
            <v>DGI</v>
          </cell>
          <cell r="J34">
            <v>1179921</v>
          </cell>
          <cell r="K34">
            <v>38924.139999999898</v>
          </cell>
        </row>
        <row r="35">
          <cell r="E35">
            <v>45371</v>
          </cell>
          <cell r="K35">
            <v>828924.1399999999</v>
          </cell>
          <cell r="L35">
            <v>790000</v>
          </cell>
          <cell r="O35" t="str">
            <v>Cambio</v>
          </cell>
        </row>
        <row r="36">
          <cell r="E36">
            <v>45371</v>
          </cell>
          <cell r="G36" t="str">
            <v>Anticipo DGI (A reintegrar Merinos)</v>
          </cell>
          <cell r="H36" t="str">
            <v>DGI</v>
          </cell>
          <cell r="J36">
            <v>148864</v>
          </cell>
          <cell r="K36">
            <v>680060.1399999999</v>
          </cell>
        </row>
        <row r="37">
          <cell r="E37">
            <v>45372</v>
          </cell>
          <cell r="F37" t="str">
            <v>Acondicionamiento térmico y ventilación</v>
          </cell>
          <cell r="G37" t="str">
            <v>Avance 75% acondicionamiento térmico etapa 1</v>
          </cell>
          <cell r="H37" t="str">
            <v>Lagomarsino</v>
          </cell>
          <cell r="J37">
            <v>605612</v>
          </cell>
          <cell r="K37">
            <v>74448.139999999898</v>
          </cell>
        </row>
        <row r="38">
          <cell r="E38">
            <v>45372</v>
          </cell>
          <cell r="F38" t="str">
            <v>Imprevistos operativos</v>
          </cell>
          <cell r="G38" t="str">
            <v>Gastos Bancarios</v>
          </cell>
          <cell r="H38" t="str">
            <v>Itaú</v>
          </cell>
          <cell r="J38">
            <v>380.94</v>
          </cell>
          <cell r="K38">
            <v>74067.199999999895</v>
          </cell>
        </row>
        <row r="39">
          <cell r="E39">
            <v>45372</v>
          </cell>
          <cell r="F39" t="str">
            <v>Instalación sanitaria</v>
          </cell>
          <cell r="G39" t="str">
            <v>Avance 75% red de distribución de gas</v>
          </cell>
          <cell r="H39" t="str">
            <v>Estudio Pittamiglio</v>
          </cell>
          <cell r="J39">
            <v>44422</v>
          </cell>
          <cell r="K39">
            <v>29645.199999999895</v>
          </cell>
        </row>
        <row r="40">
          <cell r="E40">
            <v>45373</v>
          </cell>
          <cell r="K40">
            <v>219645.1999999999</v>
          </cell>
          <cell r="L40">
            <v>190000</v>
          </cell>
          <cell r="O40" t="str">
            <v>Cambio</v>
          </cell>
        </row>
        <row r="41">
          <cell r="E41">
            <v>45376</v>
          </cell>
          <cell r="F41" t="str">
            <v>Publicidad por etapa 1 y 2</v>
          </cell>
          <cell r="G41" t="str">
            <v xml:space="preserve">50% acopio cartelería </v>
          </cell>
          <cell r="H41" t="str">
            <v>Grupo Gráfico</v>
          </cell>
          <cell r="J41">
            <v>191900</v>
          </cell>
          <cell r="K41">
            <v>27745.199999999895</v>
          </cell>
        </row>
        <row r="42">
          <cell r="E42">
            <v>45376</v>
          </cell>
          <cell r="F42" t="str">
            <v>Imprevistos operativos</v>
          </cell>
          <cell r="G42" t="str">
            <v>Gastos Bancarios</v>
          </cell>
          <cell r="H42" t="str">
            <v>Itaú</v>
          </cell>
          <cell r="J42">
            <v>71.989999999999995</v>
          </cell>
          <cell r="K42">
            <v>27673.209999999894</v>
          </cell>
        </row>
        <row r="43">
          <cell r="E43">
            <v>45383</v>
          </cell>
          <cell r="K43">
            <v>1027673.2099999998</v>
          </cell>
          <cell r="L43">
            <v>1000000</v>
          </cell>
          <cell r="O43" t="str">
            <v>Cambio</v>
          </cell>
        </row>
        <row r="44">
          <cell r="E44">
            <v>45384</v>
          </cell>
          <cell r="G44" t="str">
            <v>Avance paisajismo plaza (Reintegra urbanización)</v>
          </cell>
          <cell r="H44" t="str">
            <v>Reverdecer</v>
          </cell>
          <cell r="J44">
            <v>1000000</v>
          </cell>
          <cell r="K44">
            <v>27673.209999999846</v>
          </cell>
        </row>
        <row r="45">
          <cell r="E45">
            <v>45384</v>
          </cell>
          <cell r="F45" t="str">
            <v>Imprevistos operativos</v>
          </cell>
          <cell r="G45" t="str">
            <v>Gastos Bancarios</v>
          </cell>
          <cell r="H45" t="str">
            <v>Itaú</v>
          </cell>
          <cell r="J45">
            <v>378.56</v>
          </cell>
          <cell r="K45">
            <v>27294.649999999845</v>
          </cell>
        </row>
        <row r="46">
          <cell r="E46">
            <v>45385</v>
          </cell>
          <cell r="K46">
            <v>735595.14999999979</v>
          </cell>
          <cell r="L46">
            <v>708300.5</v>
          </cell>
          <cell r="N46" t="str">
            <v>Reintegro ITP + tránsito (operativo) 14/3 y 19/3</v>
          </cell>
        </row>
        <row r="47">
          <cell r="E47">
            <v>45385</v>
          </cell>
          <cell r="K47">
            <v>1325555.6499999999</v>
          </cell>
          <cell r="L47">
            <v>589960.5</v>
          </cell>
          <cell r="N47" t="str">
            <v>Reintegro ITP (merinos) 19/3</v>
          </cell>
        </row>
        <row r="48">
          <cell r="E48">
            <v>45386</v>
          </cell>
          <cell r="F48" t="str">
            <v>Publicidad por etapa 1 y 2</v>
          </cell>
          <cell r="G48" t="str">
            <v>Seña 50% gorros evento lanzamiento</v>
          </cell>
          <cell r="H48" t="str">
            <v>Talagorra</v>
          </cell>
          <cell r="J48">
            <v>43800</v>
          </cell>
          <cell r="K48">
            <v>1281755.6499999999</v>
          </cell>
        </row>
        <row r="49">
          <cell r="E49">
            <v>45386</v>
          </cell>
          <cell r="F49" t="str">
            <v>Imprevistos operativos</v>
          </cell>
          <cell r="G49" t="str">
            <v>Gastos Bancarios</v>
          </cell>
          <cell r="H49" t="str">
            <v>Itaú</v>
          </cell>
          <cell r="J49">
            <v>72.66</v>
          </cell>
          <cell r="K49">
            <v>1281682.99</v>
          </cell>
        </row>
        <row r="50">
          <cell r="E50">
            <v>45387</v>
          </cell>
          <cell r="K50">
            <v>2281682.9900000002</v>
          </cell>
          <cell r="L50">
            <v>1000000</v>
          </cell>
          <cell r="N50" t="str">
            <v>Reintegro avance Reverdecer (urbanización)</v>
          </cell>
        </row>
        <row r="51">
          <cell r="E51">
            <v>45390</v>
          </cell>
          <cell r="F51" t="str">
            <v>Publicidad por etapa 1 y 2</v>
          </cell>
          <cell r="G51" t="str">
            <v>Seña generador para iluminación</v>
          </cell>
          <cell r="H51" t="str">
            <v>ATG Generadores</v>
          </cell>
          <cell r="J51">
            <v>32000</v>
          </cell>
          <cell r="K51">
            <v>2249682.9900000002</v>
          </cell>
        </row>
        <row r="52">
          <cell r="E52">
            <v>45390</v>
          </cell>
          <cell r="F52" t="str">
            <v>Imprevistos operativos</v>
          </cell>
          <cell r="G52" t="str">
            <v>Gastos Bancarios</v>
          </cell>
          <cell r="H52" t="str">
            <v>Itaú</v>
          </cell>
          <cell r="J52">
            <v>73.180000000000007</v>
          </cell>
          <cell r="K52">
            <v>2249609.81</v>
          </cell>
        </row>
        <row r="53">
          <cell r="E53">
            <v>45390</v>
          </cell>
          <cell r="F53" t="str">
            <v>Publicidad por etapa 1 y 2</v>
          </cell>
          <cell r="G53" t="str">
            <v>Acopio 50% honorarios evento lanzamiento</v>
          </cell>
          <cell r="H53" t="str">
            <v>Otra Alternativa</v>
          </cell>
          <cell r="I53">
            <v>27830</v>
          </cell>
          <cell r="J53">
            <v>154330</v>
          </cell>
          <cell r="K53">
            <v>2095279.81</v>
          </cell>
        </row>
        <row r="54">
          <cell r="E54">
            <v>45390</v>
          </cell>
          <cell r="F54" t="str">
            <v>Publicidad por etapa 1 y 2</v>
          </cell>
          <cell r="G54" t="str">
            <v>Acopio 50% reintegro de gastos evento lanzamiento</v>
          </cell>
          <cell r="H54" t="str">
            <v>Otra Alternativa</v>
          </cell>
          <cell r="I54">
            <v>115395.5</v>
          </cell>
          <cell r="J54">
            <v>639920.5</v>
          </cell>
          <cell r="K54">
            <v>1455359.31</v>
          </cell>
        </row>
        <row r="55">
          <cell r="E55">
            <v>45391</v>
          </cell>
          <cell r="F55" t="str">
            <v>Publicidad por etapa 1 y 2</v>
          </cell>
          <cell r="G55" t="str">
            <v xml:space="preserve">Saldo 50% gorros evento lanzamiento </v>
          </cell>
          <cell r="H55" t="str">
            <v>Talagorra</v>
          </cell>
          <cell r="I55">
            <v>19272</v>
          </cell>
          <cell r="J55">
            <v>63672</v>
          </cell>
          <cell r="K55">
            <v>1391687.31</v>
          </cell>
        </row>
        <row r="56">
          <cell r="E56">
            <v>45391</v>
          </cell>
          <cell r="F56" t="str">
            <v>Imprevistos operativos</v>
          </cell>
          <cell r="G56" t="str">
            <v>Gastos Bancarios</v>
          </cell>
          <cell r="H56" t="str">
            <v>Itaú</v>
          </cell>
          <cell r="J56">
            <v>73.7</v>
          </cell>
          <cell r="K56">
            <v>1391613.61</v>
          </cell>
        </row>
        <row r="57">
          <cell r="E57">
            <v>45394</v>
          </cell>
          <cell r="F57" t="str">
            <v>Publicidad por etapa 1 y 2</v>
          </cell>
          <cell r="G57" t="str">
            <v>Publicaciones El País, Paula y El Empresario</v>
          </cell>
          <cell r="H57" t="str">
            <v>El País</v>
          </cell>
          <cell r="I57">
            <v>99000</v>
          </cell>
          <cell r="J57">
            <v>549000</v>
          </cell>
          <cell r="K57">
            <v>842613.6100000001</v>
          </cell>
        </row>
        <row r="58">
          <cell r="E58">
            <v>45394</v>
          </cell>
          <cell r="F58" t="str">
            <v>Imprevistos operativos</v>
          </cell>
          <cell r="G58" t="str">
            <v>Gastos Bancarios</v>
          </cell>
          <cell r="H58" t="str">
            <v>Itaú</v>
          </cell>
          <cell r="J58">
            <v>386.63</v>
          </cell>
          <cell r="K58">
            <v>842226.9800000001</v>
          </cell>
        </row>
        <row r="59">
          <cell r="E59">
            <v>45399</v>
          </cell>
          <cell r="F59" t="str">
            <v>Publicidad por etapa 1 y 2</v>
          </cell>
          <cell r="G59" t="str">
            <v>Limpieza predio, recolección y corte de pasto para evento</v>
          </cell>
          <cell r="H59" t="str">
            <v>Jardines Alamo</v>
          </cell>
          <cell r="J59">
            <v>20000</v>
          </cell>
          <cell r="K59">
            <v>822226.9800000001</v>
          </cell>
        </row>
        <row r="60">
          <cell r="E60">
            <v>45399</v>
          </cell>
          <cell r="F60" t="str">
            <v>Imprevistos operativos</v>
          </cell>
          <cell r="G60" t="str">
            <v>Gastos Bancarios</v>
          </cell>
          <cell r="H60" t="str">
            <v>Itaú</v>
          </cell>
          <cell r="J60">
            <v>74.52</v>
          </cell>
          <cell r="K60">
            <v>822152.46000000008</v>
          </cell>
        </row>
        <row r="61">
          <cell r="E61">
            <v>45399</v>
          </cell>
          <cell r="F61" t="str">
            <v>Publicidad por etapa 1 y 2</v>
          </cell>
          <cell r="G61" t="str">
            <v>Saldo alquiler generador evento lanzamiento</v>
          </cell>
          <cell r="H61" t="str">
            <v>ATG Generadores</v>
          </cell>
          <cell r="I61">
            <v>14036</v>
          </cell>
          <cell r="J61">
            <v>45836</v>
          </cell>
          <cell r="K61">
            <v>776316.46000000008</v>
          </cell>
        </row>
        <row r="62">
          <cell r="E62">
            <v>45399</v>
          </cell>
          <cell r="F62" t="str">
            <v>Imprevistos operativos</v>
          </cell>
          <cell r="G62" t="str">
            <v>Gastos Bancarios</v>
          </cell>
          <cell r="H62" t="str">
            <v>Itaú</v>
          </cell>
          <cell r="J62">
            <v>74.52</v>
          </cell>
          <cell r="K62">
            <v>776241.94000000006</v>
          </cell>
        </row>
        <row r="63">
          <cell r="E63">
            <v>45405</v>
          </cell>
          <cell r="F63" t="str">
            <v>Publicidad por etapa 1 y 2</v>
          </cell>
          <cell r="G63" t="str">
            <v>Saldo 50% cartelería</v>
          </cell>
          <cell r="H63" t="str">
            <v>Grupo gráfico</v>
          </cell>
          <cell r="I63">
            <v>84435.16</v>
          </cell>
          <cell r="J63">
            <v>276331.36</v>
          </cell>
          <cell r="K63">
            <v>499910.58000000007</v>
          </cell>
        </row>
        <row r="64">
          <cell r="E64">
            <v>45405</v>
          </cell>
          <cell r="F64" t="str">
            <v>Imprevistos operativos</v>
          </cell>
          <cell r="G64" t="str">
            <v>Gastos Bancarios</v>
          </cell>
          <cell r="H64" t="str">
            <v>Itaú</v>
          </cell>
          <cell r="J64">
            <v>73.16</v>
          </cell>
          <cell r="K64">
            <v>499837.4200000001</v>
          </cell>
        </row>
        <row r="65">
          <cell r="E65">
            <v>45405</v>
          </cell>
          <cell r="F65" t="str">
            <v>Publicidad por etapa 1 y 2</v>
          </cell>
          <cell r="G65" t="str">
            <v xml:space="preserve">Adicionales cartelería </v>
          </cell>
          <cell r="H65" t="str">
            <v>Grupo gráfico</v>
          </cell>
          <cell r="I65">
            <v>5808</v>
          </cell>
          <cell r="J65">
            <v>32208</v>
          </cell>
          <cell r="K65">
            <v>467629.4200000001</v>
          </cell>
        </row>
        <row r="66">
          <cell r="E66">
            <v>45405</v>
          </cell>
          <cell r="F66" t="str">
            <v>Imprevistos operativos</v>
          </cell>
          <cell r="G66" t="str">
            <v>Gastos Bancarios</v>
          </cell>
          <cell r="H66" t="str">
            <v>Itaú</v>
          </cell>
          <cell r="J66">
            <v>73.16</v>
          </cell>
          <cell r="K66">
            <v>467556.26000000013</v>
          </cell>
        </row>
        <row r="67">
          <cell r="E67">
            <v>45406</v>
          </cell>
          <cell r="F67" t="str">
            <v>Agrimensura</v>
          </cell>
          <cell r="G67" t="str">
            <v>6% proyecto bloque I y II - inicio plano proyecto</v>
          </cell>
          <cell r="H67" t="str">
            <v>Estudio Boix</v>
          </cell>
          <cell r="J67">
            <v>107082.15</v>
          </cell>
          <cell r="K67">
            <v>360474.1100000001</v>
          </cell>
        </row>
        <row r="68">
          <cell r="E68">
            <v>45406</v>
          </cell>
          <cell r="F68" t="str">
            <v>Agrimensura</v>
          </cell>
          <cell r="G68" t="str">
            <v>Cálculo mayor aprovechamiento</v>
          </cell>
          <cell r="H68" t="str">
            <v>Estudio Boix</v>
          </cell>
          <cell r="J68">
            <v>17500</v>
          </cell>
          <cell r="K68">
            <v>342974.1100000001</v>
          </cell>
        </row>
        <row r="69">
          <cell r="E69">
            <v>45419</v>
          </cell>
          <cell r="K69">
            <v>491838.1100000001</v>
          </cell>
          <cell r="L69">
            <v>148864</v>
          </cell>
          <cell r="N69" t="str">
            <v>Reintegros Celtray Operativo Ant DGI 20/3/24</v>
          </cell>
        </row>
        <row r="70">
          <cell r="E70">
            <v>45420</v>
          </cell>
          <cell r="F70" t="str">
            <v>Publicidad por etapa 1 y 2</v>
          </cell>
          <cell r="G70" t="str">
            <v>Doble pagina revista AyD</v>
          </cell>
          <cell r="H70" t="str">
            <v>Arte y Diseño</v>
          </cell>
          <cell r="I70">
            <v>7040</v>
          </cell>
          <cell r="J70">
            <v>39040</v>
          </cell>
          <cell r="K70">
            <v>452798.1100000001</v>
          </cell>
        </row>
        <row r="71">
          <cell r="E71">
            <v>45420</v>
          </cell>
          <cell r="F71" t="str">
            <v>Imprevistos operativos</v>
          </cell>
          <cell r="G71" t="str">
            <v>Gastos Bancarios</v>
          </cell>
          <cell r="H71" t="str">
            <v>Itaú</v>
          </cell>
          <cell r="J71">
            <v>73.36</v>
          </cell>
          <cell r="K71">
            <v>452724.75000000012</v>
          </cell>
        </row>
        <row r="72">
          <cell r="E72">
            <v>45420</v>
          </cell>
          <cell r="F72" t="str">
            <v>Publicidad por etapa 1 y 2</v>
          </cell>
          <cell r="G72" t="str">
            <v>Hidrolavado calles</v>
          </cell>
          <cell r="H72" t="str">
            <v>Raudo</v>
          </cell>
          <cell r="I72">
            <v>7040</v>
          </cell>
          <cell r="J72">
            <v>39040</v>
          </cell>
          <cell r="K72">
            <v>413684.75000000012</v>
          </cell>
        </row>
        <row r="73">
          <cell r="E73">
            <v>45420</v>
          </cell>
          <cell r="F73" t="str">
            <v>Imprevistos operativos</v>
          </cell>
          <cell r="G73" t="str">
            <v>Gastos Bancarios</v>
          </cell>
          <cell r="H73" t="str">
            <v>Itaú</v>
          </cell>
          <cell r="J73">
            <v>73.36</v>
          </cell>
          <cell r="K73">
            <v>413611.39000000013</v>
          </cell>
        </row>
        <row r="74">
          <cell r="E74">
            <v>45420</v>
          </cell>
          <cell r="F74" t="str">
            <v>Consumo UTE y OSE por etapa 1 y 2</v>
          </cell>
          <cell r="G74" t="str">
            <v>Instalación provisorio de OSE</v>
          </cell>
          <cell r="H74" t="str">
            <v>Barreto e hijos</v>
          </cell>
          <cell r="I74">
            <v>2024</v>
          </cell>
          <cell r="J74">
            <v>11224</v>
          </cell>
          <cell r="K74">
            <v>402387.39000000013</v>
          </cell>
        </row>
        <row r="75">
          <cell r="E75">
            <v>45420</v>
          </cell>
          <cell r="F75" t="str">
            <v>Imprevistos operativos</v>
          </cell>
          <cell r="G75" t="str">
            <v>Gastos Bancarios</v>
          </cell>
          <cell r="H75" t="str">
            <v>Itaú</v>
          </cell>
          <cell r="J75">
            <v>73.36</v>
          </cell>
          <cell r="K75">
            <v>402314.03000000014</v>
          </cell>
        </row>
        <row r="76">
          <cell r="E76">
            <v>45420</v>
          </cell>
          <cell r="F76" t="str">
            <v>Publicidad por etapa 1 y 2</v>
          </cell>
          <cell r="G76" t="str">
            <v>Alquiler plantas evento lanzamiento</v>
          </cell>
          <cell r="H76" t="str">
            <v>Musacco</v>
          </cell>
          <cell r="I76">
            <v>2344.2600000000002</v>
          </cell>
          <cell r="J76">
            <v>13000</v>
          </cell>
          <cell r="K76">
            <v>389314.03000000014</v>
          </cell>
        </row>
        <row r="77">
          <cell r="E77">
            <v>45420</v>
          </cell>
          <cell r="F77" t="str">
            <v>Imprevistos operativos</v>
          </cell>
          <cell r="G77" t="str">
            <v>Candado (Reintegro Santi Belderrain)</v>
          </cell>
          <cell r="H77" t="str">
            <v>Kroser</v>
          </cell>
          <cell r="I77">
            <v>69.97</v>
          </cell>
          <cell r="J77">
            <v>388</v>
          </cell>
          <cell r="K77">
            <v>388926.03000000014</v>
          </cell>
        </row>
        <row r="78">
          <cell r="E78">
            <v>45434</v>
          </cell>
          <cell r="F78" t="str">
            <v>Publicidad por etapa 1 y 2</v>
          </cell>
          <cell r="G78" t="str">
            <v>Brochures adicionales para foro AyD</v>
          </cell>
          <cell r="H78" t="str">
            <v>Gráfica Mosca</v>
          </cell>
          <cell r="I78">
            <v>941.16</v>
          </cell>
          <cell r="J78">
            <v>5219.16</v>
          </cell>
          <cell r="K78">
            <v>383706.87000000017</v>
          </cell>
        </row>
        <row r="79">
          <cell r="E79">
            <v>45442</v>
          </cell>
          <cell r="F79" t="str">
            <v>Imprevistos operativos</v>
          </cell>
          <cell r="G79" t="str">
            <v>30% acopio honorarios por PUD</v>
          </cell>
          <cell r="H79" t="str">
            <v>Estrategias Urbanas</v>
          </cell>
          <cell r="J79">
            <v>57000</v>
          </cell>
          <cell r="K79">
            <v>326706.87000000017</v>
          </cell>
        </row>
        <row r="80">
          <cell r="E80">
            <v>45442</v>
          </cell>
          <cell r="F80" t="str">
            <v>Imprevistos operativos</v>
          </cell>
          <cell r="G80" t="str">
            <v>Gastos Bancarios</v>
          </cell>
          <cell r="H80" t="str">
            <v>Itaú</v>
          </cell>
          <cell r="J80">
            <v>73.61</v>
          </cell>
          <cell r="K80">
            <v>326633.26000000018</v>
          </cell>
        </row>
        <row r="81">
          <cell r="E81">
            <v>45446</v>
          </cell>
          <cell r="F81" t="str">
            <v>Imprevistos operativos</v>
          </cell>
          <cell r="G81" t="str">
            <v>Extensión y reparación veredas + modificación en nicho UTE</v>
          </cell>
          <cell r="H81" t="str">
            <v>DyV Construcciones</v>
          </cell>
          <cell r="I81">
            <v>30797.8</v>
          </cell>
          <cell r="J81">
            <v>170787.8</v>
          </cell>
          <cell r="K81">
            <v>155845.4600000002</v>
          </cell>
        </row>
        <row r="82">
          <cell r="E82">
            <v>45463</v>
          </cell>
          <cell r="F82" t="str">
            <v>Publicidad por etapa 1 y 2</v>
          </cell>
          <cell r="G82" t="str">
            <v>Sofía del Campo evento lanzamiento</v>
          </cell>
          <cell r="H82" t="str">
            <v>Lussich Jimenez de Aréchaga</v>
          </cell>
          <cell r="I82">
            <v>3984.75</v>
          </cell>
          <cell r="J82">
            <v>22097.25</v>
          </cell>
          <cell r="K82">
            <v>133748.2100000002</v>
          </cell>
        </row>
        <row r="83">
          <cell r="E83">
            <v>45475</v>
          </cell>
          <cell r="K83">
            <v>1253748.2100000002</v>
          </cell>
          <cell r="L83">
            <v>1120000</v>
          </cell>
          <cell r="O83" t="str">
            <v>Cambio</v>
          </cell>
        </row>
        <row r="84">
          <cell r="E84">
            <v>45475</v>
          </cell>
          <cell r="F84" t="str">
            <v>Publicidad por etapa 1 y 2</v>
          </cell>
          <cell r="G84" t="str">
            <v>Saldo 50% reintegro gastos evento lanzamiento (Reintegro Celtray Urbanización)</v>
          </cell>
          <cell r="H84" t="str">
            <v>Otra Alternativa</v>
          </cell>
          <cell r="I84">
            <v>126825.16</v>
          </cell>
          <cell r="J84">
            <v>703303.16</v>
          </cell>
          <cell r="K84">
            <v>550445.05000000016</v>
          </cell>
        </row>
        <row r="85">
          <cell r="E85">
            <v>45475</v>
          </cell>
          <cell r="F85" t="str">
            <v>Publicidad por etapa 1 y 2</v>
          </cell>
          <cell r="G85" t="str">
            <v>saldo 50% honorarios evento lanzamiento (Reintegro a Celtray Urbanización)</v>
          </cell>
          <cell r="H85" t="str">
            <v>Otra Alternativa</v>
          </cell>
          <cell r="I85">
            <v>27830</v>
          </cell>
          <cell r="J85">
            <v>154330</v>
          </cell>
          <cell r="K85">
            <v>396115.05000000016</v>
          </cell>
        </row>
        <row r="86">
          <cell r="E86">
            <v>45475</v>
          </cell>
          <cell r="F86" t="str">
            <v>Publicidad por etapa 1 y 2</v>
          </cell>
          <cell r="G86" t="str">
            <v xml:space="preserve">700 folletos trípticos </v>
          </cell>
          <cell r="H86" t="str">
            <v>Gráfica Mosca</v>
          </cell>
          <cell r="I86">
            <v>6424</v>
          </cell>
          <cell r="J86">
            <v>35624</v>
          </cell>
          <cell r="K86">
            <v>360491.05000000016</v>
          </cell>
        </row>
        <row r="87">
          <cell r="E87">
            <v>45475</v>
          </cell>
          <cell r="F87" t="str">
            <v>Publicidad por etapa 1 y 2</v>
          </cell>
          <cell r="G87" t="str">
            <v>200 carpetas</v>
          </cell>
          <cell r="H87" t="str">
            <v>Gráfica Mosca</v>
          </cell>
          <cell r="I87">
            <v>3018.84</v>
          </cell>
          <cell r="J87">
            <v>16740.84</v>
          </cell>
          <cell r="K87">
            <v>343750.21000000014</v>
          </cell>
        </row>
        <row r="88">
          <cell r="E88">
            <v>45475</v>
          </cell>
          <cell r="F88" t="str">
            <v>Publicidad por etapa 1 y 2</v>
          </cell>
          <cell r="G88" t="str">
            <v>100 libros</v>
          </cell>
          <cell r="H88" t="str">
            <v>Gráfica Mosca</v>
          </cell>
          <cell r="J88">
            <v>110000</v>
          </cell>
          <cell r="K88">
            <v>233750.21000000014</v>
          </cell>
        </row>
        <row r="89">
          <cell r="E89">
            <v>45475</v>
          </cell>
          <cell r="F89" t="str">
            <v>Publicidad por etapa 1 y 2</v>
          </cell>
          <cell r="G89" t="str">
            <v>200 libros</v>
          </cell>
          <cell r="H89" t="str">
            <v>Gráfica Mosca</v>
          </cell>
          <cell r="J89">
            <v>116400</v>
          </cell>
          <cell r="K89">
            <v>117350.21000000014</v>
          </cell>
        </row>
        <row r="90">
          <cell r="E90">
            <v>45475</v>
          </cell>
          <cell r="F90" t="str">
            <v>Publicidad por etapa 1 y 2</v>
          </cell>
          <cell r="G90" t="str">
            <v>Servicio de comunicación abril (producción: colocación escultura)</v>
          </cell>
          <cell r="H90" t="str">
            <v>Silvestre</v>
          </cell>
          <cell r="I90">
            <v>12760</v>
          </cell>
          <cell r="J90">
            <v>70760</v>
          </cell>
          <cell r="K90">
            <v>46590.210000000137</v>
          </cell>
        </row>
        <row r="91">
          <cell r="E91">
            <v>45475</v>
          </cell>
          <cell r="F91" t="str">
            <v>Consumo UTE y OSE por etapa 1 y 2</v>
          </cell>
          <cell r="G91" t="str">
            <v>Modificación adicional nicho UTE</v>
          </cell>
          <cell r="H91" t="str">
            <v>DyV Construcciones</v>
          </cell>
          <cell r="I91">
            <v>2343.44</v>
          </cell>
          <cell r="J91">
            <v>12995.44</v>
          </cell>
          <cell r="K91">
            <v>33594.770000000135</v>
          </cell>
        </row>
        <row r="92">
          <cell r="E92">
            <v>45482</v>
          </cell>
          <cell r="K92">
            <v>253594.77000000014</v>
          </cell>
          <cell r="L92">
            <v>220000</v>
          </cell>
          <cell r="O92" t="str">
            <v>Cambio</v>
          </cell>
        </row>
        <row r="93">
          <cell r="E93">
            <v>45482</v>
          </cell>
          <cell r="F93" t="str">
            <v>Consumo UTE y OSE por etapa 1 y 2</v>
          </cell>
          <cell r="G93" t="str">
            <v>Conexión plaza</v>
          </cell>
          <cell r="H93" t="str">
            <v>UTE</v>
          </cell>
          <cell r="I93">
            <v>39395.379999999997</v>
          </cell>
          <cell r="J93">
            <v>218465</v>
          </cell>
          <cell r="K93">
            <v>35129.770000000135</v>
          </cell>
        </row>
        <row r="94">
          <cell r="E94">
            <v>45496</v>
          </cell>
          <cell r="K94">
            <v>180129.77000000014</v>
          </cell>
          <cell r="L94">
            <v>145000</v>
          </cell>
          <cell r="O94" t="str">
            <v>Cambio</v>
          </cell>
        </row>
        <row r="95">
          <cell r="E95">
            <v>45496</v>
          </cell>
          <cell r="F95" t="str">
            <v>Consumo UTE y OSE por etapa 1 y 2</v>
          </cell>
          <cell r="G95" t="str">
            <v>Depósito provisorio de obra</v>
          </cell>
          <cell r="H95" t="str">
            <v>OSE</v>
          </cell>
          <cell r="J95">
            <v>145660</v>
          </cell>
          <cell r="K95">
            <v>34469.770000000135</v>
          </cell>
        </row>
        <row r="96">
          <cell r="E96">
            <v>45497</v>
          </cell>
          <cell r="K96">
            <v>104469.77000000014</v>
          </cell>
          <cell r="L96">
            <v>70000</v>
          </cell>
          <cell r="O96" t="str">
            <v>Cambio</v>
          </cell>
        </row>
        <row r="97">
          <cell r="E97">
            <v>45506</v>
          </cell>
          <cell r="K97">
            <v>354469.77000000014</v>
          </cell>
          <cell r="L97">
            <v>250000</v>
          </cell>
          <cell r="O97" t="str">
            <v>Cambio</v>
          </cell>
        </row>
        <row r="98">
          <cell r="E98">
            <v>45506</v>
          </cell>
          <cell r="F98" t="str">
            <v>Consumo UTE y OSE por etapa 1 y 2</v>
          </cell>
          <cell r="G98" t="str">
            <v xml:space="preserve">Depósito garantía para provisorio de obra edificios </v>
          </cell>
          <cell r="H98" t="str">
            <v>UTE</v>
          </cell>
          <cell r="J98">
            <v>104763</v>
          </cell>
          <cell r="K98">
            <v>249706.77000000014</v>
          </cell>
        </row>
        <row r="99">
          <cell r="E99">
            <v>45506</v>
          </cell>
          <cell r="F99" t="str">
            <v>Publicidad por etapa 1 y 2</v>
          </cell>
          <cell r="G99" t="str">
            <v>Servicio de comunicación junio (producción)</v>
          </cell>
          <cell r="H99" t="str">
            <v>Silvestre</v>
          </cell>
          <cell r="I99">
            <v>12760</v>
          </cell>
          <cell r="J99">
            <v>70760</v>
          </cell>
          <cell r="K99">
            <v>178946.77000000014</v>
          </cell>
        </row>
        <row r="100">
          <cell r="E100">
            <v>45509</v>
          </cell>
          <cell r="F100" t="str">
            <v>Imprevistos operativos</v>
          </cell>
          <cell r="G100" t="str">
            <v>Saldo 70% honorarios por PUD</v>
          </cell>
          <cell r="H100" t="str">
            <v>Estrategias Urbanas</v>
          </cell>
          <cell r="J100">
            <v>133000</v>
          </cell>
          <cell r="K100">
            <v>45946.770000000135</v>
          </cell>
        </row>
        <row r="101">
          <cell r="E101">
            <v>45509</v>
          </cell>
          <cell r="F101" t="str">
            <v>Imprevistos operativos</v>
          </cell>
          <cell r="G101" t="str">
            <v>Gastos Bancarios</v>
          </cell>
          <cell r="H101" t="str">
            <v>Itaú</v>
          </cell>
          <cell r="J101">
            <v>76.87</v>
          </cell>
          <cell r="K101">
            <v>45869.900000000132</v>
          </cell>
        </row>
        <row r="102">
          <cell r="E102">
            <v>45517</v>
          </cell>
          <cell r="K102">
            <v>110869.90000000014</v>
          </cell>
          <cell r="L102">
            <v>65000</v>
          </cell>
          <cell r="O102" t="str">
            <v>Cambio</v>
          </cell>
        </row>
        <row r="103">
          <cell r="E103">
            <v>45517</v>
          </cell>
          <cell r="F103" t="str">
            <v>Consumo UTE y OSE por etapa 1 y 2</v>
          </cell>
          <cell r="G103" t="str">
            <v>Tasa de conexión provisorio de obra edificios</v>
          </cell>
          <cell r="H103" t="str">
            <v>UTE</v>
          </cell>
          <cell r="I103">
            <v>13580.09</v>
          </cell>
          <cell r="J103">
            <v>75308</v>
          </cell>
          <cell r="K103">
            <v>35561.90000000014</v>
          </cell>
        </row>
        <row r="104">
          <cell r="E104">
            <v>45520</v>
          </cell>
          <cell r="K104">
            <v>320561.90000000014</v>
          </cell>
          <cell r="L104">
            <v>285000</v>
          </cell>
          <cell r="O104" t="str">
            <v>Cambio</v>
          </cell>
        </row>
        <row r="105">
          <cell r="E105">
            <v>45523</v>
          </cell>
          <cell r="F105" t="str">
            <v>Instalación sanitaria</v>
          </cell>
          <cell r="G105" t="str">
            <v>Saldo 25% Ing. Sanitario y red de distribución de gas</v>
          </cell>
          <cell r="H105" t="str">
            <v>Estudio Pittamiglio</v>
          </cell>
          <cell r="J105">
            <v>204714</v>
          </cell>
          <cell r="K105">
            <v>115847.90000000014</v>
          </cell>
        </row>
        <row r="106">
          <cell r="E106">
            <v>45526</v>
          </cell>
          <cell r="F106" t="str">
            <v>Imprevistos operativos</v>
          </cell>
          <cell r="G106" t="str">
            <v>Cable de alimentación nuevo plaza</v>
          </cell>
          <cell r="H106" t="str">
            <v>Fernando Bassino</v>
          </cell>
          <cell r="I106">
            <v>1172</v>
          </cell>
          <cell r="J106">
            <v>6500</v>
          </cell>
          <cell r="K106">
            <v>109347.90000000014</v>
          </cell>
        </row>
        <row r="107">
          <cell r="E107">
            <v>45526</v>
          </cell>
          <cell r="F107" t="str">
            <v>Imprevistos operativos</v>
          </cell>
          <cell r="G107" t="str">
            <v>Gastos Bancarios</v>
          </cell>
          <cell r="H107" t="str">
            <v>Itaú</v>
          </cell>
          <cell r="J107">
            <v>76.64</v>
          </cell>
          <cell r="K107">
            <v>109271.26000000014</v>
          </cell>
        </row>
        <row r="108">
          <cell r="E108">
            <v>45527</v>
          </cell>
          <cell r="F108" t="str">
            <v>Imprevistos operativos</v>
          </cell>
          <cell r="G108" t="str">
            <v>Hilo trazado recorrido cable (Reintegro Luis Pedro)</v>
          </cell>
          <cell r="H108" t="str">
            <v>Ynter Industrial</v>
          </cell>
          <cell r="I108">
            <v>35.86</v>
          </cell>
          <cell r="J108">
            <v>198.86</v>
          </cell>
          <cell r="K108">
            <v>109072.40000000014</v>
          </cell>
        </row>
        <row r="109">
          <cell r="E109">
            <v>45527</v>
          </cell>
          <cell r="F109" t="str">
            <v>Imprevistos operativos</v>
          </cell>
          <cell r="G109" t="str">
            <v>Pasadores puertas tablero (Reintegro Luis Pedro)</v>
          </cell>
          <cell r="H109" t="str">
            <v>Matices</v>
          </cell>
          <cell r="I109">
            <v>29.93</v>
          </cell>
          <cell r="J109">
            <v>166</v>
          </cell>
          <cell r="K109">
            <v>108906.40000000014</v>
          </cell>
        </row>
        <row r="110">
          <cell r="E110">
            <v>45527</v>
          </cell>
          <cell r="F110" t="str">
            <v>Imprevistos operativos</v>
          </cell>
          <cell r="G110" t="str">
            <v>Cable alimentación plaza (Reintegro Luis Pedro)</v>
          </cell>
          <cell r="H110" t="str">
            <v>Fivisa</v>
          </cell>
          <cell r="I110">
            <v>1950.67</v>
          </cell>
          <cell r="J110">
            <v>10817</v>
          </cell>
          <cell r="K110">
            <v>98089.40000000014</v>
          </cell>
        </row>
        <row r="111">
          <cell r="E111">
            <v>45530</v>
          </cell>
          <cell r="K111">
            <v>263089.40000000014</v>
          </cell>
          <cell r="L111">
            <v>165000</v>
          </cell>
          <cell r="O111" t="str">
            <v>Cambio</v>
          </cell>
        </row>
        <row r="112">
          <cell r="E112">
            <v>45530</v>
          </cell>
          <cell r="G112" t="str">
            <v>Anticipo IP 7/2024 (a reintegrar operativo)</v>
          </cell>
          <cell r="H112" t="str">
            <v>DGI</v>
          </cell>
          <cell r="J112">
            <v>148864</v>
          </cell>
          <cell r="K112">
            <v>114225.40000000014</v>
          </cell>
        </row>
        <row r="113">
          <cell r="E113">
            <v>45533</v>
          </cell>
          <cell r="F113" t="str">
            <v>Publicidad por etapa 1 y 2</v>
          </cell>
          <cell r="G113" t="str">
            <v>Pauta en casas y + agosto</v>
          </cell>
          <cell r="H113" t="str">
            <v>Casas y +</v>
          </cell>
          <cell r="I113">
            <v>3300</v>
          </cell>
          <cell r="J113">
            <v>18300</v>
          </cell>
          <cell r="K113">
            <v>95925.40000000014</v>
          </cell>
        </row>
        <row r="114">
          <cell r="E114">
            <v>45533</v>
          </cell>
          <cell r="F114" t="str">
            <v>Publicidad por etapa 1 y 2</v>
          </cell>
          <cell r="G114" t="str">
            <v>Cuota mensual comunicación agosto</v>
          </cell>
          <cell r="H114" t="str">
            <v>Silvestre</v>
          </cell>
          <cell r="I114">
            <v>11000</v>
          </cell>
          <cell r="J114">
            <v>61000</v>
          </cell>
          <cell r="K114">
            <v>34925.40000000014</v>
          </cell>
        </row>
        <row r="115">
          <cell r="E115">
            <v>45540</v>
          </cell>
          <cell r="K115">
            <v>84925.40000000014</v>
          </cell>
          <cell r="L115">
            <v>50000</v>
          </cell>
          <cell r="O115" t="str">
            <v>Cambio</v>
          </cell>
        </row>
        <row r="116">
          <cell r="E116">
            <v>45545</v>
          </cell>
          <cell r="K116">
            <v>134925.40000000014</v>
          </cell>
          <cell r="L116">
            <v>50000</v>
          </cell>
          <cell r="O116" t="str">
            <v>Cambio</v>
          </cell>
        </row>
        <row r="117">
          <cell r="E117">
            <v>45548</v>
          </cell>
          <cell r="F117" t="str">
            <v>Imprevistos operativos</v>
          </cell>
          <cell r="G117" t="str">
            <v>Fotocélulas para nuevos focos (Reintegro LP)</v>
          </cell>
          <cell r="H117" t="str">
            <v>Unisport</v>
          </cell>
          <cell r="I117">
            <v>214.77</v>
          </cell>
          <cell r="J117">
            <v>1191</v>
          </cell>
          <cell r="K117">
            <v>133734.40000000014</v>
          </cell>
        </row>
        <row r="118">
          <cell r="E118">
            <v>45554</v>
          </cell>
          <cell r="F118" t="str">
            <v>Publicidad por etapa 1 y 2</v>
          </cell>
          <cell r="G118" t="str">
            <v xml:space="preserve">Cuota mensual servicio de comunicación septiembre </v>
          </cell>
          <cell r="H118" t="str">
            <v>Silvestre</v>
          </cell>
          <cell r="I118">
            <v>11000</v>
          </cell>
          <cell r="J118">
            <v>61000</v>
          </cell>
          <cell r="K118">
            <v>72734.40000000014</v>
          </cell>
        </row>
        <row r="119">
          <cell r="E119">
            <v>45554</v>
          </cell>
          <cell r="F119" t="str">
            <v>Publicidad por etapa 1 y 2</v>
          </cell>
          <cell r="G119" t="str">
            <v>Pauta en casas y + septiembre</v>
          </cell>
          <cell r="H119" t="str">
            <v>Casas y +</v>
          </cell>
          <cell r="I119">
            <v>3300</v>
          </cell>
          <cell r="J119">
            <v>18300</v>
          </cell>
          <cell r="K119">
            <v>54434.40000000014</v>
          </cell>
        </row>
        <row r="120">
          <cell r="E120">
            <v>45555</v>
          </cell>
          <cell r="F120" t="str">
            <v>Consumo UTE y OSE por etapa 1 y 2</v>
          </cell>
          <cell r="G120" t="str">
            <v>Desarmado y revisión tablero UTE</v>
          </cell>
          <cell r="H120" t="str">
            <v>Fernando Bassino</v>
          </cell>
          <cell r="I120">
            <v>811.5</v>
          </cell>
          <cell r="J120">
            <v>4500</v>
          </cell>
          <cell r="K120">
            <v>49934.40000000014</v>
          </cell>
        </row>
        <row r="121">
          <cell r="E121">
            <v>45555</v>
          </cell>
          <cell r="F121" t="str">
            <v>Imprevistos operativos</v>
          </cell>
          <cell r="G121" t="str">
            <v>Gastos Bancarios</v>
          </cell>
          <cell r="H121" t="str">
            <v>Itaú</v>
          </cell>
          <cell r="J121">
            <v>79.03</v>
          </cell>
          <cell r="K121">
            <v>49855.370000000141</v>
          </cell>
        </row>
        <row r="122">
          <cell r="E122">
            <v>45555</v>
          </cell>
          <cell r="F122" t="str">
            <v>Publicidad por etapa 1 y 2</v>
          </cell>
          <cell r="G122" t="str">
            <v>Cambio logos itaú en vallado</v>
          </cell>
          <cell r="H122" t="str">
            <v>Grupo gráfico</v>
          </cell>
          <cell r="I122">
            <v>3300</v>
          </cell>
          <cell r="J122">
            <v>18300</v>
          </cell>
          <cell r="K122">
            <v>31555.370000000141</v>
          </cell>
        </row>
        <row r="123">
          <cell r="E123">
            <v>45555</v>
          </cell>
          <cell r="F123" t="str">
            <v>Imprevistos operativos</v>
          </cell>
          <cell r="G123" t="str">
            <v>Gastos Bancarios</v>
          </cell>
          <cell r="H123" t="str">
            <v>Itaú</v>
          </cell>
          <cell r="J123">
            <v>79.03</v>
          </cell>
          <cell r="K123">
            <v>31476.340000000142</v>
          </cell>
        </row>
        <row r="124">
          <cell r="E124">
            <v>45555</v>
          </cell>
          <cell r="F124" t="str">
            <v>Imprevistos operativos</v>
          </cell>
          <cell r="G124" t="str">
            <v xml:space="preserve">Instalación columnas para iluminación y seguridad </v>
          </cell>
          <cell r="H124" t="str">
            <v>Hugo Rodríguez (La red)</v>
          </cell>
          <cell r="I124">
            <v>2200</v>
          </cell>
          <cell r="J124">
            <v>12200</v>
          </cell>
          <cell r="K124">
            <v>19276.340000000142</v>
          </cell>
        </row>
        <row r="125">
          <cell r="E125">
            <v>45555</v>
          </cell>
          <cell r="F125" t="str">
            <v>Imprevistos operativos</v>
          </cell>
          <cell r="G125" t="str">
            <v>Gastos Bancarios</v>
          </cell>
          <cell r="H125" t="str">
            <v>Itaú</v>
          </cell>
          <cell r="J125">
            <v>79.03</v>
          </cell>
          <cell r="K125">
            <v>19197.310000000143</v>
          </cell>
        </row>
        <row r="126">
          <cell r="E126">
            <v>45559</v>
          </cell>
          <cell r="K126">
            <v>229197.31000000014</v>
          </cell>
          <cell r="L126">
            <v>210000</v>
          </cell>
          <cell r="O126" t="str">
            <v>Cambio</v>
          </cell>
        </row>
        <row r="127">
          <cell r="E127">
            <v>45559</v>
          </cell>
          <cell r="K127">
            <v>229197.31000000014</v>
          </cell>
        </row>
        <row r="128">
          <cell r="E128">
            <v>45559</v>
          </cell>
          <cell r="G128" t="str">
            <v>Anticipo IP 8/2024 (a reintegrar operativo)</v>
          </cell>
          <cell r="H128" t="str">
            <v>DGI</v>
          </cell>
          <cell r="J128">
            <v>148864</v>
          </cell>
          <cell r="K128">
            <v>80333.310000000143</v>
          </cell>
        </row>
        <row r="129">
          <cell r="E129">
            <v>45568</v>
          </cell>
          <cell r="F129" t="str">
            <v>Publicidad por etapa 1 y 2</v>
          </cell>
          <cell r="G129" t="str">
            <v>100 gorros</v>
          </cell>
          <cell r="H129" t="str">
            <v>Talagorra</v>
          </cell>
          <cell r="I129">
            <v>4818</v>
          </cell>
          <cell r="J129">
            <v>26718</v>
          </cell>
          <cell r="K129">
            <v>53615.310000000143</v>
          </cell>
        </row>
        <row r="130">
          <cell r="E130">
            <v>45580</v>
          </cell>
          <cell r="K130">
            <v>202479.31000000014</v>
          </cell>
          <cell r="L130">
            <v>148864</v>
          </cell>
          <cell r="O130" t="str">
            <v>Reintegro anticipo IP 7/2024</v>
          </cell>
        </row>
        <row r="131">
          <cell r="E131">
            <v>45580</v>
          </cell>
          <cell r="K131">
            <v>351343.31000000017</v>
          </cell>
          <cell r="L131">
            <v>148864</v>
          </cell>
          <cell r="O131" t="str">
            <v>Reintegro anticipo IP 8/2024</v>
          </cell>
        </row>
        <row r="132">
          <cell r="E132">
            <v>45580</v>
          </cell>
          <cell r="F132" t="str">
            <v>Publicidad por etapa 1 y 2</v>
          </cell>
          <cell r="G132" t="str">
            <v>Mitad de producción septiembre 2024 (arte)</v>
          </cell>
          <cell r="H132" t="str">
            <v>Silvestre</v>
          </cell>
          <cell r="I132">
            <v>3850</v>
          </cell>
          <cell r="J132">
            <v>21350</v>
          </cell>
          <cell r="K132">
            <v>329993.31000000017</v>
          </cell>
        </row>
        <row r="133">
          <cell r="E133">
            <v>45580</v>
          </cell>
          <cell r="F133" t="str">
            <v>Publicidad por etapa 1 y 2</v>
          </cell>
          <cell r="G133" t="str">
            <v>Cuota mensual servicio de comunicación octubre</v>
          </cell>
          <cell r="H133" t="str">
            <v>Silvestre</v>
          </cell>
          <cell r="I133">
            <v>11000</v>
          </cell>
          <cell r="J133">
            <v>61000</v>
          </cell>
          <cell r="K133">
            <v>268993.31000000017</v>
          </cell>
        </row>
        <row r="134">
          <cell r="E134">
            <v>45581</v>
          </cell>
          <cell r="F134" t="str">
            <v>Publicidad por etapa 1 y 2</v>
          </cell>
          <cell r="G134" t="str">
            <v>Flete gorros (Reintegro CC)</v>
          </cell>
          <cell r="H134" t="str">
            <v>DAC</v>
          </cell>
          <cell r="J134">
            <v>390</v>
          </cell>
          <cell r="K134">
            <v>268603.31000000017</v>
          </cell>
        </row>
        <row r="135">
          <cell r="E135">
            <v>45581</v>
          </cell>
          <cell r="F135" t="str">
            <v>Imprevistos operativos</v>
          </cell>
          <cell r="G135" t="str">
            <v>Gastos Bancarios</v>
          </cell>
          <cell r="H135" t="str">
            <v>Itaú</v>
          </cell>
          <cell r="J135">
            <v>79.2</v>
          </cell>
          <cell r="K135">
            <v>268524.11000000016</v>
          </cell>
        </row>
        <row r="136">
          <cell r="E136">
            <v>45581</v>
          </cell>
          <cell r="F136" t="str">
            <v>Publicidad por etapa 1 y 2</v>
          </cell>
          <cell r="G136" t="str">
            <v>Mupi</v>
          </cell>
          <cell r="H136" t="str">
            <v>JC Decaux</v>
          </cell>
          <cell r="J136">
            <v>68750</v>
          </cell>
          <cell r="K136">
            <v>199774.11000000016</v>
          </cell>
        </row>
        <row r="137">
          <cell r="E137">
            <v>45581</v>
          </cell>
          <cell r="F137" t="str">
            <v>Imprevistos operativos</v>
          </cell>
          <cell r="G137" t="str">
            <v>Gastos Bancarios</v>
          </cell>
          <cell r="H137" t="str">
            <v>Itaú</v>
          </cell>
          <cell r="J137">
            <v>79.2</v>
          </cell>
          <cell r="K137">
            <v>199694.91000000015</v>
          </cell>
        </row>
        <row r="138">
          <cell r="E138">
            <v>45581</v>
          </cell>
          <cell r="F138" t="str">
            <v>Publicidad por etapa 1 y 2</v>
          </cell>
          <cell r="G138" t="str">
            <v>Costo de producción Mupi</v>
          </cell>
          <cell r="H138" t="str">
            <v>JC Decaux</v>
          </cell>
          <cell r="I138">
            <v>495</v>
          </cell>
          <cell r="J138">
            <v>2745</v>
          </cell>
          <cell r="K138">
            <v>196949.91000000015</v>
          </cell>
        </row>
        <row r="139">
          <cell r="E139">
            <v>45581</v>
          </cell>
          <cell r="F139" t="str">
            <v>Imprevistos operativos</v>
          </cell>
          <cell r="G139" t="str">
            <v>Gastos Bancarios</v>
          </cell>
          <cell r="H139" t="str">
            <v>Itaú</v>
          </cell>
          <cell r="J139">
            <v>79.2</v>
          </cell>
          <cell r="K139">
            <v>196870.71000000014</v>
          </cell>
        </row>
        <row r="140">
          <cell r="E140">
            <v>45582</v>
          </cell>
          <cell r="K140">
            <v>271870.71000000014</v>
          </cell>
          <cell r="L140">
            <v>75000</v>
          </cell>
          <cell r="O140" t="str">
            <v>Cambio</v>
          </cell>
        </row>
        <row r="141">
          <cell r="E141">
            <v>45582</v>
          </cell>
          <cell r="F141" t="str">
            <v>Publicidad por etapa 1 y 2</v>
          </cell>
          <cell r="G141" t="str">
            <v>Pauta en casas y + octubre</v>
          </cell>
          <cell r="H141" t="str">
            <v>Casas y +</v>
          </cell>
          <cell r="I141">
            <v>3300</v>
          </cell>
          <cell r="J141">
            <v>18300</v>
          </cell>
          <cell r="K141">
            <v>253570.71000000014</v>
          </cell>
        </row>
        <row r="142">
          <cell r="E142">
            <v>45582</v>
          </cell>
          <cell r="F142" t="str">
            <v>Publicidad por etapa 1 y 2</v>
          </cell>
          <cell r="G142" t="str">
            <v>Acopio 50% cartel vallado</v>
          </cell>
          <cell r="H142" t="str">
            <v>Señales</v>
          </cell>
          <cell r="I142">
            <v>43703</v>
          </cell>
          <cell r="J142">
            <v>242353</v>
          </cell>
          <cell r="K142">
            <v>11217.710000000137</v>
          </cell>
        </row>
        <row r="143">
          <cell r="E143">
            <v>45595</v>
          </cell>
          <cell r="F143" t="str">
            <v>Publicidad por etapa 1 y 2</v>
          </cell>
          <cell r="G143" t="str">
            <v>Registro y renovación dominios</v>
          </cell>
          <cell r="H143" t="str">
            <v>I+D</v>
          </cell>
          <cell r="I143">
            <v>968</v>
          </cell>
          <cell r="J143">
            <v>5368</v>
          </cell>
          <cell r="K143">
            <v>5849.7100000001374</v>
          </cell>
        </row>
        <row r="144">
          <cell r="E144">
            <v>45595</v>
          </cell>
          <cell r="F144" t="str">
            <v>Imprevistos operativos</v>
          </cell>
          <cell r="G144" t="str">
            <v>Gastos Bancarios</v>
          </cell>
          <cell r="H144" t="str">
            <v>Itaú</v>
          </cell>
          <cell r="J144">
            <v>78.25</v>
          </cell>
          <cell r="K144">
            <v>5771.4600000001374</v>
          </cell>
        </row>
        <row r="145">
          <cell r="E145">
            <v>45595</v>
          </cell>
          <cell r="K145">
            <v>95771.460000000137</v>
          </cell>
          <cell r="L145">
            <v>90000</v>
          </cell>
          <cell r="O145" t="str">
            <v>Cambio</v>
          </cell>
        </row>
        <row r="146">
          <cell r="E146">
            <v>45595</v>
          </cell>
          <cell r="F146" t="str">
            <v>Imprevistos operativos</v>
          </cell>
          <cell r="G146" t="str">
            <v>Timbres por registro de obra</v>
          </cell>
          <cell r="H146" t="str">
            <v>BPS</v>
          </cell>
          <cell r="J146">
            <v>500</v>
          </cell>
          <cell r="K146">
            <v>95271.460000000137</v>
          </cell>
        </row>
        <row r="147">
          <cell r="E147">
            <v>45595</v>
          </cell>
          <cell r="F147" t="str">
            <v>Publicidad por etapa 1 y 2</v>
          </cell>
          <cell r="G147" t="str">
            <v>Acopio 50% alquiler árbol navidad (parte 1)</v>
          </cell>
          <cell r="H147" t="str">
            <v>Effas</v>
          </cell>
          <cell r="I147">
            <v>10991.76</v>
          </cell>
          <cell r="J147">
            <v>60954.3</v>
          </cell>
          <cell r="K147">
            <v>34317.160000000134</v>
          </cell>
        </row>
        <row r="148">
          <cell r="E148">
            <v>45596</v>
          </cell>
          <cell r="F148" t="str">
            <v>Imprevistos operativos</v>
          </cell>
          <cell r="G148" t="str">
            <v>Honorarios registro de obra en BPS</v>
          </cell>
          <cell r="H148" t="str">
            <v>Estudio Ferulano</v>
          </cell>
          <cell r="I148">
            <v>1185.8</v>
          </cell>
          <cell r="J148">
            <v>6686</v>
          </cell>
          <cell r="K148">
            <v>27631.160000000134</v>
          </cell>
        </row>
        <row r="149">
          <cell r="E149">
            <v>45596</v>
          </cell>
          <cell r="F149" t="str">
            <v>Imprevistos operativos</v>
          </cell>
          <cell r="G149" t="str">
            <v>Gastos Bancarios</v>
          </cell>
          <cell r="H149" t="str">
            <v>Itaú</v>
          </cell>
          <cell r="J149">
            <v>78.650000000000006</v>
          </cell>
          <cell r="K149">
            <v>27552.510000000133</v>
          </cell>
        </row>
        <row r="150">
          <cell r="E150">
            <v>45596</v>
          </cell>
          <cell r="K150">
            <v>77552.510000000126</v>
          </cell>
          <cell r="L150">
            <v>50000</v>
          </cell>
          <cell r="O150" t="str">
            <v>Cambio</v>
          </cell>
        </row>
        <row r="151">
          <cell r="E151">
            <v>45596</v>
          </cell>
          <cell r="F151" t="str">
            <v>Publicidad por etapa 1 y 2</v>
          </cell>
          <cell r="G151" t="str">
            <v xml:space="preserve">Completa acopio 50% alquiler árbol navidad </v>
          </cell>
          <cell r="H151" t="str">
            <v>Effas</v>
          </cell>
          <cell r="I151">
            <v>10992</v>
          </cell>
          <cell r="J151">
            <v>60954.3</v>
          </cell>
          <cell r="K151">
            <v>16598.210000000123</v>
          </cell>
        </row>
        <row r="152">
          <cell r="E152">
            <v>45602</v>
          </cell>
          <cell r="K152">
            <v>66598.210000000123</v>
          </cell>
          <cell r="L152">
            <v>50000</v>
          </cell>
          <cell r="O152" t="str">
            <v>Cambio</v>
          </cell>
        </row>
        <row r="153">
          <cell r="E153">
            <v>45603</v>
          </cell>
          <cell r="F153" t="str">
            <v>Publicidad por etapa 1 y 2</v>
          </cell>
          <cell r="G153" t="str">
            <v>Acopio 50% Papá Noel</v>
          </cell>
          <cell r="H153" t="str">
            <v>Animate</v>
          </cell>
          <cell r="I153">
            <v>1980</v>
          </cell>
          <cell r="J153">
            <v>10980</v>
          </cell>
          <cell r="K153">
            <v>55618.210000000123</v>
          </cell>
        </row>
        <row r="154">
          <cell r="E154">
            <v>45603</v>
          </cell>
          <cell r="F154" t="str">
            <v>Imprevistos operativos</v>
          </cell>
          <cell r="G154" t="str">
            <v>Saldo EC</v>
          </cell>
          <cell r="H154" t="str">
            <v>Copiplan</v>
          </cell>
          <cell r="I154">
            <v>1423.09</v>
          </cell>
          <cell r="J154">
            <v>7892</v>
          </cell>
          <cell r="K154">
            <v>47726.210000000123</v>
          </cell>
        </row>
        <row r="155">
          <cell r="E155">
            <v>45603</v>
          </cell>
          <cell r="F155" t="str">
            <v>Imprevistos operativos</v>
          </cell>
          <cell r="G155" t="str">
            <v>Materiales sellado cámaras (Reintegro Luis Pedro)</v>
          </cell>
          <cell r="H155" t="str">
            <v>Sodimac</v>
          </cell>
          <cell r="I155">
            <v>757.2</v>
          </cell>
          <cell r="J155">
            <v>4199</v>
          </cell>
          <cell r="K155">
            <v>43527.210000000123</v>
          </cell>
        </row>
        <row r="156">
          <cell r="E156">
            <v>45607</v>
          </cell>
          <cell r="F156" t="str">
            <v>Publicidad por etapa 1 y 2</v>
          </cell>
          <cell r="G156" t="str">
            <v>Doble pagina revista AyD</v>
          </cell>
          <cell r="H156" t="str">
            <v>Arte y Diseño</v>
          </cell>
          <cell r="I156">
            <v>7040</v>
          </cell>
          <cell r="J156">
            <v>39040</v>
          </cell>
          <cell r="K156">
            <v>4487.2100000001228</v>
          </cell>
        </row>
        <row r="157">
          <cell r="E157">
            <v>45607</v>
          </cell>
          <cell r="F157" t="str">
            <v>Imprevistos operativos</v>
          </cell>
          <cell r="G157" t="str">
            <v>Gastos Bancarios</v>
          </cell>
          <cell r="H157" t="str">
            <v>Itaú</v>
          </cell>
          <cell r="J157">
            <v>80.069999999999993</v>
          </cell>
          <cell r="K157">
            <v>4407.1400000001231</v>
          </cell>
        </row>
        <row r="158">
          <cell r="E158">
            <v>45607</v>
          </cell>
          <cell r="K158">
            <v>54407.140000000123</v>
          </cell>
          <cell r="L158">
            <v>50000</v>
          </cell>
          <cell r="O158" t="str">
            <v>Cambio</v>
          </cell>
        </row>
        <row r="159">
          <cell r="E159">
            <v>45607</v>
          </cell>
          <cell r="F159" t="str">
            <v>LLSS</v>
          </cell>
          <cell r="G159" t="str">
            <v>Leyes sociales octubre 2024</v>
          </cell>
          <cell r="H159" t="str">
            <v>BPS</v>
          </cell>
          <cell r="J159">
            <v>32785</v>
          </cell>
          <cell r="K159">
            <v>21622.140000000123</v>
          </cell>
        </row>
        <row r="160">
          <cell r="E160">
            <v>45621</v>
          </cell>
          <cell r="K160">
            <v>2051622.1400000001</v>
          </cell>
          <cell r="L160">
            <v>2030000</v>
          </cell>
          <cell r="O160" t="str">
            <v>Cambio</v>
          </cell>
        </row>
        <row r="161">
          <cell r="E161">
            <v>45621</v>
          </cell>
          <cell r="F161" t="str">
            <v>IP</v>
          </cell>
          <cell r="G161" t="str">
            <v>Impuestos 10/2024 (traspaso a operativo)</v>
          </cell>
          <cell r="H161" t="str">
            <v>DGI</v>
          </cell>
          <cell r="J161">
            <v>1634459</v>
          </cell>
          <cell r="K161">
            <v>417163.14000000013</v>
          </cell>
        </row>
        <row r="162">
          <cell r="E162">
            <v>45621</v>
          </cell>
          <cell r="F162" t="str">
            <v>Publicidad por etapa 1 y 2</v>
          </cell>
          <cell r="G162" t="str">
            <v xml:space="preserve">Cuota mensual servicio de comunicación noviembre </v>
          </cell>
          <cell r="H162" t="str">
            <v>Silvestre</v>
          </cell>
          <cell r="I162">
            <v>11000</v>
          </cell>
          <cell r="J162">
            <v>61000</v>
          </cell>
          <cell r="K162">
            <v>356163.14000000013</v>
          </cell>
        </row>
        <row r="163">
          <cell r="E163">
            <v>45621</v>
          </cell>
          <cell r="F163" t="str">
            <v>Publicidad por etapa 1 y 2</v>
          </cell>
          <cell r="G163" t="str">
            <v>Pauta revista y presencia en Cena Rostand</v>
          </cell>
          <cell r="H163" t="str">
            <v>Mola</v>
          </cell>
          <cell r="J163">
            <v>45000</v>
          </cell>
          <cell r="K163">
            <v>311163.14000000013</v>
          </cell>
        </row>
        <row r="164">
          <cell r="E164">
            <v>45621</v>
          </cell>
          <cell r="F164" t="str">
            <v>Publicidad por etapa 1 y 2</v>
          </cell>
          <cell r="G164" t="str">
            <v>Saldo 50% cartel vallado</v>
          </cell>
          <cell r="H164" t="str">
            <v>Señales</v>
          </cell>
          <cell r="I164">
            <v>43703</v>
          </cell>
          <cell r="J164">
            <v>242353</v>
          </cell>
          <cell r="K164">
            <v>68810.14000000013</v>
          </cell>
        </row>
        <row r="165">
          <cell r="E165">
            <v>45621</v>
          </cell>
          <cell r="G165" t="str">
            <v>Consumo octubre-noviembre (estanque) reintegra operativo</v>
          </cell>
          <cell r="J165">
            <v>15211</v>
          </cell>
          <cell r="K165">
            <v>53599.14000000013</v>
          </cell>
        </row>
        <row r="166">
          <cell r="E166">
            <v>45622</v>
          </cell>
          <cell r="F166" t="str">
            <v>Imprevistos operativos</v>
          </cell>
          <cell r="G166" t="str">
            <v>Retiro de vallado</v>
          </cell>
          <cell r="H166" t="str">
            <v>Hugo Rodríguez (La red)</v>
          </cell>
          <cell r="I166">
            <v>5940</v>
          </cell>
          <cell r="J166">
            <v>32940</v>
          </cell>
          <cell r="K166">
            <v>20659.14000000013</v>
          </cell>
        </row>
        <row r="167">
          <cell r="E167">
            <v>45622</v>
          </cell>
          <cell r="F167" t="str">
            <v>Imprevistos operativos</v>
          </cell>
          <cell r="G167" t="str">
            <v>Gastos Bancarios</v>
          </cell>
          <cell r="H167" t="str">
            <v>Itaú</v>
          </cell>
          <cell r="J167">
            <v>81.39</v>
          </cell>
          <cell r="K167">
            <v>20577.750000000131</v>
          </cell>
        </row>
        <row r="168">
          <cell r="E168">
            <v>45622</v>
          </cell>
          <cell r="K168">
            <v>570577.75000000012</v>
          </cell>
          <cell r="L168">
            <v>550000</v>
          </cell>
          <cell r="O168" t="str">
            <v>Cambio</v>
          </cell>
        </row>
        <row r="169">
          <cell r="E169">
            <v>45622</v>
          </cell>
          <cell r="F169" t="str">
            <v>Contribución inmobiliaria por etapa 1 y 2</v>
          </cell>
          <cell r="G169" t="str">
            <v>Contribución inmobiliaria padrón 432.222 anual 2024</v>
          </cell>
          <cell r="H169" t="str">
            <v>IMM</v>
          </cell>
          <cell r="J169">
            <v>525376</v>
          </cell>
          <cell r="K169">
            <v>45201.750000000116</v>
          </cell>
        </row>
        <row r="170">
          <cell r="E170">
            <v>45629</v>
          </cell>
          <cell r="K170">
            <v>525201.75000000012</v>
          </cell>
          <cell r="L170">
            <v>480000</v>
          </cell>
          <cell r="O170" t="str">
            <v>Cambio</v>
          </cell>
        </row>
        <row r="171">
          <cell r="E171">
            <v>45629</v>
          </cell>
          <cell r="F171" t="str">
            <v>Publicidad por etapa 1 y 2</v>
          </cell>
          <cell r="G171" t="str">
            <v>Saldo 50% alquiler árbol</v>
          </cell>
          <cell r="H171" t="str">
            <v>Effas</v>
          </cell>
          <cell r="I171">
            <v>21983.52</v>
          </cell>
          <cell r="J171">
            <v>121908.6</v>
          </cell>
          <cell r="K171">
            <v>403293.15000000014</v>
          </cell>
        </row>
        <row r="172">
          <cell r="E172">
            <v>45629</v>
          </cell>
          <cell r="F172" t="str">
            <v>Imprevistos operativos</v>
          </cell>
          <cell r="G172" t="str">
            <v>Rampas accesibles</v>
          </cell>
          <cell r="H172" t="str">
            <v>DyV Construcciones</v>
          </cell>
          <cell r="I172">
            <v>55301.84</v>
          </cell>
          <cell r="J172">
            <v>306673.84000000003</v>
          </cell>
          <cell r="K172">
            <v>96619.310000000114</v>
          </cell>
        </row>
        <row r="173">
          <cell r="E173">
            <v>45629</v>
          </cell>
          <cell r="F173" t="str">
            <v>Publicidad por etapa 1 y 2</v>
          </cell>
          <cell r="G173" t="str">
            <v>Materiales eléctricos árbol (Reintegro Luis Pedro)</v>
          </cell>
          <cell r="H173" t="str">
            <v>Sodimac</v>
          </cell>
          <cell r="I173">
            <v>440.9</v>
          </cell>
          <cell r="J173">
            <v>2445</v>
          </cell>
          <cell r="K173">
            <v>94174.310000000114</v>
          </cell>
        </row>
        <row r="174">
          <cell r="E174">
            <v>45629</v>
          </cell>
          <cell r="F174" t="str">
            <v>Publicidad por etapa 1 y 2</v>
          </cell>
          <cell r="G174" t="str">
            <v>Reloj para luces árbol (Reintegro Luis Pedro)</v>
          </cell>
          <cell r="H174" t="str">
            <v>Sodimac</v>
          </cell>
          <cell r="I174">
            <v>80.97</v>
          </cell>
          <cell r="J174">
            <v>449</v>
          </cell>
          <cell r="K174">
            <v>93725.310000000114</v>
          </cell>
        </row>
        <row r="175">
          <cell r="E175">
            <v>45629</v>
          </cell>
          <cell r="F175" t="str">
            <v>Publicidad por etapa 1 y 2</v>
          </cell>
          <cell r="G175" t="str">
            <v>Servicio de comunicación diciembre</v>
          </cell>
          <cell r="H175" t="str">
            <v>Silvestre</v>
          </cell>
          <cell r="I175">
            <v>11000</v>
          </cell>
          <cell r="J175">
            <v>61000</v>
          </cell>
          <cell r="K175">
            <v>32725.310000000114</v>
          </cell>
        </row>
        <row r="176">
          <cell r="E176">
            <v>45630</v>
          </cell>
          <cell r="K176">
            <v>47936.310000000114</v>
          </cell>
          <cell r="L176">
            <v>15211</v>
          </cell>
          <cell r="O176" t="str">
            <v>Consumo UTE oct-nov (estanque) reintegro operativo</v>
          </cell>
        </row>
        <row r="177">
          <cell r="E177">
            <v>45631</v>
          </cell>
          <cell r="F177" t="str">
            <v>Seguro de obra por etapa 1 y 2</v>
          </cell>
          <cell r="G177" t="str">
            <v>Prima de póliza calle IMM</v>
          </cell>
          <cell r="H177" t="str">
            <v>Sura</v>
          </cell>
          <cell r="I177">
            <v>3777.18</v>
          </cell>
          <cell r="J177">
            <v>20946.189999999999</v>
          </cell>
          <cell r="K177">
            <v>26990.120000000115</v>
          </cell>
        </row>
        <row r="178">
          <cell r="E178">
            <v>45631</v>
          </cell>
          <cell r="F178" t="str">
            <v>Publicidad por etapa 1 y 2</v>
          </cell>
          <cell r="G178" t="str">
            <v>Cerco de madera árbol</v>
          </cell>
          <cell r="H178" t="str">
            <v>Carpintería Ansalone</v>
          </cell>
          <cell r="J178">
            <v>8800</v>
          </cell>
          <cell r="K178">
            <v>18190.120000000115</v>
          </cell>
        </row>
        <row r="179">
          <cell r="E179">
            <v>45631</v>
          </cell>
          <cell r="F179" t="str">
            <v>Publicidad por etapa 1 y 2</v>
          </cell>
          <cell r="G179" t="str">
            <v>Bisagras y tornillos cerco árbol</v>
          </cell>
          <cell r="H179" t="str">
            <v>Kroser</v>
          </cell>
          <cell r="I179">
            <v>228.28</v>
          </cell>
          <cell r="J179">
            <v>1266.01</v>
          </cell>
          <cell r="K179">
            <v>16924.110000000117</v>
          </cell>
        </row>
        <row r="180">
          <cell r="E180">
            <v>45638</v>
          </cell>
          <cell r="K180">
            <v>766924.1100000001</v>
          </cell>
          <cell r="L180">
            <v>750000</v>
          </cell>
          <cell r="O180" t="str">
            <v>Cambio</v>
          </cell>
        </row>
        <row r="181">
          <cell r="E181">
            <v>45638</v>
          </cell>
          <cell r="F181" t="str">
            <v>Mayor aprovechamiento</v>
          </cell>
          <cell r="G181" t="str">
            <v xml:space="preserve">10% mayor aprovechamiento </v>
          </cell>
          <cell r="H181" t="str">
            <v>IMM</v>
          </cell>
          <cell r="J181">
            <v>500311</v>
          </cell>
          <cell r="K181">
            <v>266613.1100000001</v>
          </cell>
        </row>
        <row r="182">
          <cell r="E182">
            <v>45643</v>
          </cell>
          <cell r="F182" t="str">
            <v>Imprevistos operativos</v>
          </cell>
          <cell r="G182" t="str">
            <v>Trabajos eléctrica</v>
          </cell>
          <cell r="H182" t="str">
            <v>Fernando Bassino</v>
          </cell>
          <cell r="I182">
            <v>2171.1</v>
          </cell>
          <cell r="J182">
            <v>12140</v>
          </cell>
          <cell r="K182">
            <v>254473.1100000001</v>
          </cell>
        </row>
        <row r="183">
          <cell r="E183">
            <v>45643</v>
          </cell>
          <cell r="F183" t="str">
            <v>Imprevistos operativos</v>
          </cell>
          <cell r="G183" t="str">
            <v>Gastos Bancarios</v>
          </cell>
          <cell r="H183" t="str">
            <v>Itaú</v>
          </cell>
          <cell r="J183">
            <v>84.28</v>
          </cell>
          <cell r="K183">
            <v>254388.8300000001</v>
          </cell>
        </row>
        <row r="184">
          <cell r="E184">
            <v>45643</v>
          </cell>
          <cell r="F184" t="str">
            <v>Publicidad por etapa 1 y 2</v>
          </cell>
          <cell r="G184" t="str">
            <v>Carteles navidad</v>
          </cell>
          <cell r="H184" t="str">
            <v>PAM</v>
          </cell>
          <cell r="I184">
            <v>968</v>
          </cell>
          <cell r="J184">
            <v>5368</v>
          </cell>
          <cell r="K184">
            <v>249020.8300000001</v>
          </cell>
        </row>
        <row r="185">
          <cell r="E185">
            <v>45643</v>
          </cell>
          <cell r="F185" t="str">
            <v>Publicidad por etapa 1 y 2</v>
          </cell>
          <cell r="G185" t="str">
            <v>Pinturas para cara (Reintegro CDC)</v>
          </cell>
          <cell r="H185" t="str">
            <v>Los Reyes Magos, Devoto</v>
          </cell>
          <cell r="J185">
            <v>988</v>
          </cell>
          <cell r="K185">
            <v>248032.8300000001</v>
          </cell>
        </row>
        <row r="186">
          <cell r="E186">
            <v>45643</v>
          </cell>
          <cell r="F186" t="str">
            <v>Imprevistos operativos</v>
          </cell>
          <cell r="G186" t="str">
            <v>Liquidación de tasas de regulación territorial</v>
          </cell>
          <cell r="H186" t="str">
            <v>IMM</v>
          </cell>
          <cell r="J186">
            <v>109121</v>
          </cell>
          <cell r="K186">
            <v>138911.8300000001</v>
          </cell>
        </row>
        <row r="187">
          <cell r="E187">
            <v>45644</v>
          </cell>
          <cell r="F187" t="str">
            <v>Imprevistos operativos</v>
          </cell>
          <cell r="G187" t="str">
            <v>Envío factura correción contribución</v>
          </cell>
          <cell r="H187" t="str">
            <v>IMM</v>
          </cell>
          <cell r="J187">
            <v>87</v>
          </cell>
          <cell r="K187">
            <v>138824.8300000001</v>
          </cell>
        </row>
        <row r="188">
          <cell r="E188">
            <v>45644</v>
          </cell>
          <cell r="F188" t="str">
            <v>Imprevistos operativos</v>
          </cell>
          <cell r="G188" t="str">
            <v>Envío factura correción contribución</v>
          </cell>
          <cell r="H188" t="str">
            <v>IMM</v>
          </cell>
          <cell r="J188">
            <v>87</v>
          </cell>
          <cell r="K188">
            <v>138737.8300000001</v>
          </cell>
        </row>
        <row r="189">
          <cell r="E189">
            <v>45644</v>
          </cell>
          <cell r="F189" t="str">
            <v>Imprevistos operativos</v>
          </cell>
          <cell r="G189" t="str">
            <v>Envío factura correción contribución</v>
          </cell>
          <cell r="H189" t="str">
            <v>IMM</v>
          </cell>
          <cell r="J189">
            <v>87</v>
          </cell>
          <cell r="K189">
            <v>138650.8300000001</v>
          </cell>
        </row>
        <row r="190">
          <cell r="E190">
            <v>45644</v>
          </cell>
          <cell r="F190" t="str">
            <v>Imprevistos operativos</v>
          </cell>
          <cell r="G190" t="str">
            <v>Envío factura correción contribución</v>
          </cell>
          <cell r="H190" t="str">
            <v>IMM</v>
          </cell>
          <cell r="J190">
            <v>87</v>
          </cell>
          <cell r="K190">
            <v>138563.8300000001</v>
          </cell>
        </row>
        <row r="191">
          <cell r="E191">
            <v>45644</v>
          </cell>
          <cell r="F191" t="str">
            <v>Imprevistos operativos</v>
          </cell>
          <cell r="G191" t="str">
            <v>Envío factura correción contribución</v>
          </cell>
          <cell r="H191" t="str">
            <v>IMM</v>
          </cell>
          <cell r="J191">
            <v>87</v>
          </cell>
          <cell r="K191">
            <v>138476.8300000001</v>
          </cell>
        </row>
        <row r="192">
          <cell r="E192">
            <v>45644</v>
          </cell>
          <cell r="K192">
            <v>768476.83000000007</v>
          </cell>
          <cell r="L192">
            <v>630000</v>
          </cell>
          <cell r="O192" t="str">
            <v>Cambio</v>
          </cell>
        </row>
        <row r="193">
          <cell r="E193">
            <v>45644</v>
          </cell>
          <cell r="F193" t="str">
            <v>LLSS</v>
          </cell>
          <cell r="G193" t="str">
            <v>Leyes sociales noviembre</v>
          </cell>
          <cell r="H193" t="str">
            <v>BPS</v>
          </cell>
          <cell r="J193">
            <v>234808</v>
          </cell>
          <cell r="K193">
            <v>533668.83000000007</v>
          </cell>
        </row>
        <row r="194">
          <cell r="E194">
            <v>45644</v>
          </cell>
          <cell r="G194" t="str">
            <v>Anticipo 11/2024 (a reintegrar residencial)</v>
          </cell>
          <cell r="H194" t="str">
            <v>DGI</v>
          </cell>
          <cell r="J194">
            <v>344041</v>
          </cell>
          <cell r="K194">
            <v>189627.83000000007</v>
          </cell>
        </row>
        <row r="195">
          <cell r="E195">
            <v>45644</v>
          </cell>
          <cell r="K195">
            <v>189627.83000000007</v>
          </cell>
          <cell r="L195">
            <v>0</v>
          </cell>
        </row>
        <row r="196">
          <cell r="E196">
            <v>45644</v>
          </cell>
          <cell r="F196" t="str">
            <v>Publicidad por etapa 1 y 2</v>
          </cell>
          <cell r="G196" t="str">
            <v>Jugos evento navidad</v>
          </cell>
          <cell r="H196" t="str">
            <v>Macro mercado</v>
          </cell>
          <cell r="J196">
            <v>1781</v>
          </cell>
          <cell r="K196">
            <v>187846.83000000007</v>
          </cell>
        </row>
        <row r="197">
          <cell r="E197">
            <v>45644</v>
          </cell>
          <cell r="F197" t="str">
            <v>Publicidad por etapa 1 y 2</v>
          </cell>
          <cell r="G197" t="str">
            <v>Hielo para evento navidad (Reintegro FD)</v>
          </cell>
          <cell r="H197" t="str">
            <v>Kinko</v>
          </cell>
          <cell r="J197">
            <v>641</v>
          </cell>
          <cell r="K197">
            <v>187205.83000000007</v>
          </cell>
        </row>
        <row r="198">
          <cell r="E198">
            <v>45644</v>
          </cell>
          <cell r="G198" t="str">
            <v>Consumo octubre def de plaza  (a reintegrar residencial)</v>
          </cell>
          <cell r="H198" t="str">
            <v>OSE</v>
          </cell>
          <cell r="I198">
            <v>10887.68</v>
          </cell>
          <cell r="J198">
            <v>60377</v>
          </cell>
          <cell r="K198">
            <v>126828.83000000007</v>
          </cell>
        </row>
        <row r="199">
          <cell r="E199">
            <v>45644</v>
          </cell>
          <cell r="G199" t="str">
            <v>Cosnsumo noviembre def de plaza  (a reintegrar residencial)</v>
          </cell>
          <cell r="H199" t="str">
            <v>OSE</v>
          </cell>
          <cell r="I199">
            <v>10514.03</v>
          </cell>
          <cell r="J199">
            <v>58305</v>
          </cell>
          <cell r="K199">
            <v>68523.830000000075</v>
          </cell>
        </row>
        <row r="200">
          <cell r="E200">
            <v>45645</v>
          </cell>
          <cell r="F200" t="str">
            <v>Publicidad por etapa 1 y 2</v>
          </cell>
          <cell r="G200" t="str">
            <v>Jugos evento navidad</v>
          </cell>
          <cell r="H200" t="str">
            <v>Kinko</v>
          </cell>
          <cell r="J200">
            <v>2402</v>
          </cell>
          <cell r="K200">
            <v>66121.830000000075</v>
          </cell>
        </row>
        <row r="201">
          <cell r="E201">
            <v>45645</v>
          </cell>
          <cell r="F201" t="str">
            <v>Imprevistos operativos</v>
          </cell>
          <cell r="G201" t="str">
            <v>Gastos Bancarios</v>
          </cell>
          <cell r="H201" t="str">
            <v>Itaú</v>
          </cell>
          <cell r="J201">
            <v>84.72</v>
          </cell>
          <cell r="K201">
            <v>66037.110000000073</v>
          </cell>
        </row>
        <row r="202">
          <cell r="E202">
            <v>45646</v>
          </cell>
          <cell r="K202">
            <v>2866037.11</v>
          </cell>
          <cell r="L202">
            <v>2800000</v>
          </cell>
          <cell r="O202" t="str">
            <v>Cambio</v>
          </cell>
        </row>
        <row r="203">
          <cell r="E203">
            <v>45646</v>
          </cell>
          <cell r="F203" t="str">
            <v>Publicidad por etapa 1 y 2</v>
          </cell>
          <cell r="G203" t="str">
            <v>Chocolates evento navidad</v>
          </cell>
          <cell r="H203" t="str">
            <v>Delfi Schupp Lab</v>
          </cell>
          <cell r="I203">
            <v>3426.23</v>
          </cell>
          <cell r="J203">
            <v>19000</v>
          </cell>
          <cell r="K203">
            <v>2847037.11</v>
          </cell>
        </row>
        <row r="204">
          <cell r="E204">
            <v>45646</v>
          </cell>
          <cell r="F204" t="str">
            <v>Publicidad por etapa 1 y 2</v>
          </cell>
          <cell r="G204" t="str">
            <v xml:space="preserve">Saldo 50% Papá Noel + adicionales </v>
          </cell>
          <cell r="H204" t="str">
            <v>Animate</v>
          </cell>
          <cell r="I204">
            <v>4840</v>
          </cell>
          <cell r="J204">
            <v>26840</v>
          </cell>
          <cell r="K204">
            <v>2820197.11</v>
          </cell>
        </row>
        <row r="205">
          <cell r="E205">
            <v>45646</v>
          </cell>
          <cell r="F205" t="str">
            <v>Obra constructora pesos</v>
          </cell>
          <cell r="G205" t="str">
            <v>Avance diciembre 2024 (certificado 1 implantación) - retenciones</v>
          </cell>
          <cell r="H205" t="str">
            <v>Ceaosa</v>
          </cell>
          <cell r="J205">
            <v>2794172</v>
          </cell>
          <cell r="K205">
            <v>26025.10999999987</v>
          </cell>
        </row>
        <row r="206">
          <cell r="E206">
            <v>45667</v>
          </cell>
          <cell r="G206" t="str">
            <v>Consumo diciembre (reintegro operativo)</v>
          </cell>
          <cell r="H206" t="str">
            <v>OSE</v>
          </cell>
          <cell r="I206">
            <v>10641.57</v>
          </cell>
          <cell r="J206">
            <v>59012</v>
          </cell>
          <cell r="K206">
            <v>-32986.89000000013</v>
          </cell>
        </row>
        <row r="207">
          <cell r="E207">
            <v>45667</v>
          </cell>
          <cell r="K207">
            <v>167013.10999999987</v>
          </cell>
          <cell r="L207">
            <v>200000</v>
          </cell>
          <cell r="O207" t="str">
            <v>Cambio</v>
          </cell>
        </row>
        <row r="208">
          <cell r="E208">
            <v>45667</v>
          </cell>
          <cell r="F208" t="str">
            <v>Publicidad por etapa 1 y 2</v>
          </cell>
          <cell r="G208" t="str">
            <v>Servicio de comunicación enero 2024</v>
          </cell>
          <cell r="H208" t="str">
            <v>Silvestre</v>
          </cell>
          <cell r="I208">
            <v>11000</v>
          </cell>
          <cell r="J208">
            <v>61000</v>
          </cell>
          <cell r="K208">
            <v>106013.10999999987</v>
          </cell>
        </row>
        <row r="209">
          <cell r="E209">
            <v>45667</v>
          </cell>
          <cell r="F209" t="str">
            <v>Publicidad por etapa 1 y 2</v>
          </cell>
          <cell r="G209" t="str">
            <v>Producción audiovisual diciembre (árbol y aéreas Lagos)</v>
          </cell>
          <cell r="H209" t="str">
            <v>Silvestre</v>
          </cell>
          <cell r="I209">
            <v>7700</v>
          </cell>
          <cell r="J209">
            <v>42700</v>
          </cell>
          <cell r="K209">
            <v>63313.10999999987</v>
          </cell>
        </row>
        <row r="210">
          <cell r="E210">
            <v>45671</v>
          </cell>
          <cell r="K210">
            <v>138313.10999999987</v>
          </cell>
          <cell r="L210">
            <v>75000</v>
          </cell>
          <cell r="O210" t="str">
            <v>Cambio</v>
          </cell>
        </row>
        <row r="211">
          <cell r="E211">
            <v>45672</v>
          </cell>
          <cell r="K211">
            <v>278313.10999999987</v>
          </cell>
          <cell r="L211">
            <v>140000</v>
          </cell>
          <cell r="O211" t="str">
            <v>Cambio</v>
          </cell>
        </row>
        <row r="212">
          <cell r="E212">
            <v>45672</v>
          </cell>
          <cell r="F212" t="str">
            <v>LLSS</v>
          </cell>
          <cell r="G212" t="str">
            <v>Leyes sociales diciembre 2024</v>
          </cell>
          <cell r="H212" t="str">
            <v>BPS</v>
          </cell>
          <cell r="J212">
            <v>229319</v>
          </cell>
          <cell r="K212">
            <v>48994.10999999987</v>
          </cell>
        </row>
        <row r="213">
          <cell r="E213">
            <v>45673</v>
          </cell>
          <cell r="F213" t="str">
            <v>Imprevistos operativos</v>
          </cell>
          <cell r="G213" t="str">
            <v xml:space="preserve">Mantenimiento eléctrica </v>
          </cell>
          <cell r="H213" t="str">
            <v>Fernando Bassino</v>
          </cell>
          <cell r="I213">
            <v>2171</v>
          </cell>
          <cell r="J213">
            <v>12140</v>
          </cell>
          <cell r="K213">
            <v>36854.10999999987</v>
          </cell>
        </row>
        <row r="214">
          <cell r="E214">
            <v>45673</v>
          </cell>
          <cell r="F214" t="str">
            <v>Imprevistos operativos</v>
          </cell>
          <cell r="G214" t="str">
            <v>Gastos Bancarios</v>
          </cell>
          <cell r="H214" t="str">
            <v>Itaú</v>
          </cell>
          <cell r="J214">
            <v>83.68</v>
          </cell>
          <cell r="K214">
            <v>36770.429999999869</v>
          </cell>
        </row>
        <row r="215">
          <cell r="E215">
            <v>45673</v>
          </cell>
          <cell r="F215" t="str">
            <v>Publicidad por etapa 1 y 2</v>
          </cell>
          <cell r="G215" t="str">
            <v>Publicación revista AyD</v>
          </cell>
          <cell r="H215" t="str">
            <v>AyD</v>
          </cell>
          <cell r="I215">
            <v>7040</v>
          </cell>
          <cell r="J215">
            <v>39040</v>
          </cell>
          <cell r="K215">
            <v>-2269.5700000001307</v>
          </cell>
        </row>
        <row r="216">
          <cell r="E216">
            <v>45673</v>
          </cell>
          <cell r="F216" t="str">
            <v>Imprevistos operativos</v>
          </cell>
          <cell r="G216" t="str">
            <v>Gastos Bancarios</v>
          </cell>
          <cell r="H216" t="str">
            <v>Itaú</v>
          </cell>
          <cell r="J216">
            <v>83.68</v>
          </cell>
          <cell r="K216">
            <v>-2353.2500000001305</v>
          </cell>
        </row>
        <row r="217">
          <cell r="E217">
            <v>45673</v>
          </cell>
          <cell r="K217">
            <v>47646.749999999869</v>
          </cell>
          <cell r="L217">
            <v>50000</v>
          </cell>
          <cell r="O217" t="str">
            <v>Cambio</v>
          </cell>
        </row>
        <row r="218">
          <cell r="E218">
            <v>45681</v>
          </cell>
          <cell r="K218">
            <v>137646.74999999988</v>
          </cell>
          <cell r="L218">
            <v>90000</v>
          </cell>
          <cell r="O218" t="str">
            <v>Cambio</v>
          </cell>
        </row>
        <row r="219">
          <cell r="E219">
            <v>45681</v>
          </cell>
          <cell r="G219" t="str">
            <v>Anticipo 12/2024</v>
          </cell>
          <cell r="H219" t="str">
            <v>DGI</v>
          </cell>
          <cell r="J219">
            <v>102123</v>
          </cell>
          <cell r="K219">
            <v>35523.749999999884</v>
          </cell>
        </row>
        <row r="220">
          <cell r="E220">
            <v>45686</v>
          </cell>
          <cell r="K220">
            <v>85523.749999999884</v>
          </cell>
          <cell r="L220">
            <v>50000</v>
          </cell>
          <cell r="O220" t="str">
            <v>Cambio</v>
          </cell>
        </row>
        <row r="221">
          <cell r="E221">
            <v>45686</v>
          </cell>
          <cell r="F221" t="str">
            <v>Publicidad por etapa 1 y 2</v>
          </cell>
          <cell r="G221" t="str">
            <v xml:space="preserve">Pauta en casas y + noviembre </v>
          </cell>
          <cell r="H221" t="str">
            <v>Casas y +</v>
          </cell>
          <cell r="J221">
            <v>18300</v>
          </cell>
          <cell r="K221">
            <v>67223.749999999884</v>
          </cell>
        </row>
        <row r="222">
          <cell r="E222">
            <v>45686</v>
          </cell>
          <cell r="F222" t="str">
            <v>Publicidad por etapa 1 y 2</v>
          </cell>
          <cell r="G222" t="str">
            <v xml:space="preserve">Pauta en casas y + diciembre </v>
          </cell>
          <cell r="H222" t="str">
            <v>Casas y +</v>
          </cell>
          <cell r="J222">
            <v>18300</v>
          </cell>
          <cell r="K222">
            <v>48923.749999999884</v>
          </cell>
        </row>
        <row r="223">
          <cell r="E223">
            <v>45686</v>
          </cell>
          <cell r="F223" t="str">
            <v>Publicidad por etapa 1 y 2</v>
          </cell>
          <cell r="G223" t="str">
            <v xml:space="preserve">Pauta en casas y + enero </v>
          </cell>
          <cell r="H223" t="str">
            <v>Casas y +</v>
          </cell>
          <cell r="J223">
            <v>18300</v>
          </cell>
          <cell r="K223">
            <v>30623.749999999884</v>
          </cell>
        </row>
        <row r="224">
          <cell r="E224">
            <v>45692</v>
          </cell>
          <cell r="F224" t="str">
            <v>Imprevistos operativos</v>
          </cell>
          <cell r="G224" t="str">
            <v>Colocación de postes</v>
          </cell>
          <cell r="J224">
            <v>1830</v>
          </cell>
          <cell r="K224">
            <v>28793.749999999884</v>
          </cell>
        </row>
        <row r="225">
          <cell r="E225">
            <v>45692</v>
          </cell>
          <cell r="F225" t="str">
            <v>Imprevistos operativos</v>
          </cell>
          <cell r="G225" t="str">
            <v>Gastos Bancarios</v>
          </cell>
          <cell r="H225" t="str">
            <v>Itaú</v>
          </cell>
          <cell r="J225">
            <v>82.64</v>
          </cell>
          <cell r="K225">
            <v>28711.109999999884</v>
          </cell>
        </row>
        <row r="226">
          <cell r="E226">
            <v>45698</v>
          </cell>
          <cell r="K226">
            <v>2378711.11</v>
          </cell>
          <cell r="L226">
            <v>2350000</v>
          </cell>
          <cell r="O226" t="str">
            <v>Cambio</v>
          </cell>
        </row>
        <row r="227">
          <cell r="E227">
            <v>45698</v>
          </cell>
          <cell r="F227" t="str">
            <v>Permiso de construcción por etapa 1 y 2</v>
          </cell>
          <cell r="G227" t="str">
            <v xml:space="preserve">Tasas para aprobación permiso de construcción </v>
          </cell>
          <cell r="H227" t="str">
            <v>IMM</v>
          </cell>
          <cell r="J227">
            <v>2356149</v>
          </cell>
          <cell r="K227">
            <v>22562.10999999987</v>
          </cell>
        </row>
        <row r="228">
          <cell r="E228">
            <v>45702</v>
          </cell>
          <cell r="K228">
            <v>366603.10999999987</v>
          </cell>
          <cell r="L228">
            <v>344041</v>
          </cell>
          <cell r="N228" t="str">
            <v>Celtray operativo</v>
          </cell>
          <cell r="O228" t="str">
            <v xml:space="preserve">Anticipo IP 11.2024           </v>
          </cell>
        </row>
        <row r="229">
          <cell r="E229">
            <v>45702</v>
          </cell>
          <cell r="K229">
            <v>485285.10999999987</v>
          </cell>
          <cell r="L229">
            <v>118682</v>
          </cell>
          <cell r="N229" t="str">
            <v>Celtray operativo</v>
          </cell>
          <cell r="O229" t="str">
            <v xml:space="preserve">OSE noviembre y diciembre     </v>
          </cell>
        </row>
        <row r="230">
          <cell r="E230">
            <v>45702</v>
          </cell>
          <cell r="K230">
            <v>544297.10999999987</v>
          </cell>
          <cell r="L230">
            <v>59012</v>
          </cell>
          <cell r="N230" t="str">
            <v>Celtray operativo</v>
          </cell>
          <cell r="O230" t="str">
            <v xml:space="preserve">OSE diciembre plaza           </v>
          </cell>
        </row>
        <row r="231">
          <cell r="E231">
            <v>45702</v>
          </cell>
          <cell r="K231">
            <v>646420.10999999987</v>
          </cell>
          <cell r="L231">
            <v>102123</v>
          </cell>
          <cell r="N231" t="str">
            <v>Celtray operativo</v>
          </cell>
          <cell r="O231" t="str">
            <v xml:space="preserve">Anticipo IP 12.2024              </v>
          </cell>
        </row>
        <row r="232">
          <cell r="E232">
            <v>45702</v>
          </cell>
          <cell r="F232" t="str">
            <v>LLSS</v>
          </cell>
          <cell r="G232" t="str">
            <v>Leyes sociales enero 2025</v>
          </cell>
          <cell r="H232" t="str">
            <v>BPS</v>
          </cell>
          <cell r="J232">
            <v>282697</v>
          </cell>
          <cell r="K232">
            <v>363723.10999999987</v>
          </cell>
        </row>
        <row r="233">
          <cell r="E233">
            <v>45702</v>
          </cell>
          <cell r="F233" t="str">
            <v>Publicidad por etapa 1 y 2</v>
          </cell>
          <cell r="G233" t="str">
            <v>Pauta en casas y + febrero 2025</v>
          </cell>
          <cell r="H233" t="str">
            <v>Casas y +</v>
          </cell>
          <cell r="I233">
            <v>3300</v>
          </cell>
          <cell r="J233">
            <v>18300</v>
          </cell>
          <cell r="K233">
            <v>345423.10999999987</v>
          </cell>
        </row>
        <row r="234">
          <cell r="E234">
            <v>45702</v>
          </cell>
          <cell r="F234" t="str">
            <v>Publicidad por etapa 1 y 2</v>
          </cell>
          <cell r="G234" t="str">
            <v>Servicio de comunicación febrero 2025</v>
          </cell>
          <cell r="H234" t="str">
            <v>Silvestre</v>
          </cell>
          <cell r="I234">
            <v>11000</v>
          </cell>
          <cell r="J234">
            <v>61000</v>
          </cell>
          <cell r="K234">
            <v>284423.10999999987</v>
          </cell>
        </row>
        <row r="235">
          <cell r="E235">
            <v>45714</v>
          </cell>
          <cell r="K235">
            <v>3169423.11</v>
          </cell>
          <cell r="L235">
            <v>2885000</v>
          </cell>
          <cell r="O235" t="str">
            <v>Cambio</v>
          </cell>
        </row>
        <row r="236">
          <cell r="E236">
            <v>45714</v>
          </cell>
          <cell r="F236" t="str">
            <v>Obra constructora pesos</v>
          </cell>
          <cell r="G236" t="str">
            <v>Avance enero 2025 (certificado 2 implantación) - retenciones</v>
          </cell>
          <cell r="H236" t="str">
            <v>Ceaosa</v>
          </cell>
          <cell r="J236">
            <v>2423986.2200000002</v>
          </cell>
          <cell r="K236">
            <v>745436.88999999966</v>
          </cell>
        </row>
        <row r="237">
          <cell r="E237">
            <v>45714</v>
          </cell>
          <cell r="F237" t="str">
            <v>Suministros</v>
          </cell>
          <cell r="G237" t="str">
            <v>Destoconado de palmeras</v>
          </cell>
          <cell r="H237" t="str">
            <v>Agustin Muniz</v>
          </cell>
          <cell r="I237">
            <v>13200</v>
          </cell>
          <cell r="J237">
            <v>73200</v>
          </cell>
          <cell r="K237">
            <v>672236.88999999966</v>
          </cell>
        </row>
        <row r="238">
          <cell r="E238">
            <v>45714</v>
          </cell>
          <cell r="F238" t="str">
            <v>Imprevistos operativos</v>
          </cell>
          <cell r="G238" t="str">
            <v>Gastos Bancarios</v>
          </cell>
          <cell r="H238" t="str">
            <v>Itaú</v>
          </cell>
          <cell r="J238">
            <v>80.95</v>
          </cell>
          <cell r="K238">
            <v>672155.93999999971</v>
          </cell>
        </row>
        <row r="239">
          <cell r="E239">
            <v>45714</v>
          </cell>
          <cell r="F239" t="str">
            <v>Suministros</v>
          </cell>
          <cell r="G239" t="str">
            <v>Retiro de palmeras y pinos</v>
          </cell>
          <cell r="H239" t="str">
            <v>Los Tanos</v>
          </cell>
          <cell r="I239">
            <v>52800</v>
          </cell>
          <cell r="J239">
            <v>292800</v>
          </cell>
          <cell r="K239">
            <v>379355.93999999971</v>
          </cell>
        </row>
        <row r="240">
          <cell r="E240">
            <v>45714</v>
          </cell>
          <cell r="F240" t="str">
            <v>Imprevistos operativos</v>
          </cell>
          <cell r="G240" t="str">
            <v>Gastos Bancarios</v>
          </cell>
          <cell r="H240" t="str">
            <v>Itaú</v>
          </cell>
          <cell r="J240">
            <v>80.95</v>
          </cell>
          <cell r="K240">
            <v>379274.9899999997</v>
          </cell>
        </row>
        <row r="241">
          <cell r="E241">
            <v>45714</v>
          </cell>
          <cell r="K241">
            <v>379274.9899999997</v>
          </cell>
          <cell r="L241">
            <v>0</v>
          </cell>
        </row>
        <row r="242">
          <cell r="E242">
            <v>45714</v>
          </cell>
          <cell r="F242" t="str">
            <v>Publicidad por etapa 1 y 2</v>
          </cell>
          <cell r="G242" t="str">
            <v>Aviso El País (Reintegro DDC)</v>
          </cell>
          <cell r="H242" t="str">
            <v>El País</v>
          </cell>
          <cell r="J242">
            <v>366000</v>
          </cell>
          <cell r="K242">
            <v>13274.9899999997</v>
          </cell>
        </row>
        <row r="243">
          <cell r="E243">
            <v>45714</v>
          </cell>
          <cell r="F243" t="str">
            <v>Imprevistos operativos</v>
          </cell>
          <cell r="G243" t="str">
            <v>Acopio 50% chalecos</v>
          </cell>
          <cell r="H243" t="str">
            <v>Famet</v>
          </cell>
          <cell r="J243">
            <v>2184</v>
          </cell>
          <cell r="K243">
            <v>11090.9899999997</v>
          </cell>
        </row>
        <row r="244">
          <cell r="E244">
            <v>45714</v>
          </cell>
          <cell r="F244" t="str">
            <v>Imprevistos operativos</v>
          </cell>
          <cell r="G244" t="str">
            <v>Vinilo cascos</v>
          </cell>
          <cell r="H244" t="str">
            <v>Copiplan</v>
          </cell>
          <cell r="I244">
            <v>54.1</v>
          </cell>
          <cell r="J244">
            <v>300</v>
          </cell>
          <cell r="K244">
            <v>10790.9899999997</v>
          </cell>
        </row>
        <row r="245">
          <cell r="E245">
            <v>45714</v>
          </cell>
          <cell r="F245" t="str">
            <v>Imprevistos operativos</v>
          </cell>
          <cell r="G245" t="str">
            <v>Cascos (Reintegro Cande)</v>
          </cell>
          <cell r="H245" t="str">
            <v>Ferretería Arocena</v>
          </cell>
          <cell r="I245">
            <v>316.58</v>
          </cell>
          <cell r="J245">
            <v>1756</v>
          </cell>
          <cell r="K245">
            <v>9034.9899999996996</v>
          </cell>
        </row>
        <row r="246">
          <cell r="E246">
            <v>45714</v>
          </cell>
          <cell r="K246">
            <v>36484.9899999997</v>
          </cell>
          <cell r="L246">
            <v>27450</v>
          </cell>
          <cell r="N246" t="str">
            <v>Delta</v>
          </cell>
          <cell r="O246" t="str">
            <v>Reintegro descuento El País</v>
          </cell>
        </row>
        <row r="247">
          <cell r="E247">
            <v>45715</v>
          </cell>
          <cell r="F247" t="str">
            <v>Imprevistos operativos</v>
          </cell>
          <cell r="G247" t="str">
            <v>Saldo 50% chalecos</v>
          </cell>
          <cell r="H247" t="str">
            <v>Famet</v>
          </cell>
          <cell r="I247">
            <v>787.67</v>
          </cell>
          <cell r="J247">
            <v>2184</v>
          </cell>
          <cell r="K247">
            <v>34300.9899999997</v>
          </cell>
        </row>
        <row r="248">
          <cell r="E248">
            <v>45736</v>
          </cell>
          <cell r="K248">
            <v>7034300.9899999993</v>
          </cell>
          <cell r="L248">
            <v>7000000</v>
          </cell>
          <cell r="O248" t="str">
            <v>Cambio</v>
          </cell>
        </row>
        <row r="249">
          <cell r="E249">
            <v>45736</v>
          </cell>
          <cell r="F249" t="str">
            <v>Obra constructora pesos</v>
          </cell>
          <cell r="G249" t="str">
            <v>Avance febrero 2025 (certificado 3 implantación) - retenciones</v>
          </cell>
          <cell r="H249" t="str">
            <v>Ceaosa</v>
          </cell>
          <cell r="J249">
            <v>6974017.1500000004</v>
          </cell>
          <cell r="K249">
            <v>60283.83999999892</v>
          </cell>
        </row>
        <row r="250">
          <cell r="E250">
            <v>45737</v>
          </cell>
          <cell r="F250" t="str">
            <v>Publicidad por etapa 1 y 2</v>
          </cell>
          <cell r="G250" t="str">
            <v>Producción audiovisual febrero 2025 (obra LIV)</v>
          </cell>
          <cell r="H250" t="str">
            <v>Silvestre</v>
          </cell>
          <cell r="I250">
            <v>7700</v>
          </cell>
          <cell r="J250">
            <v>42700</v>
          </cell>
          <cell r="K250">
            <v>17583.83999999892</v>
          </cell>
        </row>
        <row r="251">
          <cell r="E251">
            <v>45740</v>
          </cell>
          <cell r="K251">
            <v>1517583.8399999989</v>
          </cell>
          <cell r="L251">
            <v>1500000</v>
          </cell>
          <cell r="O251" t="str">
            <v>Cambio</v>
          </cell>
        </row>
        <row r="252">
          <cell r="E252">
            <v>45740</v>
          </cell>
          <cell r="F252" t="str">
            <v>LLSS</v>
          </cell>
          <cell r="G252" t="str">
            <v>Leyes sociales febrero 2025</v>
          </cell>
          <cell r="H252" t="str">
            <v>BPS</v>
          </cell>
          <cell r="J252">
            <v>1273767</v>
          </cell>
          <cell r="K252">
            <v>243816.83999999892</v>
          </cell>
        </row>
        <row r="253">
          <cell r="E253">
            <v>45740</v>
          </cell>
          <cell r="G253" t="str">
            <v>Impuestos 03/2025 (por error desde Residencial)</v>
          </cell>
          <cell r="J253">
            <v>102230</v>
          </cell>
          <cell r="K253">
            <v>141586.83999999892</v>
          </cell>
        </row>
        <row r="254">
          <cell r="E254">
            <v>45740</v>
          </cell>
          <cell r="K254">
            <v>243816.83999999892</v>
          </cell>
          <cell r="L254">
            <v>102230</v>
          </cell>
          <cell r="O254" t="str">
            <v>Reintegro Impuestos 03/2025 (operativo)</v>
          </cell>
        </row>
        <row r="255">
          <cell r="E255">
            <v>45740</v>
          </cell>
          <cell r="F255" t="str">
            <v>Publicidad por etapa 1 y 2</v>
          </cell>
          <cell r="G255" t="str">
            <v>Producción audiovisual enero (obra)</v>
          </cell>
          <cell r="H255" t="str">
            <v>Silvestre</v>
          </cell>
          <cell r="I255">
            <v>7700</v>
          </cell>
          <cell r="J255">
            <v>42700</v>
          </cell>
          <cell r="K255">
            <v>201116.83999999892</v>
          </cell>
        </row>
        <row r="256">
          <cell r="E256">
            <v>45740</v>
          </cell>
          <cell r="F256" t="str">
            <v>Publicidad por etapa 1 y 2</v>
          </cell>
          <cell r="G256" t="str">
            <v>Servicio de comunicación marzo 2025</v>
          </cell>
          <cell r="H256" t="str">
            <v>Silvestre</v>
          </cell>
          <cell r="I256">
            <v>11000</v>
          </cell>
          <cell r="J256">
            <v>61000</v>
          </cell>
          <cell r="K256">
            <v>140116.83999999892</v>
          </cell>
        </row>
        <row r="257">
          <cell r="E257">
            <v>45741</v>
          </cell>
          <cell r="F257" t="str">
            <v>Publicidad por etapa 1 y 2</v>
          </cell>
          <cell r="G257" t="str">
            <v>Seña 20% catering evento inicio de obras</v>
          </cell>
          <cell r="H257" t="str">
            <v>Nora Rey</v>
          </cell>
          <cell r="I257">
            <v>12021.02</v>
          </cell>
          <cell r="J257">
            <v>66662.02</v>
          </cell>
          <cell r="K257">
            <v>73454.819999998916</v>
          </cell>
        </row>
        <row r="258">
          <cell r="E258">
            <v>45742</v>
          </cell>
          <cell r="F258" t="str">
            <v>Imprevistos operativos</v>
          </cell>
          <cell r="G258" t="str">
            <v>Solicitud de baja del impuesto al baldío</v>
          </cell>
          <cell r="H258" t="str">
            <v>IMM</v>
          </cell>
          <cell r="J258">
            <v>853</v>
          </cell>
          <cell r="K258">
            <v>72601.819999998916</v>
          </cell>
        </row>
        <row r="259">
          <cell r="E259">
            <v>45742</v>
          </cell>
          <cell r="F259" t="str">
            <v>Imprevistos operativos</v>
          </cell>
          <cell r="G259" t="str">
            <v>Impresión planos permiso de construcción</v>
          </cell>
          <cell r="H259" t="str">
            <v>Copiplan</v>
          </cell>
          <cell r="I259">
            <v>3975.12</v>
          </cell>
          <cell r="J259">
            <v>22044</v>
          </cell>
          <cell r="K259">
            <v>50557.819999998916</v>
          </cell>
        </row>
        <row r="260">
          <cell r="E260">
            <v>45742</v>
          </cell>
          <cell r="F260" t="str">
            <v>Publicidad por etapa 1 y 2</v>
          </cell>
          <cell r="G260" t="str">
            <v>Pauta en casas y + marzo</v>
          </cell>
          <cell r="H260" t="str">
            <v>Casas y +</v>
          </cell>
          <cell r="I260">
            <v>3300</v>
          </cell>
          <cell r="J260">
            <v>18300</v>
          </cell>
          <cell r="K260">
            <v>32257.819999998916</v>
          </cell>
        </row>
        <row r="261">
          <cell r="E261">
            <v>45744</v>
          </cell>
          <cell r="K261">
            <v>3232257.8199999989</v>
          </cell>
          <cell r="L261">
            <v>3200000</v>
          </cell>
          <cell r="O261" t="str">
            <v>Cambio</v>
          </cell>
        </row>
        <row r="262">
          <cell r="E262">
            <v>45744</v>
          </cell>
          <cell r="F262" t="str">
            <v>Mayor aprovechamiento</v>
          </cell>
          <cell r="G262" t="str">
            <v>Contribución inmobiliaria padrón 432.222 1 Cuota con baldío</v>
          </cell>
          <cell r="H262" t="str">
            <v>IMM</v>
          </cell>
          <cell r="J262">
            <v>3108488</v>
          </cell>
          <cell r="K262">
            <v>123769.8199999989</v>
          </cell>
        </row>
        <row r="263">
          <cell r="E263">
            <v>45744</v>
          </cell>
          <cell r="F263" t="str">
            <v>Publicidad por etapa 1 y 2</v>
          </cell>
          <cell r="G263" t="str">
            <v>Acopio 50% gorros merch (100 unidades)</v>
          </cell>
          <cell r="H263" t="str">
            <v>Talagorra</v>
          </cell>
          <cell r="J263">
            <v>10950</v>
          </cell>
          <cell r="K263">
            <v>112819.8199999989</v>
          </cell>
        </row>
        <row r="264">
          <cell r="E264">
            <v>45747</v>
          </cell>
          <cell r="F264" t="str">
            <v>Publicidad por etapa 1 y 2</v>
          </cell>
          <cell r="G264" t="str">
            <v>Seña alquiler generador para evento inicio de obras</v>
          </cell>
          <cell r="H264" t="str">
            <v>ATG Generadores</v>
          </cell>
          <cell r="J264">
            <v>24000</v>
          </cell>
          <cell r="K264">
            <v>88819.819999998901</v>
          </cell>
        </row>
        <row r="265">
          <cell r="E265">
            <v>45747</v>
          </cell>
          <cell r="F265" t="str">
            <v>Imprevistos operativos</v>
          </cell>
          <cell r="G265" t="str">
            <v>Gastos Bancarios</v>
          </cell>
          <cell r="H265" t="str">
            <v>Itaú</v>
          </cell>
          <cell r="J265">
            <v>80.010000000000005</v>
          </cell>
          <cell r="K265">
            <v>88739.809999998906</v>
          </cell>
        </row>
        <row r="266">
          <cell r="E266">
            <v>45747</v>
          </cell>
          <cell r="K266">
            <v>168739.80999999889</v>
          </cell>
          <cell r="L266">
            <v>80000</v>
          </cell>
          <cell r="O266" t="str">
            <v>Cambio</v>
          </cell>
        </row>
        <row r="267">
          <cell r="E267">
            <v>45747</v>
          </cell>
          <cell r="F267" t="str">
            <v>Publicidad por etapa 1 y 2</v>
          </cell>
          <cell r="G267" t="str">
            <v>Seña 50% folletos para intercountries</v>
          </cell>
          <cell r="H267" t="str">
            <v>Gráfica Mosca</v>
          </cell>
          <cell r="J267">
            <v>14050</v>
          </cell>
          <cell r="K267">
            <v>154689.80999999889</v>
          </cell>
        </row>
        <row r="268">
          <cell r="E268">
            <v>45748</v>
          </cell>
          <cell r="F268" t="str">
            <v>Publicidad por etapa 1 y 2</v>
          </cell>
          <cell r="G268" t="str">
            <v>Seña 50% tote bags</v>
          </cell>
          <cell r="H268" t="str">
            <v>Collage store</v>
          </cell>
          <cell r="J268">
            <v>7450</v>
          </cell>
          <cell r="K268">
            <v>147239.80999999889</v>
          </cell>
        </row>
        <row r="269">
          <cell r="E269">
            <v>45748</v>
          </cell>
          <cell r="F269" t="str">
            <v>Imprevistos operativos</v>
          </cell>
          <cell r="G269" t="str">
            <v>Gastos Bancarios</v>
          </cell>
          <cell r="H269" t="str">
            <v>Itaú</v>
          </cell>
          <cell r="J269">
            <v>80.040000000000006</v>
          </cell>
          <cell r="K269">
            <v>147159.76999999888</v>
          </cell>
        </row>
        <row r="270">
          <cell r="E270">
            <v>45748</v>
          </cell>
          <cell r="F270" t="str">
            <v>Imprevistos operativos</v>
          </cell>
          <cell r="G270" t="str">
            <v>Cerramiento terreno Entre Bahías (Reintegro Luis Pedro)</v>
          </cell>
          <cell r="H270" t="str">
            <v>Matices</v>
          </cell>
          <cell r="I270">
            <v>369.67</v>
          </cell>
          <cell r="J270">
            <v>2050</v>
          </cell>
          <cell r="K270">
            <v>145109.76999999888</v>
          </cell>
        </row>
        <row r="271">
          <cell r="E271">
            <v>45750</v>
          </cell>
          <cell r="F271" t="str">
            <v>ITP Etapa 1 y 2</v>
          </cell>
          <cell r="G271" t="str">
            <v>ITP 402 LIV 1</v>
          </cell>
          <cell r="H271" t="str">
            <v>ITP</v>
          </cell>
          <cell r="J271">
            <v>76329</v>
          </cell>
          <cell r="K271">
            <v>68780.769999998884</v>
          </cell>
        </row>
        <row r="272">
          <cell r="E272">
            <v>45750</v>
          </cell>
          <cell r="F272" t="str">
            <v>Publicidad por etapa 1 y 2</v>
          </cell>
          <cell r="G272" t="str">
            <v>Saldo 50% tote bags</v>
          </cell>
          <cell r="H272" t="str">
            <v>Collage store</v>
          </cell>
          <cell r="I272">
            <v>3278</v>
          </cell>
          <cell r="J272">
            <v>10728</v>
          </cell>
          <cell r="K272">
            <v>58052.769999998884</v>
          </cell>
        </row>
        <row r="273">
          <cell r="E273">
            <v>45750</v>
          </cell>
          <cell r="F273" t="str">
            <v>Imprevistos operativos</v>
          </cell>
          <cell r="G273" t="str">
            <v>Gastos Bancarios</v>
          </cell>
          <cell r="H273" t="str">
            <v>Itaú</v>
          </cell>
          <cell r="J273">
            <v>80.34</v>
          </cell>
          <cell r="K273">
            <v>57972.429999998887</v>
          </cell>
        </row>
        <row r="274">
          <cell r="E274">
            <v>45750</v>
          </cell>
          <cell r="K274">
            <v>117972.42999999889</v>
          </cell>
          <cell r="L274">
            <v>60000</v>
          </cell>
          <cell r="O274" t="str">
            <v>Cambio</v>
          </cell>
        </row>
        <row r="275">
          <cell r="E275">
            <v>45750</v>
          </cell>
          <cell r="F275" t="str">
            <v>Publicidad por etapa 1 y 2</v>
          </cell>
          <cell r="G275" t="str">
            <v>Mantas evento inicio de obras</v>
          </cell>
          <cell r="H275" t="str">
            <v>Talagorra</v>
          </cell>
          <cell r="I275">
            <v>12100</v>
          </cell>
          <cell r="J275">
            <v>67100</v>
          </cell>
          <cell r="K275">
            <v>50872.429999998887</v>
          </cell>
        </row>
        <row r="276">
          <cell r="E276">
            <v>45750</v>
          </cell>
          <cell r="F276" t="str">
            <v>Publicidad por etapa 1 y 2</v>
          </cell>
          <cell r="G276" t="str">
            <v xml:space="preserve">Saldo 50% gorros </v>
          </cell>
          <cell r="H276" t="str">
            <v>Talagorra</v>
          </cell>
          <cell r="I276">
            <v>4818</v>
          </cell>
          <cell r="J276">
            <v>15768</v>
          </cell>
          <cell r="K276">
            <v>35104.429999998887</v>
          </cell>
        </row>
        <row r="277">
          <cell r="E277">
            <v>45750</v>
          </cell>
          <cell r="F277" t="str">
            <v>Publicidad por etapa 1 y 2</v>
          </cell>
          <cell r="G277" t="str">
            <v>Impresión menus y tarjetas evento inicio de obras</v>
          </cell>
          <cell r="H277" t="str">
            <v>Copiplan</v>
          </cell>
          <cell r="I277">
            <v>822.27</v>
          </cell>
          <cell r="J277">
            <v>4560</v>
          </cell>
          <cell r="K277">
            <v>30544.429999998887</v>
          </cell>
        </row>
        <row r="278">
          <cell r="E278">
            <v>45750</v>
          </cell>
          <cell r="F278" t="str">
            <v>Publicidad por etapa 1 y 2</v>
          </cell>
          <cell r="G278" t="str">
            <v>Compras para regalo evento inicio de obras (Reintegro CDC)</v>
          </cell>
          <cell r="H278" t="str">
            <v>Devoto</v>
          </cell>
          <cell r="J278">
            <v>189</v>
          </cell>
          <cell r="K278">
            <v>30355.429999998887</v>
          </cell>
        </row>
        <row r="279">
          <cell r="E279">
            <v>45750</v>
          </cell>
          <cell r="F279" t="str">
            <v>Publicidad por etapa 1 y 2</v>
          </cell>
          <cell r="G279" t="str">
            <v>Whisky evento inicio de obras (Reintegro CDC)</v>
          </cell>
          <cell r="H279" t="str">
            <v>All in one</v>
          </cell>
          <cell r="J279">
            <v>3780</v>
          </cell>
          <cell r="K279">
            <v>26575.429999998887</v>
          </cell>
        </row>
        <row r="280">
          <cell r="E280">
            <v>45751</v>
          </cell>
          <cell r="K280">
            <v>716575.42999999889</v>
          </cell>
          <cell r="L280">
            <v>690000</v>
          </cell>
          <cell r="O280" t="str">
            <v>Cambio</v>
          </cell>
        </row>
        <row r="281">
          <cell r="E281">
            <v>45751</v>
          </cell>
          <cell r="F281" t="str">
            <v>Publicidad por etapa 1 y 2</v>
          </cell>
          <cell r="G281" t="str">
            <v>Whisky evento inicio de obras (Reintegro CDC)</v>
          </cell>
          <cell r="H281" t="str">
            <v>All in one</v>
          </cell>
          <cell r="J281">
            <v>5670</v>
          </cell>
          <cell r="K281">
            <v>710905.42999999889</v>
          </cell>
        </row>
        <row r="282">
          <cell r="E282">
            <v>45751</v>
          </cell>
          <cell r="F282" t="str">
            <v>Publicidad por etapa 1 y 2</v>
          </cell>
          <cell r="G282" t="str">
            <v xml:space="preserve">Manteles evento inicio de obras </v>
          </cell>
          <cell r="H282" t="str">
            <v>La Tavola</v>
          </cell>
          <cell r="I282">
            <v>660</v>
          </cell>
          <cell r="J282">
            <v>3660</v>
          </cell>
          <cell r="K282">
            <v>707245.42999999889</v>
          </cell>
        </row>
        <row r="283">
          <cell r="E283">
            <v>45751</v>
          </cell>
          <cell r="F283" t="str">
            <v>Publicidad por etapa 1 y 2</v>
          </cell>
          <cell r="G283" t="str">
            <v>Ambientación evento inicio de obras</v>
          </cell>
          <cell r="H283" t="str">
            <v>Traza</v>
          </cell>
          <cell r="J283">
            <v>98000</v>
          </cell>
          <cell r="K283">
            <v>609245.42999999889</v>
          </cell>
        </row>
        <row r="284">
          <cell r="E284">
            <v>45751</v>
          </cell>
          <cell r="F284" t="str">
            <v>Publicidad por etapa 1 y 2</v>
          </cell>
          <cell r="G284" t="str">
            <v>DJ evento inicio de obras</v>
          </cell>
          <cell r="H284" t="str">
            <v>Marcos Castiglioni</v>
          </cell>
          <cell r="J284">
            <v>5000</v>
          </cell>
          <cell r="K284">
            <v>604245.42999999889</v>
          </cell>
        </row>
        <row r="285">
          <cell r="E285">
            <v>45751</v>
          </cell>
          <cell r="F285" t="str">
            <v>Publicidad por etapa 1 y 2</v>
          </cell>
          <cell r="G285" t="str">
            <v>Servicio de comunicación abril 2025</v>
          </cell>
          <cell r="H285" t="str">
            <v>Silvestre</v>
          </cell>
          <cell r="I285">
            <v>11000</v>
          </cell>
          <cell r="J285">
            <v>61000</v>
          </cell>
          <cell r="K285">
            <v>543245.42999999889</v>
          </cell>
        </row>
        <row r="286">
          <cell r="E286">
            <v>45754</v>
          </cell>
          <cell r="F286" t="str">
            <v>Publicidad por etapa 1 y 2</v>
          </cell>
          <cell r="G286" t="str">
            <v>Mobiliario evento inicio de obras</v>
          </cell>
          <cell r="H286" t="str">
            <v>Supervielle</v>
          </cell>
          <cell r="I286">
            <v>17355.8</v>
          </cell>
          <cell r="J286">
            <v>96245.8</v>
          </cell>
          <cell r="K286">
            <v>446999.6299999989</v>
          </cell>
        </row>
        <row r="287">
          <cell r="E287">
            <v>45754</v>
          </cell>
          <cell r="F287" t="str">
            <v>Imprevistos operativos</v>
          </cell>
          <cell r="G287" t="str">
            <v>Gastos Bancarios</v>
          </cell>
          <cell r="H287" t="str">
            <v>Itaú</v>
          </cell>
          <cell r="J287">
            <v>80.790000000000006</v>
          </cell>
          <cell r="K287">
            <v>446918.83999999892</v>
          </cell>
        </row>
        <row r="288">
          <cell r="E288">
            <v>45754</v>
          </cell>
          <cell r="F288" t="str">
            <v>Publicidad por etapa 1 y 2</v>
          </cell>
          <cell r="G288" t="str">
            <v>Carpas evento inicio de obras</v>
          </cell>
          <cell r="H288" t="str">
            <v>El Alero</v>
          </cell>
          <cell r="I288">
            <v>15664</v>
          </cell>
          <cell r="J288">
            <v>86864</v>
          </cell>
          <cell r="K288">
            <v>360054.83999999892</v>
          </cell>
        </row>
        <row r="289">
          <cell r="E289">
            <v>45754</v>
          </cell>
          <cell r="F289" t="str">
            <v>Publicidad por etapa 1 y 2</v>
          </cell>
          <cell r="G289" t="str">
            <v>Saldo catering evento inicio de obras</v>
          </cell>
          <cell r="H289" t="str">
            <v>Nora Rey</v>
          </cell>
          <cell r="I289">
            <v>51127.28</v>
          </cell>
          <cell r="J289">
            <v>283524</v>
          </cell>
          <cell r="K289">
            <v>76530.83999999892</v>
          </cell>
        </row>
        <row r="290">
          <cell r="E290">
            <v>45754</v>
          </cell>
          <cell r="F290" t="str">
            <v>Publicidad por etapa 1 y 2</v>
          </cell>
          <cell r="G290" t="str">
            <v>Productos de limpieza cartel (Luis Pedro)</v>
          </cell>
          <cell r="H290" t="str">
            <v>Matices</v>
          </cell>
          <cell r="I290">
            <v>83.85</v>
          </cell>
          <cell r="J290">
            <v>465</v>
          </cell>
          <cell r="K290">
            <v>76065.83999999892</v>
          </cell>
        </row>
        <row r="291">
          <cell r="E291">
            <v>45755</v>
          </cell>
          <cell r="F291" t="str">
            <v>Publicidad por etapa 1 y 2</v>
          </cell>
          <cell r="G291" t="str">
            <v>Saldo generador evento inicio de obras</v>
          </cell>
          <cell r="H291" t="str">
            <v>ATG Generadores</v>
          </cell>
          <cell r="I291">
            <v>8140</v>
          </cell>
          <cell r="J291">
            <v>21140</v>
          </cell>
          <cell r="K291">
            <v>54925.83999999892</v>
          </cell>
        </row>
        <row r="292">
          <cell r="E292">
            <v>45755</v>
          </cell>
          <cell r="F292" t="str">
            <v>Imprevistos operativos</v>
          </cell>
          <cell r="G292" t="str">
            <v>Gastos Bancarios</v>
          </cell>
          <cell r="H292" t="str">
            <v>Itaú</v>
          </cell>
          <cell r="J292">
            <v>80.790000000000006</v>
          </cell>
          <cell r="K292">
            <v>54845.049999998919</v>
          </cell>
        </row>
        <row r="293">
          <cell r="E293">
            <v>45755</v>
          </cell>
          <cell r="K293">
            <v>279845.04999999894</v>
          </cell>
          <cell r="L293">
            <v>225000</v>
          </cell>
          <cell r="O293" t="str">
            <v>Cambio</v>
          </cell>
        </row>
        <row r="294">
          <cell r="E294">
            <v>45755</v>
          </cell>
          <cell r="F294" t="str">
            <v>Publicidad por etapa 1 y 2</v>
          </cell>
          <cell r="G294" t="str">
            <v>Saldo 50% folletos intercountries</v>
          </cell>
          <cell r="H294" t="str">
            <v>Gráfica Mosca</v>
          </cell>
          <cell r="I294">
            <v>6182</v>
          </cell>
          <cell r="J294">
            <v>20232</v>
          </cell>
          <cell r="K294">
            <v>259613.04999999894</v>
          </cell>
        </row>
        <row r="295">
          <cell r="E295">
            <v>45756</v>
          </cell>
          <cell r="K295">
            <v>394613.04999999894</v>
          </cell>
          <cell r="L295">
            <v>135000</v>
          </cell>
          <cell r="O295" t="str">
            <v>Cambio</v>
          </cell>
        </row>
        <row r="296">
          <cell r="E296">
            <v>45757</v>
          </cell>
          <cell r="F296" t="str">
            <v>ITP Etapa 1 y 2</v>
          </cell>
          <cell r="G296" t="str">
            <v>ITP 401 LIV 1</v>
          </cell>
          <cell r="H296" t="str">
            <v>ITP</v>
          </cell>
          <cell r="J296">
            <v>48860</v>
          </cell>
          <cell r="K296">
            <v>345753.04999999894</v>
          </cell>
        </row>
        <row r="297">
          <cell r="E297">
            <v>45757</v>
          </cell>
          <cell r="K297">
            <v>13405753.049999999</v>
          </cell>
          <cell r="L297">
            <v>13060000</v>
          </cell>
          <cell r="O297" t="str">
            <v>Cambio</v>
          </cell>
        </row>
        <row r="298">
          <cell r="E298">
            <v>45757</v>
          </cell>
          <cell r="F298" t="str">
            <v>Obra constructora pesos</v>
          </cell>
          <cell r="G298" t="str">
            <v>Avance marzo 2025 (certificado 4 implantación) - retenciones</v>
          </cell>
          <cell r="H298" t="str">
            <v>Ceaosa</v>
          </cell>
          <cell r="J298">
            <v>13063126.58</v>
          </cell>
          <cell r="K298">
            <v>342626.46999999881</v>
          </cell>
        </row>
        <row r="299">
          <cell r="E299">
            <v>45757</v>
          </cell>
          <cell r="F299" t="str">
            <v>ITP Etapa 1 y 2</v>
          </cell>
          <cell r="G299" t="str">
            <v>ITP 003 LIV 1</v>
          </cell>
          <cell r="H299" t="str">
            <v>ITP</v>
          </cell>
          <cell r="J299">
            <v>81707</v>
          </cell>
          <cell r="K299">
            <v>260919.46999999881</v>
          </cell>
        </row>
        <row r="300">
          <cell r="E300">
            <v>45757</v>
          </cell>
          <cell r="F300" t="str">
            <v>ITP Etapa 1 y 2</v>
          </cell>
          <cell r="G300" t="str">
            <v>ITP 303 LIV 1</v>
          </cell>
          <cell r="H300" t="str">
            <v>ITP</v>
          </cell>
          <cell r="J300">
            <v>116016</v>
          </cell>
          <cell r="K300">
            <v>144903.46999999881</v>
          </cell>
        </row>
        <row r="301">
          <cell r="E301">
            <v>45758</v>
          </cell>
          <cell r="F301" t="str">
            <v>Publicidad por etapa 1 y 2</v>
          </cell>
          <cell r="G301" t="str">
            <v>Pauta en casas y + abril</v>
          </cell>
          <cell r="H301" t="str">
            <v>Casas y +</v>
          </cell>
          <cell r="I301">
            <v>3300</v>
          </cell>
          <cell r="J301">
            <v>18300</v>
          </cell>
          <cell r="K301">
            <v>126603.46999999881</v>
          </cell>
        </row>
        <row r="302">
          <cell r="E302">
            <v>45769</v>
          </cell>
          <cell r="F302" t="str">
            <v>ITP Etapa 1 y 2</v>
          </cell>
          <cell r="G302" t="str">
            <v>ITP 204 LIV 2</v>
          </cell>
          <cell r="H302" t="str">
            <v>ITP</v>
          </cell>
          <cell r="J302">
            <v>92960</v>
          </cell>
          <cell r="K302">
            <v>33643.469999998808</v>
          </cell>
        </row>
        <row r="303">
          <cell r="E303">
            <v>45769</v>
          </cell>
          <cell r="K303">
            <v>113643.46999999881</v>
          </cell>
          <cell r="L303">
            <v>80000</v>
          </cell>
          <cell r="O303" t="str">
            <v>Cambio</v>
          </cell>
        </row>
        <row r="304">
          <cell r="E304">
            <v>45770</v>
          </cell>
          <cell r="K304">
            <v>213643.46999999881</v>
          </cell>
          <cell r="L304">
            <v>100000</v>
          </cell>
          <cell r="O304" t="str">
            <v>Cambio</v>
          </cell>
        </row>
        <row r="305">
          <cell r="E305">
            <v>45771</v>
          </cell>
          <cell r="F305" t="str">
            <v>ITP Etapa 1 y 2</v>
          </cell>
          <cell r="G305" t="str">
            <v>ITP 006 LIV 1</v>
          </cell>
          <cell r="H305" t="str">
            <v>ITP</v>
          </cell>
          <cell r="J305">
            <v>82439</v>
          </cell>
          <cell r="K305">
            <v>131204.46999999881</v>
          </cell>
        </row>
        <row r="306">
          <cell r="E306">
            <v>45771</v>
          </cell>
          <cell r="F306" t="str">
            <v>ITP Etapa 1 y 2</v>
          </cell>
          <cell r="G306" t="str">
            <v>ITP 303 LIV 2</v>
          </cell>
          <cell r="H306" t="str">
            <v>ITP</v>
          </cell>
          <cell r="J306">
            <v>116016</v>
          </cell>
          <cell r="K306">
            <v>15188.469999998808</v>
          </cell>
        </row>
        <row r="307">
          <cell r="E307">
            <v>45772</v>
          </cell>
          <cell r="K307">
            <v>2225188.4699999988</v>
          </cell>
          <cell r="L307">
            <v>2210000</v>
          </cell>
          <cell r="O307" t="str">
            <v>Cambio</v>
          </cell>
        </row>
        <row r="308">
          <cell r="E308">
            <v>45772</v>
          </cell>
          <cell r="F308" t="str">
            <v>LLSS</v>
          </cell>
          <cell r="G308" t="str">
            <v>Leyes sociales marzo 2025</v>
          </cell>
          <cell r="H308" t="str">
            <v>BPS</v>
          </cell>
          <cell r="J308">
            <v>1959427</v>
          </cell>
          <cell r="K308">
            <v>265761.46999999881</v>
          </cell>
        </row>
        <row r="309">
          <cell r="E309">
            <v>45772</v>
          </cell>
          <cell r="F309" t="str">
            <v>ITP Etapa 1 y 2</v>
          </cell>
          <cell r="G309" t="str">
            <v>ITP 401 LIV 2</v>
          </cell>
          <cell r="H309" t="str">
            <v>ITP</v>
          </cell>
          <cell r="J309">
            <v>48859</v>
          </cell>
          <cell r="K309">
            <v>216902.46999999881</v>
          </cell>
        </row>
        <row r="310">
          <cell r="E310">
            <v>45772</v>
          </cell>
          <cell r="F310" t="str">
            <v>ITP Etapa 1 y 2</v>
          </cell>
          <cell r="G310" t="str">
            <v>ITP 301 LIV 2</v>
          </cell>
          <cell r="H310" t="str">
            <v>ITP</v>
          </cell>
          <cell r="J310">
            <v>48125</v>
          </cell>
          <cell r="K310">
            <v>168777.46999999881</v>
          </cell>
        </row>
        <row r="311">
          <cell r="E311">
            <v>45777</v>
          </cell>
          <cell r="F311" t="str">
            <v>ITP Etapa 1 y 2</v>
          </cell>
          <cell r="G311" t="str">
            <v>ITP 202 LIV 1</v>
          </cell>
          <cell r="H311" t="str">
            <v xml:space="preserve">ITP </v>
          </cell>
          <cell r="J311">
            <v>77679</v>
          </cell>
          <cell r="K311">
            <v>91098.469999998808</v>
          </cell>
        </row>
        <row r="312">
          <cell r="E312">
            <v>45777</v>
          </cell>
          <cell r="K312">
            <v>151098.46999999881</v>
          </cell>
          <cell r="L312">
            <v>60000</v>
          </cell>
          <cell r="O312" t="str">
            <v>Cambio</v>
          </cell>
        </row>
        <row r="313">
          <cell r="E313">
            <v>45779</v>
          </cell>
          <cell r="F313" t="str">
            <v>ITP Etapa 1 y 2</v>
          </cell>
          <cell r="G313" t="str">
            <v>ITP 404 LIV 2</v>
          </cell>
          <cell r="H313" t="str">
            <v>ITP</v>
          </cell>
          <cell r="J313">
            <v>115101</v>
          </cell>
          <cell r="K313">
            <v>35997.469999998808</v>
          </cell>
        </row>
        <row r="314">
          <cell r="E314">
            <v>45783</v>
          </cell>
          <cell r="K314">
            <v>135997.46999999881</v>
          </cell>
          <cell r="L314">
            <v>100000</v>
          </cell>
          <cell r="O314" t="str">
            <v>Cambio</v>
          </cell>
        </row>
        <row r="315">
          <cell r="E315">
            <v>45784</v>
          </cell>
          <cell r="F315" t="str">
            <v>Imprevistos operativos</v>
          </cell>
          <cell r="G315" t="str">
            <v>Solicitud certificado de saneamiento por hipoteca</v>
          </cell>
          <cell r="H315" t="str">
            <v>IMM</v>
          </cell>
          <cell r="J315">
            <v>2070</v>
          </cell>
          <cell r="K315">
            <v>133927.46999999881</v>
          </cell>
        </row>
        <row r="316">
          <cell r="E316">
            <v>45784</v>
          </cell>
          <cell r="K316">
            <v>233927.46999999881</v>
          </cell>
          <cell r="L316">
            <v>100000</v>
          </cell>
          <cell r="O316" t="str">
            <v>Cambio</v>
          </cell>
        </row>
        <row r="317">
          <cell r="E317">
            <v>45785</v>
          </cell>
          <cell r="F317" t="str">
            <v>Imprevistos operativos</v>
          </cell>
          <cell r="G317" t="str">
            <v>Planos para escribanas unidades 102 y 305</v>
          </cell>
          <cell r="H317" t="str">
            <v>Copiplan</v>
          </cell>
          <cell r="I317">
            <v>642.67999999999995</v>
          </cell>
          <cell r="J317">
            <v>3563.97</v>
          </cell>
          <cell r="K317">
            <v>230363.49999999881</v>
          </cell>
        </row>
        <row r="318">
          <cell r="E318">
            <v>45785</v>
          </cell>
          <cell r="F318" t="str">
            <v>Imprevistos operativos</v>
          </cell>
          <cell r="G318" t="str">
            <v>Almuerzo (Reintegro JAD)</v>
          </cell>
          <cell r="H318" t="str">
            <v>Café Misterio</v>
          </cell>
          <cell r="J318">
            <v>3747.59</v>
          </cell>
          <cell r="K318">
            <v>226615.90999999881</v>
          </cell>
        </row>
        <row r="319">
          <cell r="E319">
            <v>45785</v>
          </cell>
          <cell r="F319" t="str">
            <v>Imprevistos operativos</v>
          </cell>
          <cell r="G319" t="str">
            <v>Planos escribana unidad 305</v>
          </cell>
          <cell r="H319" t="str">
            <v>Copiplan</v>
          </cell>
          <cell r="I319">
            <v>642.67999999999995</v>
          </cell>
          <cell r="J319">
            <v>3564</v>
          </cell>
          <cell r="K319">
            <v>223051.90999999881</v>
          </cell>
        </row>
        <row r="320">
          <cell r="E320">
            <v>45785</v>
          </cell>
          <cell r="F320" t="str">
            <v>Imprevistos operativos</v>
          </cell>
          <cell r="G320" t="str">
            <v>Almuerzo con accionistas (Reintegro JAD)</v>
          </cell>
          <cell r="H320" t="str">
            <v>Pompier</v>
          </cell>
          <cell r="J320">
            <v>8825.7099999999991</v>
          </cell>
          <cell r="K320">
            <v>214226.19999999882</v>
          </cell>
        </row>
        <row r="321">
          <cell r="E321">
            <v>45786</v>
          </cell>
          <cell r="F321" t="str">
            <v>ITP Etapa 1 y 2</v>
          </cell>
          <cell r="G321" t="str">
            <v>ITP 305 LIV 1</v>
          </cell>
          <cell r="H321" t="str">
            <v>ITP</v>
          </cell>
          <cell r="J321">
            <v>87982</v>
          </cell>
          <cell r="K321">
            <v>126244.19999999882</v>
          </cell>
        </row>
        <row r="322">
          <cell r="E322">
            <v>45786</v>
          </cell>
          <cell r="F322" t="str">
            <v>Imprevistos operativos</v>
          </cell>
          <cell r="G322" t="str">
            <v>Grabación info. Firma contrato en CDs (Reintegro Luis Pedro)</v>
          </cell>
          <cell r="H322" t="str">
            <v>Fix It</v>
          </cell>
          <cell r="I322">
            <v>264</v>
          </cell>
          <cell r="J322">
            <v>1464</v>
          </cell>
          <cell r="K322">
            <v>124780.19999999882</v>
          </cell>
        </row>
        <row r="323">
          <cell r="E323">
            <v>45790</v>
          </cell>
          <cell r="F323" t="str">
            <v>ITP Etapa 1 y 2</v>
          </cell>
          <cell r="G323" t="str">
            <v>ITP 204 LIV 1</v>
          </cell>
          <cell r="H323" t="str">
            <v>ITP</v>
          </cell>
          <cell r="J323">
            <v>93259</v>
          </cell>
          <cell r="K323">
            <v>31521.199999998818</v>
          </cell>
        </row>
        <row r="324">
          <cell r="E324">
            <v>45793</v>
          </cell>
          <cell r="K324">
            <v>1131521.1999999988</v>
          </cell>
          <cell r="L324">
            <v>1100000</v>
          </cell>
          <cell r="O324" t="str">
            <v>Cambio</v>
          </cell>
        </row>
        <row r="325">
          <cell r="E325">
            <v>45793</v>
          </cell>
          <cell r="F325" t="str">
            <v>Agrimensura</v>
          </cell>
          <cell r="G325" t="str">
            <v>Ing. Agrimensor cuota 1/14 bimestre enero-febrero</v>
          </cell>
          <cell r="H325" t="str">
            <v>Estudio Boix</v>
          </cell>
          <cell r="J325">
            <v>123031</v>
          </cell>
          <cell r="K325">
            <v>1008490.1999999988</v>
          </cell>
        </row>
        <row r="326">
          <cell r="E326">
            <v>45793</v>
          </cell>
          <cell r="F326" t="str">
            <v>Agrimensura</v>
          </cell>
          <cell r="G326" t="str">
            <v>Ing. Agrimensor cuota 2/14 bimestre marzo-abril</v>
          </cell>
          <cell r="H326" t="str">
            <v>Estudio Boix</v>
          </cell>
          <cell r="J326">
            <v>123031</v>
          </cell>
          <cell r="K326">
            <v>885459.19999999879</v>
          </cell>
        </row>
        <row r="327">
          <cell r="E327">
            <v>45793</v>
          </cell>
          <cell r="F327" t="str">
            <v>Agrimensura</v>
          </cell>
          <cell r="G327" t="str">
            <v>Acopio 50% adicional financiación bancaria</v>
          </cell>
          <cell r="H327" t="str">
            <v>Estudio Boix</v>
          </cell>
          <cell r="J327">
            <v>102526</v>
          </cell>
          <cell r="K327">
            <v>782933.19999999879</v>
          </cell>
        </row>
        <row r="328">
          <cell r="E328">
            <v>45793</v>
          </cell>
          <cell r="F328" t="str">
            <v>Imprevistos operativos</v>
          </cell>
          <cell r="G328" t="str">
            <v>Planos para escribana</v>
          </cell>
          <cell r="H328" t="str">
            <v>Copiplan</v>
          </cell>
          <cell r="I328">
            <v>642.67999999999995</v>
          </cell>
          <cell r="J328">
            <v>2564</v>
          </cell>
          <cell r="K328">
            <v>780369.19999999879</v>
          </cell>
        </row>
        <row r="329">
          <cell r="E329">
            <v>45793</v>
          </cell>
          <cell r="F329" t="str">
            <v>Dirección de obra</v>
          </cell>
          <cell r="G329" t="str">
            <v>Dirección de obra octubre-abril OP 044</v>
          </cell>
          <cell r="H329" t="str">
            <v>Gómez Platero</v>
          </cell>
          <cell r="J329">
            <v>526826</v>
          </cell>
          <cell r="K329">
            <v>253543.19999999879</v>
          </cell>
        </row>
        <row r="330">
          <cell r="E330">
            <v>45793</v>
          </cell>
          <cell r="F330" t="str">
            <v>Agrimensura</v>
          </cell>
          <cell r="G330" t="str">
            <v>Ajuste por medición acopio 6% inicio</v>
          </cell>
          <cell r="H330" t="str">
            <v>Estudio Boix</v>
          </cell>
          <cell r="J330">
            <v>9767</v>
          </cell>
          <cell r="K330">
            <v>243776.19999999879</v>
          </cell>
        </row>
        <row r="331">
          <cell r="E331">
            <v>45793</v>
          </cell>
          <cell r="F331" t="str">
            <v>ITP Etapa 1 y 2</v>
          </cell>
          <cell r="G331" t="str">
            <v>ITP 301 LIV 1</v>
          </cell>
          <cell r="H331" t="str">
            <v>ITP</v>
          </cell>
          <cell r="J331">
            <v>48281</v>
          </cell>
          <cell r="K331">
            <v>195495.19999999879</v>
          </cell>
        </row>
        <row r="332">
          <cell r="E332">
            <v>45796</v>
          </cell>
          <cell r="K332">
            <v>7445495.1999999993</v>
          </cell>
          <cell r="L332">
            <v>7250000</v>
          </cell>
          <cell r="O332" t="str">
            <v>Cambio</v>
          </cell>
        </row>
        <row r="333">
          <cell r="E333">
            <v>45796</v>
          </cell>
          <cell r="F333" t="str">
            <v>Obra constructora pesos</v>
          </cell>
          <cell r="G333" t="str">
            <v>Avance abril 2025 (certificado 5 implantación) - retenciones</v>
          </cell>
          <cell r="H333" t="str">
            <v>Ceaosa</v>
          </cell>
          <cell r="J333">
            <v>7085612.8499999996</v>
          </cell>
          <cell r="K333">
            <v>359882.34999999963</v>
          </cell>
        </row>
        <row r="334">
          <cell r="E334">
            <v>45797</v>
          </cell>
          <cell r="F334" t="str">
            <v>ITP Etapa 1 y 2</v>
          </cell>
          <cell r="G334" t="str">
            <v>ITP 405 LIV 1</v>
          </cell>
          <cell r="H334" t="str">
            <v>ITP</v>
          </cell>
          <cell r="J334">
            <v>87982</v>
          </cell>
          <cell r="K334">
            <v>271900.34999999963</v>
          </cell>
        </row>
        <row r="335">
          <cell r="E335">
            <v>45797</v>
          </cell>
          <cell r="F335" t="str">
            <v>ITP Etapa 1 y 2</v>
          </cell>
          <cell r="G335" t="str">
            <v>ITP 501 LIV 1</v>
          </cell>
          <cell r="H335" t="str">
            <v>ITP</v>
          </cell>
          <cell r="J335">
            <v>155076</v>
          </cell>
          <cell r="K335">
            <v>116824.34999999963</v>
          </cell>
        </row>
        <row r="336">
          <cell r="E336">
            <v>45799</v>
          </cell>
          <cell r="K336">
            <v>1786824.3499999996</v>
          </cell>
          <cell r="L336">
            <v>1670000</v>
          </cell>
          <cell r="O336" t="str">
            <v>Cambio</v>
          </cell>
        </row>
        <row r="337">
          <cell r="E337">
            <v>45799</v>
          </cell>
          <cell r="F337" t="str">
            <v>LLSS</v>
          </cell>
          <cell r="G337" t="str">
            <v>Leyes sociales abril 2025</v>
          </cell>
          <cell r="H337" t="str">
            <v>BPS</v>
          </cell>
          <cell r="J337">
            <v>1544358</v>
          </cell>
          <cell r="K337">
            <v>242466.34999999963</v>
          </cell>
        </row>
        <row r="338">
          <cell r="E338">
            <v>45799</v>
          </cell>
          <cell r="F338" t="str">
            <v>Publicidad por etapa 1 y 2</v>
          </cell>
          <cell r="G338" t="str">
            <v>Pauta en casas y + mayo</v>
          </cell>
          <cell r="H338" t="str">
            <v>Casas y +</v>
          </cell>
          <cell r="I338">
            <v>3300</v>
          </cell>
          <cell r="J338">
            <v>18300</v>
          </cell>
          <cell r="K338">
            <v>224166.34999999963</v>
          </cell>
        </row>
        <row r="339">
          <cell r="E339">
            <v>45799</v>
          </cell>
          <cell r="F339" t="str">
            <v>Publicidad por etapa 1 y 2</v>
          </cell>
          <cell r="G339" t="str">
            <v>Producción audiovisual abril</v>
          </cell>
          <cell r="H339" t="str">
            <v>Silvestre</v>
          </cell>
          <cell r="I339">
            <v>7700</v>
          </cell>
          <cell r="J339">
            <v>42700</v>
          </cell>
          <cell r="K339">
            <v>181466.34999999963</v>
          </cell>
        </row>
        <row r="340">
          <cell r="E340">
            <v>45799</v>
          </cell>
          <cell r="F340" t="str">
            <v>Publicidad por etapa 1 y 2</v>
          </cell>
          <cell r="G340" t="str">
            <v>Servicio de comunicación mensual abril</v>
          </cell>
          <cell r="H340" t="str">
            <v>Silvestre</v>
          </cell>
          <cell r="I340">
            <v>11000</v>
          </cell>
          <cell r="J340">
            <v>61000</v>
          </cell>
          <cell r="K340">
            <v>120466.34999999963</v>
          </cell>
        </row>
        <row r="341">
          <cell r="E341">
            <v>45799</v>
          </cell>
          <cell r="F341" t="str">
            <v>Imprevistos operativos</v>
          </cell>
          <cell r="G341" t="str">
            <v>Planos para escribanos</v>
          </cell>
          <cell r="H341" t="str">
            <v>Copiplan</v>
          </cell>
          <cell r="I341">
            <v>856.91</v>
          </cell>
          <cell r="J341">
            <v>4752</v>
          </cell>
          <cell r="K341">
            <v>115714.34999999963</v>
          </cell>
        </row>
        <row r="342">
          <cell r="E342">
            <v>45800</v>
          </cell>
          <cell r="F342" t="str">
            <v>ITP Etapa 1 y 2</v>
          </cell>
          <cell r="G342" t="str">
            <v>ITP 302 LIV 1</v>
          </cell>
          <cell r="H342" t="str">
            <v>ITP</v>
          </cell>
          <cell r="J342">
            <v>77012</v>
          </cell>
          <cell r="K342">
            <v>38702.349999999627</v>
          </cell>
        </row>
        <row r="343">
          <cell r="E343">
            <v>45804</v>
          </cell>
          <cell r="K343">
            <v>9013702.3499999996</v>
          </cell>
          <cell r="L343">
            <v>8975000</v>
          </cell>
          <cell r="O343" t="str">
            <v>Cambio</v>
          </cell>
        </row>
        <row r="344">
          <cell r="E344">
            <v>45805</v>
          </cell>
          <cell r="F344" t="str">
            <v>Obra constructora pesos</v>
          </cell>
          <cell r="G344" t="str">
            <v>Anticipo financiero 2% obra pesos</v>
          </cell>
          <cell r="H344" t="str">
            <v>Ceaosa</v>
          </cell>
          <cell r="J344">
            <v>8935692</v>
          </cell>
          <cell r="K344">
            <v>78010.349999999627</v>
          </cell>
        </row>
        <row r="345">
          <cell r="E345">
            <v>45805</v>
          </cell>
          <cell r="F345" t="str">
            <v>Imprevistos operativos</v>
          </cell>
          <cell r="G345" t="str">
            <v>Gastos Bancarios</v>
          </cell>
          <cell r="H345" t="str">
            <v>Itaú</v>
          </cell>
          <cell r="J345">
            <v>415.52</v>
          </cell>
          <cell r="K345">
            <v>77594.829999999623</v>
          </cell>
        </row>
        <row r="346">
          <cell r="E346">
            <v>45807</v>
          </cell>
          <cell r="F346" t="str">
            <v>Publicidad por etapa 1 y 2</v>
          </cell>
          <cell r="G346" t="str">
            <v>Publicación doble pagina revista AyD</v>
          </cell>
          <cell r="H346" t="str">
            <v>AyD</v>
          </cell>
          <cell r="I346">
            <v>7040</v>
          </cell>
          <cell r="J346">
            <v>39040</v>
          </cell>
          <cell r="K346">
            <v>38554.829999999623</v>
          </cell>
        </row>
        <row r="347">
          <cell r="E347">
            <v>45807</v>
          </cell>
          <cell r="F347" t="str">
            <v>Imprevistos operativos</v>
          </cell>
          <cell r="G347" t="str">
            <v>Gastos Bancarios</v>
          </cell>
          <cell r="H347" t="str">
            <v>Itaú</v>
          </cell>
          <cell r="J347">
            <v>78.989999999999995</v>
          </cell>
          <cell r="K347">
            <v>38475.839999999625</v>
          </cell>
        </row>
        <row r="348">
          <cell r="E348">
            <v>45807</v>
          </cell>
          <cell r="K348">
            <v>188475.83999999962</v>
          </cell>
          <cell r="L348">
            <v>150000</v>
          </cell>
          <cell r="O348" t="str">
            <v>Cambio</v>
          </cell>
        </row>
        <row r="349">
          <cell r="E349">
            <v>45807</v>
          </cell>
          <cell r="F349" t="str">
            <v>Dirección de obra</v>
          </cell>
          <cell r="G349" t="str">
            <v>Dirección de obra abril-mayo</v>
          </cell>
          <cell r="H349" t="str">
            <v>Gómez Platero</v>
          </cell>
          <cell r="J349">
            <v>155339</v>
          </cell>
          <cell r="K349">
            <v>33136.839999999618</v>
          </cell>
        </row>
        <row r="350">
          <cell r="E350">
            <v>45807</v>
          </cell>
          <cell r="F350" t="str">
            <v>Imprevistos operativos</v>
          </cell>
          <cell r="G350" t="str">
            <v>Correción pago 16/05 planos</v>
          </cell>
          <cell r="H350" t="str">
            <v>Copiplan</v>
          </cell>
          <cell r="J350">
            <v>1000</v>
          </cell>
          <cell r="K350">
            <v>32136.839999999618</v>
          </cell>
        </row>
        <row r="351">
          <cell r="E351">
            <v>45811</v>
          </cell>
          <cell r="F351" t="str">
            <v>Imprevistos operativos</v>
          </cell>
          <cell r="G351" t="str">
            <v xml:space="preserve">Multa por vinculación fuera de fecha </v>
          </cell>
          <cell r="H351" t="str">
            <v>BPS</v>
          </cell>
          <cell r="J351">
            <v>250</v>
          </cell>
          <cell r="K351">
            <v>31886.839999999618</v>
          </cell>
        </row>
        <row r="352">
          <cell r="E352">
            <v>45812</v>
          </cell>
          <cell r="K352">
            <v>181886.83999999962</v>
          </cell>
          <cell r="L352">
            <v>150000</v>
          </cell>
          <cell r="O352" t="str">
            <v>Cambio</v>
          </cell>
        </row>
        <row r="353">
          <cell r="E353">
            <v>45813</v>
          </cell>
          <cell r="F353" t="str">
            <v>Imprevistos operativos</v>
          </cell>
          <cell r="G353" t="str">
            <v xml:space="preserve">Timbre por certificado contable omisión nóminas </v>
          </cell>
          <cell r="H353" t="str">
            <v>BPS</v>
          </cell>
          <cell r="J353">
            <v>250</v>
          </cell>
          <cell r="K353">
            <v>181636.83999999962</v>
          </cell>
        </row>
        <row r="354">
          <cell r="E354">
            <v>45813</v>
          </cell>
          <cell r="K354">
            <v>461636.83999999962</v>
          </cell>
          <cell r="L354">
            <v>280000</v>
          </cell>
          <cell r="O354" t="str">
            <v>Cambio</v>
          </cell>
        </row>
        <row r="355">
          <cell r="E355">
            <v>45813</v>
          </cell>
          <cell r="F355" t="str">
            <v>Imprevistos operativos</v>
          </cell>
          <cell r="G355" t="str">
            <v>Dirección de obra octubre- abril (diferencia por cuenta USD)</v>
          </cell>
          <cell r="H355" t="str">
            <v>Gómez Platero</v>
          </cell>
          <cell r="J355">
            <v>11722</v>
          </cell>
          <cell r="K355">
            <v>449914.83999999962</v>
          </cell>
        </row>
        <row r="356">
          <cell r="E356">
            <v>45813</v>
          </cell>
          <cell r="F356" t="str">
            <v>Imprevistos operativos</v>
          </cell>
          <cell r="G356" t="str">
            <v>Ing. Sanitario adicional por cambio barbacoas</v>
          </cell>
          <cell r="H356" t="str">
            <v>Estudio Pittamiglio</v>
          </cell>
          <cell r="J356">
            <v>95258</v>
          </cell>
          <cell r="K356">
            <v>354656.83999999962</v>
          </cell>
        </row>
        <row r="357">
          <cell r="E357">
            <v>45813</v>
          </cell>
          <cell r="F357" t="str">
            <v>Publicidad por etapa 1 y 2</v>
          </cell>
          <cell r="G357" t="str">
            <v>Servicio de comunicación mensual junio 2025</v>
          </cell>
          <cell r="H357" t="str">
            <v>Silvestre</v>
          </cell>
          <cell r="I357">
            <v>11000</v>
          </cell>
          <cell r="J357">
            <v>61000</v>
          </cell>
          <cell r="K357">
            <v>293656.83999999962</v>
          </cell>
        </row>
        <row r="358">
          <cell r="E358">
            <v>45813</v>
          </cell>
          <cell r="F358" t="str">
            <v>Agrimensura</v>
          </cell>
          <cell r="G358" t="str">
            <v>Ing. Agrimensor cuota 3/14 bimestre mayo-junio 2025</v>
          </cell>
          <cell r="H358" t="str">
            <v>Estudio Boix</v>
          </cell>
          <cell r="J358">
            <v>123333</v>
          </cell>
          <cell r="K358">
            <v>170323.83999999962</v>
          </cell>
        </row>
        <row r="359">
          <cell r="E359">
            <v>45814</v>
          </cell>
          <cell r="F359" t="str">
            <v>Imprevistos operativos</v>
          </cell>
          <cell r="G359" t="str">
            <v>Reacondicionamiento terreno sobre límite de propiedad hacia av italia</v>
          </cell>
          <cell r="H359" t="str">
            <v>Los Tanos</v>
          </cell>
          <cell r="I359">
            <v>13200</v>
          </cell>
          <cell r="J359">
            <v>73200</v>
          </cell>
          <cell r="K359">
            <v>97123.839999999618</v>
          </cell>
        </row>
        <row r="360">
          <cell r="E360">
            <v>45814</v>
          </cell>
          <cell r="F360" t="str">
            <v>Imprevistos operativos</v>
          </cell>
          <cell r="G360" t="str">
            <v>Gastos Bancarios</v>
          </cell>
          <cell r="H360" t="str">
            <v>Itaú</v>
          </cell>
          <cell r="J360">
            <v>78.91</v>
          </cell>
          <cell r="K360">
            <v>97044.929999999615</v>
          </cell>
        </row>
        <row r="361">
          <cell r="E361">
            <v>45814</v>
          </cell>
          <cell r="K361">
            <v>217044.92999999961</v>
          </cell>
          <cell r="L361">
            <v>120000</v>
          </cell>
          <cell r="O361" t="str">
            <v>Cambio</v>
          </cell>
        </row>
        <row r="362">
          <cell r="E362">
            <v>45817</v>
          </cell>
          <cell r="F362" t="str">
            <v>Publicidad por etapa 1 y 2</v>
          </cell>
          <cell r="G362" t="str">
            <v>Seña 50% pantallas verticales y mesa Summit</v>
          </cell>
          <cell r="H362" t="str">
            <v>Seven</v>
          </cell>
          <cell r="J362">
            <v>11600</v>
          </cell>
          <cell r="K362">
            <v>205444.92999999961</v>
          </cell>
        </row>
        <row r="363">
          <cell r="E363">
            <v>45817</v>
          </cell>
          <cell r="F363" t="str">
            <v>Imprevistos operativos</v>
          </cell>
          <cell r="G363" t="str">
            <v>Gastos Bancarios</v>
          </cell>
          <cell r="H363" t="str">
            <v>Itaú</v>
          </cell>
          <cell r="J363">
            <v>78.650000000000006</v>
          </cell>
          <cell r="K363">
            <v>205366.27999999962</v>
          </cell>
        </row>
        <row r="364">
          <cell r="E364">
            <v>45818</v>
          </cell>
          <cell r="F364" t="str">
            <v>ITP Etapa 1 y 2</v>
          </cell>
          <cell r="G364" t="str">
            <v>ITP 007 LIV 1</v>
          </cell>
          <cell r="H364" t="str">
            <v>ITP</v>
          </cell>
          <cell r="J364">
            <v>65245</v>
          </cell>
          <cell r="K364">
            <v>140121.27999999962</v>
          </cell>
        </row>
        <row r="365">
          <cell r="E365">
            <v>45818</v>
          </cell>
          <cell r="F365" t="str">
            <v>Imprevistos operativos</v>
          </cell>
          <cell r="G365" t="str">
            <v>Certificado especial para enajenar</v>
          </cell>
          <cell r="H365" t="str">
            <v>Estudio Ferulano</v>
          </cell>
          <cell r="I365">
            <v>1958</v>
          </cell>
          <cell r="J365">
            <v>11288</v>
          </cell>
          <cell r="K365">
            <v>128833.27999999962</v>
          </cell>
        </row>
        <row r="366">
          <cell r="E366">
            <v>45818</v>
          </cell>
          <cell r="F366" t="str">
            <v>Imprevistos operativos</v>
          </cell>
          <cell r="G366" t="str">
            <v>Gastos Bancarios</v>
          </cell>
          <cell r="H366" t="str">
            <v>Itaú</v>
          </cell>
          <cell r="J366">
            <v>78.69</v>
          </cell>
          <cell r="K366">
            <v>128754.58999999962</v>
          </cell>
        </row>
        <row r="367">
          <cell r="E367">
            <v>45820</v>
          </cell>
          <cell r="K367">
            <v>128894.58999999962</v>
          </cell>
          <cell r="L367">
            <v>140</v>
          </cell>
          <cell r="N367" t="str">
            <v>Ana Paysse</v>
          </cell>
          <cell r="O367" t="str">
            <v xml:space="preserve">Diferencia ITP 007 LIV 1 </v>
          </cell>
        </row>
        <row r="368">
          <cell r="E368">
            <v>45826</v>
          </cell>
          <cell r="F368" t="str">
            <v>Imprevistos operativos</v>
          </cell>
          <cell r="G368" t="str">
            <v>Ajuste proyecto ejecutivo colocación biobarda</v>
          </cell>
          <cell r="H368" t="str">
            <v>CSI Ingenieros</v>
          </cell>
          <cell r="I368">
            <v>18700</v>
          </cell>
          <cell r="J368">
            <v>103700</v>
          </cell>
          <cell r="K368">
            <v>25194.589999999618</v>
          </cell>
        </row>
        <row r="369">
          <cell r="E369">
            <v>45831</v>
          </cell>
          <cell r="K369">
            <v>2525194.59</v>
          </cell>
          <cell r="L369">
            <v>2500000</v>
          </cell>
          <cell r="O369" t="str">
            <v>Cambio</v>
          </cell>
        </row>
        <row r="370">
          <cell r="E370">
            <v>45831</v>
          </cell>
          <cell r="F370" t="str">
            <v>LLSS</v>
          </cell>
          <cell r="G370" t="str">
            <v>Leyes sociales mayo 2025</v>
          </cell>
          <cell r="H370" t="str">
            <v>BPS</v>
          </cell>
          <cell r="J370">
            <v>2431275</v>
          </cell>
          <cell r="K370">
            <v>93919.589999999851</v>
          </cell>
        </row>
        <row r="371">
          <cell r="E371">
            <v>45834</v>
          </cell>
          <cell r="F371" t="str">
            <v>Publicidad por etapa 1 y 2</v>
          </cell>
          <cell r="G371" t="str">
            <v>100 trípticos LIV para evento summit</v>
          </cell>
          <cell r="H371" t="str">
            <v>Gráfica Mosca</v>
          </cell>
          <cell r="I371">
            <v>2860</v>
          </cell>
          <cell r="J371">
            <v>15860</v>
          </cell>
          <cell r="K371">
            <v>78059.589999999851</v>
          </cell>
        </row>
        <row r="372">
          <cell r="E372">
            <v>45834</v>
          </cell>
          <cell r="F372" t="str">
            <v>Imprevistos operativos</v>
          </cell>
          <cell r="G372" t="str">
            <v>Planos para registro ph en banco</v>
          </cell>
          <cell r="H372" t="str">
            <v>Copiplan</v>
          </cell>
          <cell r="I372">
            <v>6056.83</v>
          </cell>
          <cell r="J372">
            <v>33588</v>
          </cell>
          <cell r="K372">
            <v>44471.589999999851</v>
          </cell>
        </row>
        <row r="373">
          <cell r="E373">
            <v>45834</v>
          </cell>
          <cell r="F373" t="str">
            <v>Imprevistos operativos</v>
          </cell>
          <cell r="G373" t="str">
            <v>Mesa comedor obra (Reintegro Luis Pedro)</v>
          </cell>
          <cell r="H373" t="str">
            <v>Electroventas</v>
          </cell>
          <cell r="I373">
            <v>1080.92</v>
          </cell>
          <cell r="J373">
            <v>5994.2</v>
          </cell>
          <cell r="K373">
            <v>38477.389999999854</v>
          </cell>
        </row>
        <row r="374">
          <cell r="E374">
            <v>45835</v>
          </cell>
          <cell r="K374">
            <v>12988477.390000001</v>
          </cell>
          <cell r="L374">
            <v>12950000</v>
          </cell>
          <cell r="O374" t="str">
            <v>Cambio</v>
          </cell>
        </row>
        <row r="375">
          <cell r="E375">
            <v>45835</v>
          </cell>
          <cell r="F375" t="str">
            <v>Obra constructora pesos</v>
          </cell>
          <cell r="G375" t="str">
            <v>Avance mayo 2025 (certificado 6) - retenciones y acopio</v>
          </cell>
          <cell r="H375" t="str">
            <v>Ceaosa</v>
          </cell>
          <cell r="J375">
            <v>12627328.210000001</v>
          </cell>
          <cell r="K375">
            <v>361149.1799999997</v>
          </cell>
        </row>
        <row r="376">
          <cell r="E376">
            <v>45835</v>
          </cell>
          <cell r="F376" t="str">
            <v>Ajuste paramétrico</v>
          </cell>
          <cell r="G376" t="str">
            <v>Ajuste paramétrico tercer adelanto 02/2025</v>
          </cell>
          <cell r="H376" t="str">
            <v>Ceaosa</v>
          </cell>
          <cell r="J376">
            <v>189932.05</v>
          </cell>
          <cell r="K376">
            <v>171217.12999999971</v>
          </cell>
        </row>
        <row r="377">
          <cell r="E377">
            <v>45835</v>
          </cell>
          <cell r="F377" t="str">
            <v>Ajuste paramétrico</v>
          </cell>
          <cell r="G377" t="str">
            <v>Ajuste paramétrico primer adelanto 12/2024</v>
          </cell>
          <cell r="H377" t="str">
            <v>Ceaosa</v>
          </cell>
          <cell r="J377">
            <v>53622.22</v>
          </cell>
          <cell r="K377">
            <v>117594.90999999971</v>
          </cell>
        </row>
        <row r="378">
          <cell r="E378">
            <v>45835</v>
          </cell>
          <cell r="F378" t="str">
            <v>Ajuste paramétrico</v>
          </cell>
          <cell r="G378" t="str">
            <v>Ajuste paramétrico segundo adelanto 01/2025</v>
          </cell>
          <cell r="H378" t="str">
            <v>Ceaosa</v>
          </cell>
          <cell r="J378">
            <v>52458.78</v>
          </cell>
          <cell r="K378">
            <v>65136.129999999714</v>
          </cell>
        </row>
        <row r="379">
          <cell r="E379">
            <v>45838</v>
          </cell>
          <cell r="F379" t="str">
            <v>Publicidad por etapa 1 y 2</v>
          </cell>
          <cell r="G379" t="str">
            <v>Saldo 50% pantallas led y mesa evento Summit</v>
          </cell>
          <cell r="H379" t="str">
            <v>Seven</v>
          </cell>
          <cell r="I379">
            <v>5104</v>
          </cell>
          <cell r="J379">
            <v>16704</v>
          </cell>
          <cell r="K379">
            <v>48432.129999999714</v>
          </cell>
        </row>
        <row r="380">
          <cell r="E380">
            <v>45838</v>
          </cell>
          <cell r="F380" t="str">
            <v>Imprevistos operativos</v>
          </cell>
          <cell r="G380" t="str">
            <v>Gastos Bancarios</v>
          </cell>
          <cell r="H380" t="str">
            <v>Itaú</v>
          </cell>
          <cell r="J380">
            <v>75.87</v>
          </cell>
          <cell r="K380">
            <v>48356.259999999711</v>
          </cell>
        </row>
        <row r="381">
          <cell r="E381">
            <v>45845</v>
          </cell>
          <cell r="K381">
            <v>678356.25999999966</v>
          </cell>
          <cell r="L381">
            <v>630000</v>
          </cell>
          <cell r="O381" t="str">
            <v>Cambio</v>
          </cell>
        </row>
        <row r="382">
          <cell r="E382">
            <v>45845</v>
          </cell>
          <cell r="F382" t="str">
            <v>Dirección de obra</v>
          </cell>
          <cell r="G382" t="str">
            <v>Dirección de obra mayo-junio 2025</v>
          </cell>
          <cell r="H382" t="str">
            <v>Gómez Platero</v>
          </cell>
          <cell r="J382">
            <v>635148</v>
          </cell>
          <cell r="K382">
            <v>43208.25999999966</v>
          </cell>
        </row>
        <row r="383">
          <cell r="E383">
            <v>45845</v>
          </cell>
          <cell r="F383" t="str">
            <v>Imprevistos operativos</v>
          </cell>
          <cell r="G383" t="str">
            <v>Planos</v>
          </cell>
          <cell r="H383" t="str">
            <v>Copiplan</v>
          </cell>
          <cell r="I383">
            <v>1207.48</v>
          </cell>
          <cell r="J383">
            <v>6696</v>
          </cell>
          <cell r="K383">
            <v>36512.25999999966</v>
          </cell>
        </row>
        <row r="384">
          <cell r="E384">
            <v>45847</v>
          </cell>
          <cell r="K384">
            <v>321512.25999999966</v>
          </cell>
          <cell r="L384">
            <v>285000</v>
          </cell>
          <cell r="O384" t="str">
            <v>Cambio</v>
          </cell>
        </row>
        <row r="385">
          <cell r="E385">
            <v>45853</v>
          </cell>
          <cell r="F385" t="str">
            <v>Publicidad por etapa 1 y 2</v>
          </cell>
          <cell r="G385" t="str">
            <v>Paquete anual (4 ediciones) - edición Delta</v>
          </cell>
          <cell r="H385" t="str">
            <v>Intercountries</v>
          </cell>
          <cell r="I385">
            <v>25080</v>
          </cell>
          <cell r="J385">
            <v>139080</v>
          </cell>
          <cell r="K385">
            <v>182432.25999999966</v>
          </cell>
        </row>
        <row r="386">
          <cell r="E386">
            <v>45853</v>
          </cell>
          <cell r="G386" t="str">
            <v>Edición delta Intercountries (se reintegra)</v>
          </cell>
          <cell r="H386" t="str">
            <v>Intercountries</v>
          </cell>
          <cell r="I386">
            <v>8360</v>
          </cell>
          <cell r="J386">
            <v>46360</v>
          </cell>
          <cell r="K386">
            <v>136072.25999999966</v>
          </cell>
        </row>
        <row r="387">
          <cell r="E387">
            <v>45853</v>
          </cell>
          <cell r="F387" t="str">
            <v>Publicidad por etapa 1 y 2</v>
          </cell>
          <cell r="G387" t="str">
            <v>Producción audiovisual junio (Luca Benites)</v>
          </cell>
          <cell r="H387" t="str">
            <v>Silvestre</v>
          </cell>
          <cell r="I387">
            <v>7700</v>
          </cell>
          <cell r="J387">
            <v>42700</v>
          </cell>
          <cell r="K387">
            <v>93372.25999999966</v>
          </cell>
        </row>
        <row r="388">
          <cell r="E388">
            <v>45853</v>
          </cell>
          <cell r="F388" t="str">
            <v>Publicidad por etapa 1 y 2</v>
          </cell>
          <cell r="G388" t="str">
            <v>Servicio de comunicación mensual julio</v>
          </cell>
          <cell r="H388" t="str">
            <v>Silvestre</v>
          </cell>
          <cell r="I388">
            <v>11000</v>
          </cell>
          <cell r="J388">
            <v>61000</v>
          </cell>
          <cell r="K388">
            <v>32372.25999999966</v>
          </cell>
        </row>
        <row r="389">
          <cell r="E389">
            <v>45859</v>
          </cell>
          <cell r="K389">
            <v>13512372.26</v>
          </cell>
          <cell r="L389">
            <v>13480000</v>
          </cell>
          <cell r="O389" t="str">
            <v>Cambio</v>
          </cell>
        </row>
        <row r="390">
          <cell r="E390">
            <v>45859</v>
          </cell>
          <cell r="F390" t="str">
            <v>Obra constructora pesos</v>
          </cell>
          <cell r="G390" t="str">
            <v>Avance junio 2025 (certificado 7) - retenciones y acopio</v>
          </cell>
          <cell r="H390" t="str">
            <v>Ceaosa</v>
          </cell>
          <cell r="J390">
            <v>13478225</v>
          </cell>
          <cell r="K390">
            <v>34147.259999999776</v>
          </cell>
        </row>
        <row r="391">
          <cell r="E391">
            <v>45860</v>
          </cell>
          <cell r="K391">
            <v>2804147.26</v>
          </cell>
          <cell r="L391">
            <v>2770000</v>
          </cell>
          <cell r="O391" t="str">
            <v>Cambio</v>
          </cell>
        </row>
        <row r="392">
          <cell r="E392">
            <v>45860</v>
          </cell>
          <cell r="F392" t="str">
            <v>LLSS</v>
          </cell>
          <cell r="G392" t="str">
            <v>Leyes sociales junio 2025</v>
          </cell>
          <cell r="H392" t="str">
            <v>BPS</v>
          </cell>
          <cell r="J392">
            <v>2771703</v>
          </cell>
          <cell r="K392">
            <v>32444.259999999776</v>
          </cell>
        </row>
        <row r="393">
          <cell r="E393">
            <v>45868</v>
          </cell>
          <cell r="K393">
            <v>1847444.2599999998</v>
          </cell>
          <cell r="L393">
            <v>1815000</v>
          </cell>
          <cell r="O393" t="str">
            <v>Cambio</v>
          </cell>
        </row>
        <row r="394">
          <cell r="E394">
            <v>45868</v>
          </cell>
          <cell r="F394" t="str">
            <v>Dirección de obra</v>
          </cell>
          <cell r="G394" t="str">
            <v>Dirección de obra junio-julio 2025</v>
          </cell>
          <cell r="H394" t="str">
            <v>Gómez Platero</v>
          </cell>
          <cell r="J394">
            <v>369584</v>
          </cell>
          <cell r="K394">
            <v>1477860.2599999998</v>
          </cell>
        </row>
        <row r="395">
          <cell r="E395">
            <v>45868</v>
          </cell>
          <cell r="F395" t="str">
            <v>Agrimensura</v>
          </cell>
          <cell r="G395" t="str">
            <v>Ing. Agrimensor cuota 4/14 bimestre julio-agosto 2025</v>
          </cell>
          <cell r="H395" t="str">
            <v>Estudio Boix</v>
          </cell>
          <cell r="J395">
            <v>123381.87</v>
          </cell>
          <cell r="K395">
            <v>1354478.3899999997</v>
          </cell>
        </row>
        <row r="396">
          <cell r="E396">
            <v>45869</v>
          </cell>
          <cell r="F396" t="str">
            <v>Ajuste paramétrico</v>
          </cell>
          <cell r="G396" t="str">
            <v>Ajuste paramétrico cuarto adelanto 03/2025</v>
          </cell>
          <cell r="H396" t="str">
            <v>Ceaosa</v>
          </cell>
          <cell r="J396">
            <v>357337.01</v>
          </cell>
          <cell r="K396">
            <v>997141.37999999966</v>
          </cell>
        </row>
        <row r="397">
          <cell r="E397">
            <v>45869</v>
          </cell>
          <cell r="F397" t="str">
            <v>Ajuste paramétrico</v>
          </cell>
          <cell r="G397" t="str">
            <v>Diferencia ajustes paramétricos marzo y abril 2025</v>
          </cell>
          <cell r="H397" t="str">
            <v>Ceaosa</v>
          </cell>
          <cell r="J397">
            <v>290</v>
          </cell>
          <cell r="K397">
            <v>996851.37999999966</v>
          </cell>
        </row>
        <row r="398">
          <cell r="E398">
            <v>45869</v>
          </cell>
          <cell r="F398" t="str">
            <v>Ajuste paramétrico</v>
          </cell>
          <cell r="G398" t="str">
            <v>Ajuste paramétrico quinto adelanto 04/2025</v>
          </cell>
          <cell r="H398" t="str">
            <v>Ceaosa</v>
          </cell>
          <cell r="J398">
            <v>404196.97</v>
          </cell>
          <cell r="K398">
            <v>592654.40999999968</v>
          </cell>
        </row>
        <row r="399">
          <cell r="E399">
            <v>45869</v>
          </cell>
          <cell r="F399" t="str">
            <v>Imprevistos obra</v>
          </cell>
          <cell r="G399" t="str">
            <v>Adicional certificado 1 OC2 Nuevo drenaje en perímetro de ascensores</v>
          </cell>
          <cell r="H399" t="str">
            <v>Ceaosa</v>
          </cell>
          <cell r="J399">
            <v>87561.5</v>
          </cell>
          <cell r="K399">
            <v>505092.90999999968</v>
          </cell>
        </row>
        <row r="400">
          <cell r="E400">
            <v>45869</v>
          </cell>
          <cell r="F400" t="str">
            <v>Imprevistos obra</v>
          </cell>
          <cell r="G400" t="str">
            <v xml:space="preserve">Adicional certificado 1 OC3 Instalación drenajes + cámaras + piedras sector descendido </v>
          </cell>
          <cell r="H400" t="str">
            <v>Ceaosa</v>
          </cell>
          <cell r="J400">
            <v>472616.07</v>
          </cell>
          <cell r="K400">
            <v>32476.839999999676</v>
          </cell>
        </row>
        <row r="401">
          <cell r="E401">
            <v>45876</v>
          </cell>
          <cell r="K401">
            <v>112476.83999999968</v>
          </cell>
          <cell r="L401">
            <v>80000</v>
          </cell>
          <cell r="O401" t="str">
            <v>Cambio</v>
          </cell>
        </row>
        <row r="402">
          <cell r="E402">
            <v>45877</v>
          </cell>
          <cell r="F402" t="str">
            <v>ITP Etapa 1 y 2</v>
          </cell>
          <cell r="G402" t="str">
            <v>ITP unidad 205 LIV 1</v>
          </cell>
          <cell r="H402" t="str">
            <v>ITP</v>
          </cell>
          <cell r="J402">
            <v>78588</v>
          </cell>
          <cell r="K402">
            <v>33888.839999999676</v>
          </cell>
        </row>
        <row r="403">
          <cell r="E403">
            <v>45877</v>
          </cell>
          <cell r="K403">
            <v>176027.83999999968</v>
          </cell>
          <cell r="L403">
            <v>142139</v>
          </cell>
          <cell r="O403" t="str">
            <v xml:space="preserve">Devolución garantía OSE </v>
          </cell>
        </row>
        <row r="404">
          <cell r="E404">
            <v>45882</v>
          </cell>
          <cell r="K404">
            <v>255623.13999999966</v>
          </cell>
          <cell r="L404">
            <v>79595.3</v>
          </cell>
          <cell r="O404" t="str">
            <v>Devolución UTE</v>
          </cell>
        </row>
        <row r="405">
          <cell r="E405">
            <v>45883</v>
          </cell>
          <cell r="F405" t="str">
            <v>Imprevistos operativos</v>
          </cell>
          <cell r="G405" t="str">
            <v>Gastos bancarios por dev garantía IMM</v>
          </cell>
          <cell r="H405" t="str">
            <v>Itaú</v>
          </cell>
          <cell r="J405">
            <v>399.87</v>
          </cell>
          <cell r="K405">
            <v>255223.26999999967</v>
          </cell>
        </row>
        <row r="406">
          <cell r="E406">
            <v>45883</v>
          </cell>
          <cell r="K406">
            <v>843223.26999999967</v>
          </cell>
          <cell r="L406">
            <v>588000</v>
          </cell>
          <cell r="O406" t="str">
            <v xml:space="preserve">Devolución IMM garantia </v>
          </cell>
        </row>
        <row r="407">
          <cell r="E407">
            <v>45883</v>
          </cell>
          <cell r="F407" t="str">
            <v>Ajuste paramétrico</v>
          </cell>
          <cell r="G407" t="str">
            <v>Ajuste paramétrico mayo 2025 (OP GP 63)</v>
          </cell>
          <cell r="H407" t="str">
            <v>Ceaosa</v>
          </cell>
          <cell r="J407">
            <v>736704</v>
          </cell>
          <cell r="K407">
            <v>106519.26999999967</v>
          </cell>
        </row>
        <row r="408">
          <cell r="E408">
            <v>45890</v>
          </cell>
          <cell r="K408">
            <v>2886519.2699999996</v>
          </cell>
          <cell r="L408">
            <v>2780000</v>
          </cell>
          <cell r="O408" t="str">
            <v>Cambio</v>
          </cell>
        </row>
        <row r="409">
          <cell r="E409">
            <v>45890</v>
          </cell>
          <cell r="F409" t="str">
            <v>LLSS</v>
          </cell>
          <cell r="G409" t="str">
            <v>Leyes sociales julio 2025</v>
          </cell>
          <cell r="H409" t="str">
            <v>BPS</v>
          </cell>
          <cell r="J409">
            <v>2868924</v>
          </cell>
          <cell r="K409">
            <v>17595.269999999553</v>
          </cell>
        </row>
        <row r="410">
          <cell r="E410">
            <v>45890</v>
          </cell>
          <cell r="K410">
            <v>937595.26999999955</v>
          </cell>
          <cell r="L410">
            <v>920000</v>
          </cell>
          <cell r="O410" t="str">
            <v xml:space="preserve">Devolución IMM garantia obras de saneamiento </v>
          </cell>
        </row>
        <row r="411">
          <cell r="E411">
            <v>45891</v>
          </cell>
          <cell r="K411">
            <v>1152595.2699999996</v>
          </cell>
          <cell r="L411">
            <v>215000</v>
          </cell>
          <cell r="O411" t="str">
            <v>Cambio</v>
          </cell>
        </row>
        <row r="412">
          <cell r="E412">
            <v>45891</v>
          </cell>
          <cell r="F412" t="str">
            <v>Ajuste paramétrico</v>
          </cell>
          <cell r="G412" t="str">
            <v>Ajuste paramétrico junio 2025 - retenciones</v>
          </cell>
          <cell r="H412" t="str">
            <v>Ceaosa</v>
          </cell>
          <cell r="J412">
            <v>781003.05</v>
          </cell>
          <cell r="K412">
            <v>371592.21999999951</v>
          </cell>
        </row>
        <row r="413">
          <cell r="E413">
            <v>45891</v>
          </cell>
          <cell r="F413" t="str">
            <v>Imprevistos obra</v>
          </cell>
          <cell r="G413" t="str">
            <v>Adicional OC04 modificación vigas certificado 1</v>
          </cell>
          <cell r="H413" t="str">
            <v>Ceaosa</v>
          </cell>
          <cell r="J413">
            <v>294416.40000000002</v>
          </cell>
          <cell r="K413">
            <v>77175.819999999483</v>
          </cell>
        </row>
        <row r="414">
          <cell r="E414">
            <v>45891</v>
          </cell>
          <cell r="F414" t="str">
            <v>Ajuste paramétrico</v>
          </cell>
          <cell r="G414" t="str">
            <v>AP adicional OC02 junio 2025</v>
          </cell>
          <cell r="H414" t="str">
            <v>Ceaosa</v>
          </cell>
          <cell r="J414">
            <v>6651.78</v>
          </cell>
          <cell r="K414">
            <v>70524.039999999484</v>
          </cell>
        </row>
        <row r="415">
          <cell r="E415">
            <v>45891</v>
          </cell>
          <cell r="F415" t="str">
            <v>Ajuste paramétrico</v>
          </cell>
          <cell r="G415" t="str">
            <v>AP adicional OC03 junio 2025</v>
          </cell>
          <cell r="H415" t="str">
            <v>Ceaosa</v>
          </cell>
          <cell r="J415">
            <v>35300.54</v>
          </cell>
          <cell r="K415">
            <v>35223.499999999483</v>
          </cell>
        </row>
        <row r="416">
          <cell r="E416">
            <v>45896</v>
          </cell>
          <cell r="K416">
            <v>14060223.5</v>
          </cell>
          <cell r="L416">
            <v>14025000</v>
          </cell>
          <cell r="O416" t="str">
            <v>Cambio</v>
          </cell>
        </row>
        <row r="417">
          <cell r="E417">
            <v>45896</v>
          </cell>
          <cell r="K417">
            <v>14060223.5</v>
          </cell>
        </row>
        <row r="418">
          <cell r="E418">
            <v>45896</v>
          </cell>
          <cell r="F418" t="str">
            <v>Obra constructora pesos</v>
          </cell>
          <cell r="G418" t="str">
            <v>Avance julio 2025 (certificado 8) - retenciones y acopio</v>
          </cell>
          <cell r="H418" t="str">
            <v>Ceaosa</v>
          </cell>
          <cell r="J418">
            <v>13924525.960000001</v>
          </cell>
          <cell r="K418">
            <v>135697.53999999911</v>
          </cell>
        </row>
        <row r="419">
          <cell r="E419">
            <v>45896</v>
          </cell>
          <cell r="F419" t="str">
            <v>Agrimensura</v>
          </cell>
          <cell r="G419" t="str">
            <v>Saldo 50% financiación bancaria + reintegro de gastos</v>
          </cell>
          <cell r="H419" t="str">
            <v>Estudio Boix</v>
          </cell>
          <cell r="J419">
            <v>110430</v>
          </cell>
          <cell r="K419">
            <v>25267.539999999106</v>
          </cell>
        </row>
        <row r="420">
          <cell r="E420">
            <v>45898</v>
          </cell>
          <cell r="K420">
            <v>640267.53999999911</v>
          </cell>
          <cell r="L420">
            <v>615000</v>
          </cell>
          <cell r="O420" t="str">
            <v>Cambio</v>
          </cell>
        </row>
        <row r="421">
          <cell r="E421">
            <v>45898</v>
          </cell>
          <cell r="F421" t="str">
            <v>Publicidad por etapa 1 y 2</v>
          </cell>
          <cell r="G421" t="str">
            <v>Servicio de comunicación mensual agosto</v>
          </cell>
          <cell r="H421" t="str">
            <v>Silvestre</v>
          </cell>
          <cell r="I421">
            <v>11000</v>
          </cell>
          <cell r="J421">
            <v>61000</v>
          </cell>
          <cell r="K421">
            <v>579267.53999999911</v>
          </cell>
        </row>
        <row r="422">
          <cell r="E422">
            <v>45898</v>
          </cell>
          <cell r="F422" t="str">
            <v>Publicidad por etapa 1 y 2</v>
          </cell>
          <cell r="G422" t="str">
            <v>Producción audiovisual abril (Obra LIV)</v>
          </cell>
          <cell r="H422" t="str">
            <v>Silvestre</v>
          </cell>
          <cell r="I422">
            <v>7700</v>
          </cell>
          <cell r="J422">
            <v>42700</v>
          </cell>
          <cell r="K422">
            <v>536567.53999999911</v>
          </cell>
        </row>
        <row r="423">
          <cell r="E423">
            <v>45898</v>
          </cell>
          <cell r="F423" t="str">
            <v>Publicidad por etapa 1 y 2</v>
          </cell>
          <cell r="G423" t="str">
            <v>Producción audiovisual julio (Obra LIV)</v>
          </cell>
          <cell r="H423" t="str">
            <v>Silvestre</v>
          </cell>
          <cell r="I423">
            <v>7700</v>
          </cell>
          <cell r="J423">
            <v>42700</v>
          </cell>
          <cell r="K423">
            <v>493867.53999999911</v>
          </cell>
        </row>
        <row r="424">
          <cell r="E424">
            <v>45898</v>
          </cell>
          <cell r="F424" t="str">
            <v>Dirección de obra</v>
          </cell>
          <cell r="G424" t="str">
            <v>Dirección de obra julio-agosto 2025</v>
          </cell>
          <cell r="H424" t="str">
            <v>Gómez Platero</v>
          </cell>
          <cell r="J424">
            <v>450247</v>
          </cell>
          <cell r="K424">
            <v>43620.539999999106</v>
          </cell>
        </row>
        <row r="425">
          <cell r="E425">
            <v>45901</v>
          </cell>
          <cell r="F425" t="str">
            <v>Publicidad por etapa 1 y 2</v>
          </cell>
          <cell r="G425" t="str">
            <v>Reparación cartel</v>
          </cell>
          <cell r="H425" t="str">
            <v>Grupo Gráfico</v>
          </cell>
          <cell r="I425">
            <v>1320</v>
          </cell>
          <cell r="J425">
            <v>7320</v>
          </cell>
          <cell r="K425">
            <v>36300.539999999106</v>
          </cell>
        </row>
        <row r="426">
          <cell r="E426">
            <v>45901</v>
          </cell>
          <cell r="F426" t="str">
            <v>Imprevistos operativos</v>
          </cell>
          <cell r="G426" t="str">
            <v>Gastos bancarios por dev garantía IMM</v>
          </cell>
          <cell r="H426" t="str">
            <v>Itaú</v>
          </cell>
          <cell r="J426">
            <v>75.989999999999995</v>
          </cell>
          <cell r="K426">
            <v>36224.549999999108</v>
          </cell>
        </row>
        <row r="427">
          <cell r="E427">
            <v>45915</v>
          </cell>
          <cell r="F427" t="str">
            <v>Imprevistos obra</v>
          </cell>
          <cell r="G427" t="str">
            <v>Pintura para arreglo cartel vallado (Reintegro LP)</v>
          </cell>
          <cell r="H427" t="str">
            <v>Kroser</v>
          </cell>
          <cell r="I427">
            <v>165.54</v>
          </cell>
          <cell r="J427">
            <v>918</v>
          </cell>
          <cell r="K427">
            <v>35306.549999999108</v>
          </cell>
        </row>
        <row r="428">
          <cell r="E428">
            <v>45915</v>
          </cell>
          <cell r="G428" t="str">
            <v>Cascos evento inmobiliarias (Reintegro LP)</v>
          </cell>
          <cell r="H428" t="str">
            <v>El Grifo</v>
          </cell>
          <cell r="I428">
            <v>353.44</v>
          </cell>
          <cell r="J428">
            <v>1960</v>
          </cell>
          <cell r="K428">
            <v>33346.549999999108</v>
          </cell>
        </row>
        <row r="429">
          <cell r="E429">
            <v>45919</v>
          </cell>
          <cell r="K429">
            <v>23703346.550000001</v>
          </cell>
          <cell r="L429">
            <v>23670000</v>
          </cell>
          <cell r="O429" t="str">
            <v>Cambio</v>
          </cell>
        </row>
        <row r="430">
          <cell r="E430">
            <v>45919</v>
          </cell>
          <cell r="F430" t="str">
            <v>LLSS</v>
          </cell>
          <cell r="G430" t="str">
            <v>Leyes sociales agosto 2025</v>
          </cell>
          <cell r="H430" t="str">
            <v>BPS</v>
          </cell>
          <cell r="J430">
            <v>3264717</v>
          </cell>
          <cell r="K430">
            <v>20438629.550000001</v>
          </cell>
        </row>
        <row r="431">
          <cell r="E431">
            <v>45919</v>
          </cell>
          <cell r="F431" t="str">
            <v>Obra constructora pesos</v>
          </cell>
          <cell r="G431" t="str">
            <v>Avance agosto 2025 (certificado 9) - retenciones y acopio</v>
          </cell>
          <cell r="H431" t="str">
            <v>Ceaosa</v>
          </cell>
          <cell r="J431">
            <v>19542434.510000002</v>
          </cell>
          <cell r="K431">
            <v>896195.03999999911</v>
          </cell>
        </row>
        <row r="432">
          <cell r="E432">
            <v>45919</v>
          </cell>
          <cell r="F432" t="str">
            <v>Ajuste paramétrico</v>
          </cell>
          <cell r="G432" t="str">
            <v>AP Julio 2025 (certificado 8)</v>
          </cell>
          <cell r="H432" t="str">
            <v>Ceaosa</v>
          </cell>
          <cell r="J432">
            <v>772426.8</v>
          </cell>
          <cell r="K432">
            <v>123768.23999999906</v>
          </cell>
        </row>
        <row r="433">
          <cell r="E433">
            <v>45919</v>
          </cell>
          <cell r="F433" t="str">
            <v>Ajuste paramétrico</v>
          </cell>
          <cell r="G433" t="str">
            <v>AP adicional OC 04</v>
          </cell>
          <cell r="H433" t="str">
            <v>Ceaosa</v>
          </cell>
          <cell r="J433">
            <v>15882.1</v>
          </cell>
          <cell r="K433">
            <v>107886.13999999905</v>
          </cell>
        </row>
        <row r="434">
          <cell r="E434">
            <v>45919</v>
          </cell>
          <cell r="F434" t="str">
            <v>Imprevistos operativos</v>
          </cell>
          <cell r="G434" t="str">
            <v>Certificado de gravámenes Bienes muebles (Reintegro FD)</v>
          </cell>
          <cell r="H434" t="str">
            <v>IMM</v>
          </cell>
          <cell r="J434">
            <v>2096</v>
          </cell>
          <cell r="K434">
            <v>105790.13999999905</v>
          </cell>
        </row>
        <row r="435">
          <cell r="E435">
            <v>45925</v>
          </cell>
          <cell r="F435" t="str">
            <v>ITP Etapa 1 y 2</v>
          </cell>
          <cell r="G435" t="str">
            <v>ITP unidad 004 LIV 1</v>
          </cell>
          <cell r="H435" t="str">
            <v>ITP</v>
          </cell>
          <cell r="J435">
            <v>49036</v>
          </cell>
          <cell r="K435">
            <v>56754.139999999054</v>
          </cell>
        </row>
        <row r="436">
          <cell r="E436">
            <v>45925</v>
          </cell>
          <cell r="F436" t="str">
            <v>Publicidad por etapa 1 y 2</v>
          </cell>
          <cell r="G436" t="str">
            <v xml:space="preserve">Seña 50% mesa ping pong, carrito de pop y animador evento Charlies </v>
          </cell>
          <cell r="H436" t="str">
            <v>Animate</v>
          </cell>
          <cell r="I436">
            <v>3036</v>
          </cell>
          <cell r="J436">
            <v>16836</v>
          </cell>
          <cell r="K436">
            <v>39918.139999999054</v>
          </cell>
        </row>
        <row r="437">
          <cell r="E437">
            <v>45926</v>
          </cell>
          <cell r="F437" t="str">
            <v>Publicidad por etapa 1 y 2</v>
          </cell>
          <cell r="G437" t="str">
            <v>Envío muestra remeras evento Charlies</v>
          </cell>
          <cell r="H437" t="str">
            <v>DAC</v>
          </cell>
          <cell r="J437">
            <v>218.36</v>
          </cell>
          <cell r="K437">
            <v>39699.779999999053</v>
          </cell>
        </row>
        <row r="438">
          <cell r="E438">
            <v>45929</v>
          </cell>
          <cell r="K438">
            <v>114699.77999999905</v>
          </cell>
          <cell r="L438">
            <v>75000</v>
          </cell>
          <cell r="O438" t="str">
            <v>Cambio</v>
          </cell>
        </row>
        <row r="439">
          <cell r="E439">
            <v>45929</v>
          </cell>
          <cell r="F439" t="str">
            <v>Publicidad por etapa 1 y 2</v>
          </cell>
          <cell r="G439" t="str">
            <v>Servicio de comunicación mensual septiembre</v>
          </cell>
          <cell r="H439" t="str">
            <v>Silvestre</v>
          </cell>
          <cell r="I439">
            <v>11000</v>
          </cell>
          <cell r="J439">
            <v>61000</v>
          </cell>
          <cell r="K439">
            <v>53699.779999999053</v>
          </cell>
        </row>
        <row r="440">
          <cell r="E440">
            <v>45929</v>
          </cell>
          <cell r="F440" t="str">
            <v>Publicidad por etapa 1 y 2</v>
          </cell>
          <cell r="G440" t="str">
            <v>Pauta septiembre (evento inmobiliarias)</v>
          </cell>
          <cell r="H440" t="str">
            <v>Casas y +</v>
          </cell>
          <cell r="I440">
            <v>3300</v>
          </cell>
          <cell r="J440">
            <v>18300</v>
          </cell>
          <cell r="K440">
            <v>35399.779999999053</v>
          </cell>
        </row>
        <row r="441">
          <cell r="E441">
            <v>45930</v>
          </cell>
          <cell r="F441" t="str">
            <v>Publicidad por etapa 1 y 2</v>
          </cell>
          <cell r="G441" t="str">
            <v>Bebidas evento inmobiliarias (Reintegro CDC)</v>
          </cell>
          <cell r="H441" t="str">
            <v xml:space="preserve">Devoto </v>
          </cell>
          <cell r="J441">
            <v>2479</v>
          </cell>
          <cell r="K441">
            <v>32920.779999999053</v>
          </cell>
        </row>
        <row r="442">
          <cell r="E442">
            <v>45930</v>
          </cell>
          <cell r="F442" t="str">
            <v>Publicidad por etapa 1 y 2</v>
          </cell>
          <cell r="G442" t="str">
            <v>Vasos evento inmobiliarias (Reintegro CDC)</v>
          </cell>
          <cell r="H442" t="str">
            <v>Manic</v>
          </cell>
          <cell r="J442">
            <v>990</v>
          </cell>
          <cell r="K442">
            <v>31930.779999999053</v>
          </cell>
        </row>
        <row r="443">
          <cell r="E443">
            <v>45930</v>
          </cell>
          <cell r="F443" t="str">
            <v>Publicidad por etapa 1 y 2</v>
          </cell>
          <cell r="G443" t="str">
            <v>Comida evento inmobiliarias (Reintegro CDC)</v>
          </cell>
          <cell r="H443" t="str">
            <v xml:space="preserve">Panadería del Museo </v>
          </cell>
          <cell r="J443">
            <v>2663</v>
          </cell>
          <cell r="K443">
            <v>29267.779999999053</v>
          </cell>
        </row>
        <row r="444">
          <cell r="E444">
            <v>45932</v>
          </cell>
          <cell r="F444" t="str">
            <v>Publicidad por etapa 1 y 2</v>
          </cell>
          <cell r="G444" t="str">
            <v>Renovación dominio livdistrict</v>
          </cell>
          <cell r="H444" t="str">
            <v>I+D media</v>
          </cell>
          <cell r="I444">
            <v>484</v>
          </cell>
          <cell r="J444">
            <v>2684</v>
          </cell>
          <cell r="K444">
            <v>26583.779999999053</v>
          </cell>
        </row>
        <row r="445">
          <cell r="E445">
            <v>45932</v>
          </cell>
          <cell r="F445" t="str">
            <v>Imprevistos operativos</v>
          </cell>
          <cell r="G445" t="str">
            <v>Gastos Bancarios</v>
          </cell>
          <cell r="H445" t="str">
            <v>Itaú</v>
          </cell>
          <cell r="J445">
            <v>75.760000000000005</v>
          </cell>
          <cell r="K445">
            <v>26508.019999999055</v>
          </cell>
        </row>
        <row r="446">
          <cell r="E446">
            <v>45932</v>
          </cell>
          <cell r="K446">
            <v>206508.01999999906</v>
          </cell>
          <cell r="L446">
            <v>180000</v>
          </cell>
          <cell r="O446" t="str">
            <v>Cambio</v>
          </cell>
        </row>
        <row r="447">
          <cell r="E447">
            <v>45932</v>
          </cell>
          <cell r="F447" t="str">
            <v>Publicidad por etapa 1 y 2</v>
          </cell>
          <cell r="G447" t="str">
            <v>Trípticos (300 unidades)</v>
          </cell>
          <cell r="H447" t="str">
            <v>Gráfica Mosca</v>
          </cell>
          <cell r="I447">
            <v>4986.74</v>
          </cell>
          <cell r="J447">
            <v>27653.74</v>
          </cell>
          <cell r="K447">
            <v>178854.27999999907</v>
          </cell>
        </row>
        <row r="448">
          <cell r="E448">
            <v>45932</v>
          </cell>
          <cell r="F448" t="str">
            <v>Publicidad por etapa 1 y 2</v>
          </cell>
          <cell r="G448" t="str">
            <v>Doble página Montevideo Post Cena Rostand</v>
          </cell>
          <cell r="H448" t="str">
            <v>Mola</v>
          </cell>
          <cell r="I448">
            <v>9900</v>
          </cell>
          <cell r="J448">
            <v>54900</v>
          </cell>
          <cell r="K448">
            <v>123954.27999999907</v>
          </cell>
        </row>
        <row r="449">
          <cell r="E449">
            <v>45932</v>
          </cell>
          <cell r="F449" t="str">
            <v>ITP Etapa 1 y 2</v>
          </cell>
          <cell r="G449" t="str">
            <v>ITP unidad 206 LIV 1</v>
          </cell>
          <cell r="H449" t="str">
            <v>ITP</v>
          </cell>
          <cell r="J449">
            <v>87690</v>
          </cell>
          <cell r="K449">
            <v>36264.279999999068</v>
          </cell>
        </row>
        <row r="450">
          <cell r="E450">
            <v>45936</v>
          </cell>
          <cell r="K450">
            <v>656264.2799999991</v>
          </cell>
          <cell r="L450">
            <v>620000</v>
          </cell>
          <cell r="O450" t="str">
            <v>Cambio</v>
          </cell>
        </row>
        <row r="451">
          <cell r="E451">
            <v>45936</v>
          </cell>
          <cell r="F451" t="str">
            <v>Publicidad por etapa 1 y 2</v>
          </cell>
          <cell r="G451" t="str">
            <v>Banderas evento Charlies</v>
          </cell>
          <cell r="H451" t="str">
            <v>PAM</v>
          </cell>
          <cell r="I451">
            <v>1724.8</v>
          </cell>
          <cell r="J451">
            <v>9565</v>
          </cell>
          <cell r="K451">
            <v>646699.2799999991</v>
          </cell>
        </row>
        <row r="452">
          <cell r="E452">
            <v>45936</v>
          </cell>
          <cell r="F452" t="str">
            <v>Dirección de obra</v>
          </cell>
          <cell r="G452" t="str">
            <v>Dirección de obra agosto-septiembre 2025</v>
          </cell>
          <cell r="H452" t="str">
            <v>Gómez Platero</v>
          </cell>
          <cell r="J452">
            <v>524015</v>
          </cell>
          <cell r="K452">
            <v>122684.2799999991</v>
          </cell>
        </row>
        <row r="453">
          <cell r="E453">
            <v>45936</v>
          </cell>
          <cell r="F453" t="str">
            <v>Publicidad por etapa 1 y 2</v>
          </cell>
          <cell r="G453" t="str">
            <v>Baños químicos evento Charlies</v>
          </cell>
          <cell r="H453" t="str">
            <v>Grupo Lusso</v>
          </cell>
          <cell r="I453">
            <v>1672</v>
          </cell>
          <cell r="J453">
            <v>9272</v>
          </cell>
          <cell r="K453">
            <v>113412.2799999991</v>
          </cell>
        </row>
        <row r="454">
          <cell r="E454">
            <v>45937</v>
          </cell>
          <cell r="G454" t="str">
            <v>Camisetas evento Charlies</v>
          </cell>
          <cell r="H454" t="str">
            <v>Tu publicidad</v>
          </cell>
          <cell r="J454">
            <v>45140</v>
          </cell>
          <cell r="K454">
            <v>68272.279999999097</v>
          </cell>
        </row>
        <row r="455">
          <cell r="E455">
            <v>45937</v>
          </cell>
          <cell r="F455" t="str">
            <v>Imprevistos operativos</v>
          </cell>
          <cell r="G455" t="str">
            <v>Gastos Bancarios</v>
          </cell>
          <cell r="H455" t="str">
            <v>Itaú</v>
          </cell>
          <cell r="J455">
            <v>75.8</v>
          </cell>
          <cell r="K455">
            <v>68196.479999999094</v>
          </cell>
        </row>
        <row r="456">
          <cell r="E456">
            <v>45937</v>
          </cell>
          <cell r="F456" t="str">
            <v>Publicidad por etapa 1 y 2</v>
          </cell>
          <cell r="G456" t="str">
            <v>Alquier mobiliario evento Charlies</v>
          </cell>
          <cell r="H456" t="str">
            <v>Azul eventos</v>
          </cell>
          <cell r="J456">
            <v>7600</v>
          </cell>
          <cell r="K456">
            <v>60596.479999999094</v>
          </cell>
        </row>
        <row r="457">
          <cell r="E457">
            <v>45937</v>
          </cell>
          <cell r="F457" t="str">
            <v>Imprevistos operativos</v>
          </cell>
          <cell r="G457" t="str">
            <v>Gastos Bancarios</v>
          </cell>
          <cell r="H457" t="str">
            <v>Itaú</v>
          </cell>
          <cell r="J457">
            <v>75.8</v>
          </cell>
          <cell r="K457">
            <v>60520.679999999091</v>
          </cell>
        </row>
        <row r="458">
          <cell r="E458">
            <v>45937</v>
          </cell>
          <cell r="K458">
            <v>105660.67999999909</v>
          </cell>
          <cell r="L458">
            <v>45140</v>
          </cell>
          <cell r="O458" t="str">
            <v>Reboto pago camisetas evento Charlies</v>
          </cell>
        </row>
        <row r="459">
          <cell r="E459">
            <v>45939</v>
          </cell>
          <cell r="F459" t="str">
            <v>Publicidad por etapa 1 y 2</v>
          </cell>
          <cell r="G459" t="str">
            <v>Camisetas evento Charlies</v>
          </cell>
          <cell r="H459" t="str">
            <v>Tu publicidad</v>
          </cell>
          <cell r="I459">
            <v>8140</v>
          </cell>
          <cell r="J459">
            <v>45140</v>
          </cell>
          <cell r="K459">
            <v>60520.679999999091</v>
          </cell>
        </row>
        <row r="460">
          <cell r="E460">
            <v>45939</v>
          </cell>
          <cell r="F460" t="str">
            <v>Imprevistos operativos</v>
          </cell>
          <cell r="G460" t="str">
            <v>Gastos Bancarios</v>
          </cell>
          <cell r="H460" t="str">
            <v>Itaú</v>
          </cell>
          <cell r="J460">
            <v>76.06</v>
          </cell>
          <cell r="K460">
            <v>60444.619999999093</v>
          </cell>
        </row>
        <row r="461">
          <cell r="E461">
            <v>45944</v>
          </cell>
          <cell r="F461" t="str">
            <v>Publicidad por etapa 1 y 2</v>
          </cell>
          <cell r="G461" t="str">
            <v>Servicio de seguridad evento Charlies</v>
          </cell>
          <cell r="H461" t="str">
            <v>Blitz</v>
          </cell>
          <cell r="I461">
            <v>3003</v>
          </cell>
          <cell r="J461">
            <v>16653</v>
          </cell>
          <cell r="K461">
            <v>43791.619999999093</v>
          </cell>
        </row>
        <row r="462">
          <cell r="E462">
            <v>45944</v>
          </cell>
          <cell r="F462" t="str">
            <v>Imprevistos operativos</v>
          </cell>
          <cell r="G462" t="str">
            <v>Gastos Bancarios</v>
          </cell>
          <cell r="H462" t="str">
            <v>Itaú</v>
          </cell>
          <cell r="J462">
            <v>76.150000000000006</v>
          </cell>
          <cell r="K462">
            <v>43715.469999999092</v>
          </cell>
        </row>
        <row r="463">
          <cell r="E463">
            <v>45944</v>
          </cell>
          <cell r="F463" t="str">
            <v>ITP Etapa 1 y 2</v>
          </cell>
          <cell r="G463" t="str">
            <v>Diferencia ITP unidad 206 LIV 1</v>
          </cell>
          <cell r="H463" t="str">
            <v xml:space="preserve">ITP </v>
          </cell>
          <cell r="J463">
            <v>333</v>
          </cell>
          <cell r="K463">
            <v>43382.469999999092</v>
          </cell>
        </row>
        <row r="464">
          <cell r="E464">
            <v>45945</v>
          </cell>
          <cell r="K464">
            <v>89742.469999999099</v>
          </cell>
          <cell r="L464">
            <v>46360</v>
          </cell>
          <cell r="N464" t="str">
            <v>Delta</v>
          </cell>
          <cell r="O464" t="str">
            <v>Reintegro salida Intercountries</v>
          </cell>
        </row>
        <row r="465">
          <cell r="E465">
            <v>45950</v>
          </cell>
          <cell r="F465" t="str">
            <v>Publicidad por etapa 1 y 2</v>
          </cell>
          <cell r="G465" t="str">
            <v>Muestras camisetas evento Charlies</v>
          </cell>
          <cell r="H465" t="str">
            <v>Talagorra</v>
          </cell>
          <cell r="I465">
            <v>77</v>
          </cell>
          <cell r="J465">
            <v>427</v>
          </cell>
          <cell r="K465">
            <v>89315.469999999099</v>
          </cell>
        </row>
        <row r="466">
          <cell r="E466">
            <v>45951</v>
          </cell>
          <cell r="F466" t="str">
            <v>Publicidad por etapa 1 y 2</v>
          </cell>
          <cell r="G466" t="str">
            <v>Alquiler mesa para folletos evento AyD</v>
          </cell>
          <cell r="H466" t="str">
            <v>Seven</v>
          </cell>
          <cell r="I466">
            <v>462</v>
          </cell>
          <cell r="J466">
            <v>2562</v>
          </cell>
          <cell r="K466">
            <v>86753.469999999099</v>
          </cell>
        </row>
        <row r="467">
          <cell r="E467">
            <v>45951</v>
          </cell>
          <cell r="F467" t="str">
            <v>Imprevistos operativos</v>
          </cell>
          <cell r="G467" t="str">
            <v>Gastos Bancarios</v>
          </cell>
          <cell r="H467" t="str">
            <v>Itaú</v>
          </cell>
          <cell r="J467">
            <v>75.61</v>
          </cell>
          <cell r="K467">
            <v>86677.859999999098</v>
          </cell>
        </row>
        <row r="468">
          <cell r="E468">
            <v>45951</v>
          </cell>
          <cell r="K468">
            <v>4861677.8599999994</v>
          </cell>
          <cell r="L468">
            <v>4775000</v>
          </cell>
          <cell r="O468" t="str">
            <v>Cambio</v>
          </cell>
        </row>
        <row r="469">
          <cell r="E469">
            <v>45951</v>
          </cell>
          <cell r="F469" t="str">
            <v>LLSS</v>
          </cell>
          <cell r="G469" t="str">
            <v>Leyes sociales septiembre 2025</v>
          </cell>
          <cell r="H469" t="str">
            <v>BPS</v>
          </cell>
          <cell r="J469">
            <v>3663307</v>
          </cell>
          <cell r="K469">
            <v>1198370.8599999994</v>
          </cell>
        </row>
        <row r="470">
          <cell r="E470">
            <v>45951</v>
          </cell>
          <cell r="F470" t="str">
            <v>Ajuste paramétrico</v>
          </cell>
          <cell r="G470" t="str">
            <v>Ajuste paramétrico agosto 2025</v>
          </cell>
          <cell r="H470" t="str">
            <v>Ceaosa</v>
          </cell>
          <cell r="J470">
            <v>1070103.51</v>
          </cell>
          <cell r="K470">
            <v>128267.34999999939</v>
          </cell>
        </row>
        <row r="471">
          <cell r="E471">
            <v>45952</v>
          </cell>
          <cell r="K471">
            <v>19063267.349999998</v>
          </cell>
          <cell r="L471">
            <v>18935000</v>
          </cell>
          <cell r="O471" t="str">
            <v>Cambio</v>
          </cell>
        </row>
        <row r="472">
          <cell r="E472">
            <v>45952</v>
          </cell>
          <cell r="F472" t="str">
            <v>Obra constructora pesos</v>
          </cell>
          <cell r="G472" t="str">
            <v>Certificado básico N10 septiembre 2025 - retenciones y descuentos aportes patronales</v>
          </cell>
          <cell r="H472" t="str">
            <v>Ceaosa</v>
          </cell>
          <cell r="J472">
            <v>18937000.079999998</v>
          </cell>
          <cell r="K472">
            <v>126267.26999999955</v>
          </cell>
        </row>
        <row r="473">
          <cell r="E473">
            <v>45953</v>
          </cell>
          <cell r="F473" t="str">
            <v>ITP Etapa 1 y 2</v>
          </cell>
          <cell r="G473" t="str">
            <v>ITP 104 LIV 1</v>
          </cell>
          <cell r="H473" t="str">
            <v>ITP</v>
          </cell>
          <cell r="J473">
            <v>93695</v>
          </cell>
          <cell r="K473">
            <v>32572.269999999553</v>
          </cell>
        </row>
        <row r="474">
          <cell r="E474">
            <v>45953</v>
          </cell>
          <cell r="K474">
            <v>112572.26999999955</v>
          </cell>
          <cell r="L474">
            <v>80000</v>
          </cell>
          <cell r="O474" t="str">
            <v>Cambio</v>
          </cell>
        </row>
        <row r="475">
          <cell r="E475">
            <v>45957</v>
          </cell>
          <cell r="F475" t="str">
            <v>Publicidad por etapa 1 y 2</v>
          </cell>
          <cell r="G475" t="str">
            <v>Saldo 50% evento Charlies + animador extra</v>
          </cell>
          <cell r="H475" t="str">
            <v>Animate</v>
          </cell>
          <cell r="I475">
            <v>5456</v>
          </cell>
          <cell r="J475">
            <v>30256</v>
          </cell>
          <cell r="K475">
            <v>82316.269999999553</v>
          </cell>
        </row>
        <row r="476">
          <cell r="E476">
            <v>45958</v>
          </cell>
          <cell r="F476" t="str">
            <v>ITP Etapa 1 y 2</v>
          </cell>
          <cell r="G476" t="str">
            <v>ITP 105 LIV 1</v>
          </cell>
          <cell r="H476" t="str">
            <v>ITP</v>
          </cell>
          <cell r="J476">
            <v>78709</v>
          </cell>
          <cell r="K476">
            <v>3607.269999999553</v>
          </cell>
        </row>
        <row r="477">
          <cell r="E477">
            <v>45960</v>
          </cell>
          <cell r="K477">
            <v>188607.26999999955</v>
          </cell>
          <cell r="L477">
            <v>185000</v>
          </cell>
          <cell r="O477" t="str">
            <v>Cambio</v>
          </cell>
        </row>
        <row r="478">
          <cell r="E478">
            <v>45960</v>
          </cell>
          <cell r="F478" t="str">
            <v>ITP Etapa 1 y 2</v>
          </cell>
          <cell r="G478" t="str">
            <v>ITP 501 LIV 2</v>
          </cell>
          <cell r="H478" t="str">
            <v>ITP</v>
          </cell>
          <cell r="J478">
            <v>155801</v>
          </cell>
          <cell r="K478">
            <v>32806.269999999553</v>
          </cell>
        </row>
        <row r="479">
          <cell r="E479">
            <v>45961</v>
          </cell>
          <cell r="F479" t="str">
            <v>Publicidad por etapa 1 y 2</v>
          </cell>
          <cell r="G479" t="str">
            <v>Ploteo mailbox Navidad (pago pendiente)</v>
          </cell>
          <cell r="H479" t="str">
            <v>Signstore</v>
          </cell>
          <cell r="I479">
            <v>1562</v>
          </cell>
          <cell r="J479">
            <v>8662</v>
          </cell>
          <cell r="K479">
            <v>24144.269999999553</v>
          </cell>
        </row>
        <row r="480">
          <cell r="E480">
            <v>45961</v>
          </cell>
          <cell r="F480" t="str">
            <v>Imprevistos operativos</v>
          </cell>
          <cell r="G480" t="str">
            <v>Gastos bancarios</v>
          </cell>
          <cell r="H480" t="str">
            <v>Itaú</v>
          </cell>
          <cell r="J480">
            <v>75.7</v>
          </cell>
          <cell r="K480">
            <v>24068.569999999552</v>
          </cell>
        </row>
        <row r="481">
          <cell r="E481">
            <v>45964</v>
          </cell>
          <cell r="K481">
            <v>869068.5699999996</v>
          </cell>
          <cell r="L481">
            <v>845000</v>
          </cell>
          <cell r="O481" t="str">
            <v>Cambio</v>
          </cell>
        </row>
        <row r="482">
          <cell r="E482">
            <v>45964</v>
          </cell>
          <cell r="F482" t="str">
            <v>Dirección de obra</v>
          </cell>
          <cell r="G482" t="str">
            <v>Dirección de obra septiembre-octubre 2025</v>
          </cell>
          <cell r="H482" t="str">
            <v>Gómez Platero</v>
          </cell>
          <cell r="J482">
            <v>523694</v>
          </cell>
          <cell r="K482">
            <v>345374.5699999996</v>
          </cell>
        </row>
        <row r="483">
          <cell r="E483">
            <v>45964</v>
          </cell>
          <cell r="F483" t="str">
            <v>Agrimensura</v>
          </cell>
          <cell r="G483" t="str">
            <v>Ing. Agrimensor cuota 5/14 bimestre septiembre-octubre 2025</v>
          </cell>
          <cell r="H483" t="str">
            <v>Estudio Boix</v>
          </cell>
          <cell r="J483">
            <v>123820.07</v>
          </cell>
          <cell r="K483">
            <v>221554.49999999959</v>
          </cell>
        </row>
        <row r="484">
          <cell r="E484">
            <v>45964</v>
          </cell>
          <cell r="F484" t="str">
            <v>Publicidad por etapa 1 y 2</v>
          </cell>
          <cell r="G484" t="str">
            <v>Servicio de comunicación octubre 2025</v>
          </cell>
          <cell r="H484" t="str">
            <v>Silvestre</v>
          </cell>
          <cell r="I484">
            <v>11000</v>
          </cell>
          <cell r="J484">
            <v>61000</v>
          </cell>
          <cell r="K484">
            <v>160554.49999999959</v>
          </cell>
        </row>
        <row r="485">
          <cell r="E485">
            <v>45964</v>
          </cell>
          <cell r="F485" t="str">
            <v>Publicidad por etapa 1 y 2</v>
          </cell>
          <cell r="G485" t="str">
            <v>Producción audiovisual septiembre 2025 (evento desayuno inmobiliarias)</v>
          </cell>
          <cell r="H485" t="str">
            <v>Silvestre</v>
          </cell>
          <cell r="I485">
            <v>7700</v>
          </cell>
          <cell r="J485">
            <v>42700</v>
          </cell>
          <cell r="K485">
            <v>117854.49999999959</v>
          </cell>
        </row>
        <row r="486">
          <cell r="E486">
            <v>45964</v>
          </cell>
          <cell r="F486" t="str">
            <v>Publicidad por etapa 1 y 2</v>
          </cell>
          <cell r="G486" t="str">
            <v>Producción audiovisual agosto (obra + Loli Ponce de León)</v>
          </cell>
          <cell r="H486" t="str">
            <v>Silvestre</v>
          </cell>
          <cell r="I486">
            <v>7700</v>
          </cell>
          <cell r="J486">
            <v>42700</v>
          </cell>
          <cell r="K486">
            <v>75154.499999999593</v>
          </cell>
        </row>
        <row r="487">
          <cell r="E487">
            <v>45965</v>
          </cell>
          <cell r="F487" t="str">
            <v>Publicidad por etapa 1 y 2</v>
          </cell>
          <cell r="G487" t="str">
            <v>Seña generador evento Cine</v>
          </cell>
          <cell r="H487" t="str">
            <v>ATG generadores</v>
          </cell>
          <cell r="J487">
            <v>25000</v>
          </cell>
          <cell r="K487">
            <v>50154.499999999593</v>
          </cell>
        </row>
        <row r="488">
          <cell r="E488">
            <v>45965</v>
          </cell>
          <cell r="F488" t="str">
            <v>Imprevistos operativos</v>
          </cell>
          <cell r="G488" t="str">
            <v>Gastos Bancarios</v>
          </cell>
          <cell r="H488" t="str">
            <v>Itaú</v>
          </cell>
          <cell r="J488">
            <v>75.540000000000006</v>
          </cell>
          <cell r="K488">
            <v>50078.959999999592</v>
          </cell>
        </row>
        <row r="489">
          <cell r="E489">
            <v>45965</v>
          </cell>
          <cell r="F489" t="str">
            <v>Publicidad por etapa 1 y 2</v>
          </cell>
          <cell r="G489" t="str">
            <v>Doble página revista AyD</v>
          </cell>
          <cell r="H489" t="str">
            <v>AyD</v>
          </cell>
          <cell r="I489">
            <v>7040</v>
          </cell>
          <cell r="J489">
            <v>39040</v>
          </cell>
          <cell r="K489">
            <v>11038.959999999592</v>
          </cell>
        </row>
        <row r="490">
          <cell r="E490">
            <v>45965</v>
          </cell>
          <cell r="F490" t="str">
            <v>Imprevistos operativos</v>
          </cell>
          <cell r="G490" t="str">
            <v>Gastos Bancarios</v>
          </cell>
          <cell r="H490" t="str">
            <v>Itaú</v>
          </cell>
          <cell r="J490">
            <v>75.540000000000006</v>
          </cell>
          <cell r="K490">
            <v>10963.419999999591</v>
          </cell>
        </row>
        <row r="491">
          <cell r="E491">
            <v>45968</v>
          </cell>
          <cell r="F491" t="str">
            <v>Publicidad por etapa 1 y 2</v>
          </cell>
          <cell r="G491" t="str">
            <v>Iluminación evento cine acopio 50%</v>
          </cell>
          <cell r="H491" t="str">
            <v>Seven</v>
          </cell>
          <cell r="J491">
            <v>37500</v>
          </cell>
          <cell r="K491">
            <v>-26536.580000000409</v>
          </cell>
        </row>
        <row r="492">
          <cell r="E492">
            <v>45968</v>
          </cell>
          <cell r="F492" t="str">
            <v>Imprevistos operativos</v>
          </cell>
          <cell r="G492" t="str">
            <v>Gastos Bancarios</v>
          </cell>
          <cell r="H492" t="str">
            <v>Itaú</v>
          </cell>
          <cell r="J492">
            <v>75.569999999999993</v>
          </cell>
          <cell r="K492">
            <v>-26612.150000000409</v>
          </cell>
        </row>
        <row r="493">
          <cell r="E493">
            <v>45968</v>
          </cell>
          <cell r="K493">
            <v>33387.849999999591</v>
          </cell>
          <cell r="L493">
            <v>60000</v>
          </cell>
          <cell r="O493" t="str">
            <v>Cambio</v>
          </cell>
        </row>
        <row r="494">
          <cell r="E494">
            <v>45975</v>
          </cell>
          <cell r="F494" t="str">
            <v>Obra constructora pesos</v>
          </cell>
          <cell r="G494" t="str">
            <v>Anticipo financiero 2 etapa 1 (1,5%)</v>
          </cell>
          <cell r="H494" t="str">
            <v>Ceaosa</v>
          </cell>
          <cell r="J494">
            <v>6701769</v>
          </cell>
          <cell r="K494">
            <v>-6668381.1500000004</v>
          </cell>
        </row>
        <row r="495">
          <cell r="E495">
            <v>45975</v>
          </cell>
          <cell r="F495" t="str">
            <v>Imprevistos operativos</v>
          </cell>
          <cell r="G495" t="str">
            <v>Gastos Bancarios</v>
          </cell>
          <cell r="H495" t="str">
            <v>Itaú</v>
          </cell>
          <cell r="J495">
            <v>397.57</v>
          </cell>
          <cell r="K495">
            <v>-6668778.7200000007</v>
          </cell>
        </row>
        <row r="496">
          <cell r="E496">
            <v>45975</v>
          </cell>
          <cell r="F496" t="str">
            <v>Publicidad por etapa 1 y 2</v>
          </cell>
          <cell r="G496" t="str">
            <v>Saldo 50% + IVA iluminación evento cine</v>
          </cell>
          <cell r="H496" t="str">
            <v>Seven</v>
          </cell>
          <cell r="I496">
            <v>16500</v>
          </cell>
          <cell r="J496">
            <v>54000</v>
          </cell>
          <cell r="K496">
            <v>-6722778.7200000007</v>
          </cell>
        </row>
        <row r="497">
          <cell r="E497">
            <v>45975</v>
          </cell>
          <cell r="F497" t="str">
            <v>Imprevistos operativos</v>
          </cell>
          <cell r="G497" t="str">
            <v>Gastos Bancarios</v>
          </cell>
          <cell r="H497" t="str">
            <v>Itaú</v>
          </cell>
          <cell r="J497">
            <v>75.540000000000006</v>
          </cell>
          <cell r="K497">
            <v>-6722854.2600000007</v>
          </cell>
        </row>
        <row r="498">
          <cell r="E498">
            <v>45975</v>
          </cell>
          <cell r="F498" t="str">
            <v>Publicidad por etapa 1 y 2</v>
          </cell>
          <cell r="G498" t="str">
            <v>Saldo generador evento Cine</v>
          </cell>
          <cell r="H498" t="str">
            <v>ATG generadores</v>
          </cell>
          <cell r="I498">
            <v>8338</v>
          </cell>
          <cell r="J498">
            <v>23727</v>
          </cell>
          <cell r="K498">
            <v>-6746581.2600000007</v>
          </cell>
        </row>
        <row r="499">
          <cell r="E499">
            <v>45975</v>
          </cell>
          <cell r="F499" t="str">
            <v>Imprevistos operativos</v>
          </cell>
          <cell r="G499" t="str">
            <v>Gastos Bancarios</v>
          </cell>
          <cell r="H499" t="str">
            <v>Itaú</v>
          </cell>
          <cell r="J499">
            <v>75.540000000000006</v>
          </cell>
          <cell r="K499">
            <v>-6746656.8000000007</v>
          </cell>
        </row>
        <row r="500">
          <cell r="E500">
            <v>45975</v>
          </cell>
          <cell r="K500">
            <v>388343.19999999925</v>
          </cell>
          <cell r="L500">
            <v>7135000</v>
          </cell>
          <cell r="O500" t="str">
            <v>Cambio</v>
          </cell>
        </row>
        <row r="501">
          <cell r="E501">
            <v>45975</v>
          </cell>
          <cell r="F501" t="str">
            <v>ITP Etapa 1 y 2</v>
          </cell>
          <cell r="G501" t="str">
            <v>ITP LIV 1 005</v>
          </cell>
          <cell r="H501" t="str">
            <v>ITP</v>
          </cell>
          <cell r="J501">
            <v>49441</v>
          </cell>
          <cell r="K501">
            <v>338902.19999999925</v>
          </cell>
        </row>
        <row r="502">
          <cell r="E502">
            <v>45975</v>
          </cell>
          <cell r="F502" t="str">
            <v>Publicidad por etapa 1 y 2</v>
          </cell>
          <cell r="G502" t="str">
            <v>Seña 50% decoración navidad plaza</v>
          </cell>
          <cell r="H502" t="str">
            <v>Effas</v>
          </cell>
          <cell r="I502">
            <v>51480</v>
          </cell>
          <cell r="J502">
            <v>285480</v>
          </cell>
          <cell r="K502">
            <v>53422.199999999255</v>
          </cell>
        </row>
        <row r="503">
          <cell r="E503">
            <v>45975</v>
          </cell>
          <cell r="F503" t="str">
            <v>Publicidad por etapa 1 y 2</v>
          </cell>
          <cell r="G503" t="str">
            <v>Vallado evento cine</v>
          </cell>
          <cell r="H503" t="str">
            <v>El Alero</v>
          </cell>
          <cell r="I503">
            <v>2970</v>
          </cell>
          <cell r="J503">
            <v>16470</v>
          </cell>
          <cell r="K503">
            <v>36952.199999999255</v>
          </cell>
        </row>
        <row r="504">
          <cell r="E504">
            <v>45975</v>
          </cell>
          <cell r="F504" t="str">
            <v>Publicidad por etapa 1 y 2</v>
          </cell>
          <cell r="G504" t="str">
            <v>DJ evento Cine</v>
          </cell>
          <cell r="H504" t="str">
            <v>Marcos Castiglioni</v>
          </cell>
          <cell r="J504">
            <v>6000</v>
          </cell>
          <cell r="K504">
            <v>30952.199999999255</v>
          </cell>
        </row>
        <row r="505">
          <cell r="E505">
            <v>45978</v>
          </cell>
          <cell r="F505" t="str">
            <v>Imprevistos operativos</v>
          </cell>
          <cell r="G505" t="str">
            <v>Timbre por vinculación Fabatec</v>
          </cell>
          <cell r="H505" t="str">
            <v>BPS</v>
          </cell>
          <cell r="J505">
            <v>260</v>
          </cell>
          <cell r="K505">
            <v>30692.199999999255</v>
          </cell>
        </row>
        <row r="506">
          <cell r="E506">
            <v>45978</v>
          </cell>
          <cell r="F506" t="str">
            <v>Imprevistos obra</v>
          </cell>
          <cell r="G506" t="str">
            <v>Tapas de cámaras veredas (Reintegro LP)</v>
          </cell>
          <cell r="H506" t="str">
            <v>Reyviloc SAS</v>
          </cell>
          <cell r="I506">
            <v>264</v>
          </cell>
          <cell r="J506">
            <v>1464</v>
          </cell>
          <cell r="K506">
            <v>29228.199999999255</v>
          </cell>
        </row>
        <row r="507">
          <cell r="E507">
            <v>45980</v>
          </cell>
          <cell r="F507" t="str">
            <v>Publicidad por etapa 1 y 2</v>
          </cell>
          <cell r="G507" t="str">
            <v>Seña 50% gorros cena Rostand</v>
          </cell>
          <cell r="H507" t="str">
            <v>Talagorra</v>
          </cell>
          <cell r="I507">
            <v>4818</v>
          </cell>
          <cell r="J507">
            <v>26718</v>
          </cell>
          <cell r="K507">
            <v>2510.1999999992549</v>
          </cell>
        </row>
        <row r="508">
          <cell r="E508">
            <v>45982</v>
          </cell>
          <cell r="K508">
            <v>26212510.199999999</v>
          </cell>
          <cell r="L508">
            <v>26210000</v>
          </cell>
          <cell r="O508" t="str">
            <v>Cambio</v>
          </cell>
        </row>
        <row r="509">
          <cell r="E509">
            <v>45982</v>
          </cell>
          <cell r="F509" t="str">
            <v>LLSS</v>
          </cell>
          <cell r="G509" t="str">
            <v>Leyes sociales octubre 2025</v>
          </cell>
          <cell r="H509" t="str">
            <v>BPS</v>
          </cell>
          <cell r="J509">
            <v>4427004</v>
          </cell>
          <cell r="K509">
            <v>21785506.199999999</v>
          </cell>
        </row>
        <row r="510">
          <cell r="E510">
            <v>45982</v>
          </cell>
          <cell r="K510">
            <v>21785506.199999999</v>
          </cell>
          <cell r="O510" t="str">
            <v>Cambio</v>
          </cell>
        </row>
        <row r="511">
          <cell r="E511">
            <v>45982</v>
          </cell>
          <cell r="F511" t="str">
            <v>Obra constructora pesos</v>
          </cell>
          <cell r="G511" t="str">
            <v>Certificado básico N11 octubre 2025 - retenciones y descuentos aportes patronales</v>
          </cell>
          <cell r="H511" t="str">
            <v>Ceaosa</v>
          </cell>
          <cell r="J511">
            <v>21738238.850000001</v>
          </cell>
          <cell r="K511">
            <v>47267.349999997765</v>
          </cell>
        </row>
        <row r="512">
          <cell r="E512">
            <v>45985</v>
          </cell>
          <cell r="F512" t="str">
            <v>Publicidad por etapa 1 y 2</v>
          </cell>
          <cell r="G512" t="str">
            <v>Saldo 50% gorros cena Rostand</v>
          </cell>
          <cell r="H512" t="str">
            <v>Talagorra</v>
          </cell>
          <cell r="I512">
            <v>4818</v>
          </cell>
          <cell r="J512">
            <v>26718</v>
          </cell>
          <cell r="K512">
            <v>20549.349999997765</v>
          </cell>
        </row>
        <row r="513">
          <cell r="E513">
            <v>45986</v>
          </cell>
          <cell r="F513" t="str">
            <v>Publicidad por etapa 1 y 2</v>
          </cell>
          <cell r="G513" t="str">
            <v>Seña 50% selfie stick evento navidad</v>
          </cell>
          <cell r="H513" t="str">
            <v>Agroventas</v>
          </cell>
          <cell r="I513">
            <v>781</v>
          </cell>
          <cell r="J513">
            <v>4331</v>
          </cell>
          <cell r="K513">
            <v>16218.349999997765</v>
          </cell>
        </row>
        <row r="514">
          <cell r="E514">
            <v>45986</v>
          </cell>
          <cell r="F514" t="str">
            <v>Imprevistos operativos</v>
          </cell>
          <cell r="G514" t="str">
            <v>Gastos Bancarios</v>
          </cell>
          <cell r="H514" t="str">
            <v>Itaú</v>
          </cell>
          <cell r="J514">
            <v>75.459999999999994</v>
          </cell>
          <cell r="K514">
            <v>16142.889999997766</v>
          </cell>
        </row>
        <row r="515">
          <cell r="E515">
            <v>45987</v>
          </cell>
          <cell r="K515">
            <v>146142.88999999777</v>
          </cell>
          <cell r="L515">
            <v>130000</v>
          </cell>
          <cell r="O515" t="str">
            <v>Cambio</v>
          </cell>
        </row>
        <row r="516">
          <cell r="E516">
            <v>45988</v>
          </cell>
          <cell r="F516" t="str">
            <v>Publicidad por etapa 1 y 2</v>
          </cell>
          <cell r="G516" t="str">
            <v>Banco madera evento Navidad (Reintegro CDC)</v>
          </cell>
          <cell r="H516" t="str">
            <v>Divino</v>
          </cell>
          <cell r="J516">
            <v>9687</v>
          </cell>
          <cell r="K516">
            <v>136455.88999999777</v>
          </cell>
        </row>
        <row r="517">
          <cell r="E517">
            <v>45989</v>
          </cell>
          <cell r="F517" t="str">
            <v>Publicidad por etapa 1 y 2</v>
          </cell>
          <cell r="G517" t="str">
            <v>Envío gorros cena Rostand (reintegro Lu Ticozzi)</v>
          </cell>
          <cell r="H517" t="str">
            <v>DAC</v>
          </cell>
          <cell r="J517">
            <v>590.16</v>
          </cell>
          <cell r="K517">
            <v>135865.72999999777</v>
          </cell>
        </row>
        <row r="518">
          <cell r="E518">
            <v>45989</v>
          </cell>
          <cell r="F518" t="str">
            <v>Imprevistos operativos</v>
          </cell>
          <cell r="G518" t="str">
            <v>Gastos bancarios</v>
          </cell>
          <cell r="H518" t="str">
            <v>Itaú</v>
          </cell>
          <cell r="J518">
            <v>74.989999999999995</v>
          </cell>
          <cell r="K518">
            <v>135790.73999999778</v>
          </cell>
        </row>
        <row r="519">
          <cell r="E519">
            <v>45992</v>
          </cell>
          <cell r="F519" t="str">
            <v>ITP Etapa 1 y 2</v>
          </cell>
          <cell r="G519" t="str">
            <v>ITP unidad 301 LIV 2</v>
          </cell>
          <cell r="H519" t="str">
            <v>ITP</v>
          </cell>
          <cell r="J519">
            <v>117214</v>
          </cell>
          <cell r="K519">
            <v>18576.739999997779</v>
          </cell>
        </row>
        <row r="520">
          <cell r="E520">
            <v>45994</v>
          </cell>
          <cell r="K520">
            <v>1968576.7399999979</v>
          </cell>
          <cell r="L520">
            <v>1950000</v>
          </cell>
          <cell r="O520" t="str">
            <v>Cambio</v>
          </cell>
        </row>
        <row r="521">
          <cell r="E521">
            <v>45994</v>
          </cell>
          <cell r="F521" t="str">
            <v>Dirección de obra</v>
          </cell>
          <cell r="G521" t="str">
            <v>Dirección de obra octubre-noviembre 2025</v>
          </cell>
          <cell r="H521" t="str">
            <v>Gómez Platero</v>
          </cell>
          <cell r="J521">
            <v>724226</v>
          </cell>
          <cell r="K521">
            <v>1244350.7399999979</v>
          </cell>
        </row>
        <row r="522">
          <cell r="E522">
            <v>45994</v>
          </cell>
          <cell r="F522" t="str">
            <v>Ajuste paramétrico</v>
          </cell>
          <cell r="G522" t="str">
            <v>AP septiembre 2025 - retenciones</v>
          </cell>
          <cell r="H522" t="str">
            <v>Ceaosa</v>
          </cell>
          <cell r="J522">
            <v>1050645.24</v>
          </cell>
          <cell r="K522">
            <v>193705.4999999979</v>
          </cell>
        </row>
        <row r="523">
          <cell r="E523">
            <v>45994</v>
          </cell>
          <cell r="F523" t="str">
            <v>Imprevistos operativos</v>
          </cell>
          <cell r="G523" t="str">
            <v>Planos para escribanía</v>
          </cell>
          <cell r="H523" t="str">
            <v>Copiplan</v>
          </cell>
          <cell r="I523">
            <v>1285.3699999999999</v>
          </cell>
          <cell r="J523">
            <v>7128</v>
          </cell>
          <cell r="K523">
            <v>186577.4999999979</v>
          </cell>
        </row>
        <row r="524">
          <cell r="E524">
            <v>45994</v>
          </cell>
          <cell r="F524" t="str">
            <v>Publicidad por etapa 1 y 2</v>
          </cell>
          <cell r="G524" t="str">
            <v>Servicio de comunicación noviembre 2025</v>
          </cell>
          <cell r="H524" t="str">
            <v>Silvestre</v>
          </cell>
          <cell r="I524">
            <v>11000</v>
          </cell>
          <cell r="J524">
            <v>61000</v>
          </cell>
          <cell r="K524">
            <v>125577.4999999979</v>
          </cell>
        </row>
        <row r="525">
          <cell r="E525">
            <v>45994</v>
          </cell>
          <cell r="F525" t="str">
            <v>Publicidad por etapa 1 y 2</v>
          </cell>
          <cell r="G525" t="str">
            <v>50% participación evento Casas y +</v>
          </cell>
          <cell r="H525" t="str">
            <v>Casas y +</v>
          </cell>
          <cell r="I525">
            <v>7150</v>
          </cell>
          <cell r="J525">
            <v>39650</v>
          </cell>
          <cell r="K525">
            <v>85927.499999997905</v>
          </cell>
        </row>
        <row r="526">
          <cell r="E526">
            <v>45994</v>
          </cell>
          <cell r="F526" t="str">
            <v>Publicidad por etapa 1 y 2</v>
          </cell>
          <cell r="G526" t="str">
            <v>Pauta en casas y + noviembre 2025</v>
          </cell>
          <cell r="H526" t="str">
            <v>Casas y +</v>
          </cell>
          <cell r="I526">
            <v>3300</v>
          </cell>
          <cell r="J526">
            <v>18300</v>
          </cell>
          <cell r="K526">
            <v>67627.499999997905</v>
          </cell>
        </row>
        <row r="527">
          <cell r="E527">
            <v>45995</v>
          </cell>
          <cell r="F527" t="str">
            <v>Publicidad por etapa 1 y 2</v>
          </cell>
          <cell r="G527" t="str">
            <v>Seguridad física evento cine</v>
          </cell>
          <cell r="H527" t="str">
            <v>Blitz</v>
          </cell>
          <cell r="I527">
            <v>3773</v>
          </cell>
          <cell r="J527">
            <v>20923</v>
          </cell>
          <cell r="K527">
            <v>46704.499999997905</v>
          </cell>
        </row>
        <row r="528">
          <cell r="E528">
            <v>45995</v>
          </cell>
          <cell r="F528" t="str">
            <v>Imprevistos operativos</v>
          </cell>
          <cell r="G528" t="str">
            <v>Gastos Bancarios</v>
          </cell>
          <cell r="H528" t="str">
            <v>Itaú</v>
          </cell>
          <cell r="J528">
            <v>74.28</v>
          </cell>
          <cell r="K528">
            <v>46630.219999997906</v>
          </cell>
        </row>
        <row r="529">
          <cell r="E529">
            <v>45995</v>
          </cell>
          <cell r="F529" t="str">
            <v>Imprevistos operativos</v>
          </cell>
          <cell r="G529" t="str">
            <v>Reparación sanitaria plaza</v>
          </cell>
          <cell r="H529" t="str">
            <v>Barreto e hijos</v>
          </cell>
          <cell r="I529">
            <v>2156</v>
          </cell>
          <cell r="J529">
            <v>11956</v>
          </cell>
          <cell r="K529">
            <v>34674.219999997906</v>
          </cell>
        </row>
        <row r="530">
          <cell r="E530">
            <v>45995</v>
          </cell>
          <cell r="F530" t="str">
            <v>Imprevistos operativos</v>
          </cell>
          <cell r="G530" t="str">
            <v>Gastos Bancarios</v>
          </cell>
          <cell r="H530" t="str">
            <v>Itaú</v>
          </cell>
          <cell r="J530">
            <v>74.28</v>
          </cell>
          <cell r="K530">
            <v>34599.939999997907</v>
          </cell>
        </row>
        <row r="531">
          <cell r="E531">
            <v>46010</v>
          </cell>
          <cell r="K531">
            <v>25784599.939999998</v>
          </cell>
          <cell r="L531">
            <v>25750000</v>
          </cell>
          <cell r="O531" t="str">
            <v>Cambio</v>
          </cell>
        </row>
        <row r="532">
          <cell r="E532">
            <v>46010</v>
          </cell>
          <cell r="F532" t="str">
            <v>Obra constructora pesos</v>
          </cell>
          <cell r="G532" t="str">
            <v>Certificado básico noviembre 2025 - retenciones - aportes patronales</v>
          </cell>
          <cell r="H532" t="str">
            <v>Ceaosa</v>
          </cell>
          <cell r="J532">
            <v>19685083.109999999</v>
          </cell>
          <cell r="K532">
            <v>6099516.8299999982</v>
          </cell>
        </row>
        <row r="533">
          <cell r="E533">
            <v>46010</v>
          </cell>
          <cell r="F533" t="str">
            <v>Ajuste paramétrico</v>
          </cell>
          <cell r="G533" t="str">
            <v>Ajuste paramétrico octubre 2025 - retenciones</v>
          </cell>
          <cell r="H533" t="str">
            <v>Ceaosa</v>
          </cell>
          <cell r="J533">
            <v>1329733.01</v>
          </cell>
          <cell r="K533">
            <v>4769783.8199999984</v>
          </cell>
        </row>
        <row r="534">
          <cell r="E534">
            <v>46010</v>
          </cell>
          <cell r="F534" t="str">
            <v>Obra constructora pesos</v>
          </cell>
          <cell r="G534" t="str">
            <v>Desacopio 2 certificado básico octubre (no correspondía)</v>
          </cell>
          <cell r="H534" t="str">
            <v>Ceaosa</v>
          </cell>
          <cell r="J534">
            <v>508506.81</v>
          </cell>
          <cell r="K534">
            <v>4261277.0099999988</v>
          </cell>
        </row>
        <row r="535">
          <cell r="E535">
            <v>46010</v>
          </cell>
          <cell r="K535">
            <v>4261277.0099999988</v>
          </cell>
          <cell r="O535" t="str">
            <v>Cambio</v>
          </cell>
        </row>
        <row r="536">
          <cell r="E536">
            <v>46010</v>
          </cell>
          <cell r="F536" t="str">
            <v>LLSS</v>
          </cell>
          <cell r="G536" t="str">
            <v>Leyes sociales noviembre 2025</v>
          </cell>
          <cell r="H536" t="str">
            <v>BPS</v>
          </cell>
          <cell r="J536">
            <v>4247692</v>
          </cell>
          <cell r="K536">
            <v>13585.009999998845</v>
          </cell>
        </row>
        <row r="537">
          <cell r="E537">
            <v>46010</v>
          </cell>
          <cell r="F537" t="str">
            <v>Publicidad por etapa 1 y 2</v>
          </cell>
          <cell r="G537" t="str">
            <v>Bebidas evento navidad (Reintegro CDC)</v>
          </cell>
          <cell r="H537" t="str">
            <v>Devoto</v>
          </cell>
          <cell r="J537">
            <v>4214.1000000000004</v>
          </cell>
          <cell r="K537">
            <v>9370.9099999988448</v>
          </cell>
        </row>
        <row r="538">
          <cell r="E538">
            <v>46010</v>
          </cell>
          <cell r="F538" t="str">
            <v>Publicidad por etapa 1 y 2</v>
          </cell>
          <cell r="G538" t="str">
            <v>Hielos evento navidad (Reintegro CDC)</v>
          </cell>
          <cell r="H538" t="str">
            <v>Devoto</v>
          </cell>
          <cell r="J538">
            <v>256</v>
          </cell>
          <cell r="K538">
            <v>9114.9099999988448</v>
          </cell>
        </row>
        <row r="539">
          <cell r="E539">
            <v>46013</v>
          </cell>
          <cell r="F539" t="str">
            <v>Publicidad por etapa 1 y 2</v>
          </cell>
          <cell r="G539" t="str">
            <v>Materiales cerco navidad (reintegro LP)</v>
          </cell>
          <cell r="H539" t="str">
            <v>Kroser</v>
          </cell>
          <cell r="I539">
            <v>332.7</v>
          </cell>
          <cell r="J539">
            <v>1844.99</v>
          </cell>
          <cell r="K539">
            <v>7269.919999998845</v>
          </cell>
        </row>
        <row r="540">
          <cell r="E540">
            <v>46013</v>
          </cell>
          <cell r="F540" t="str">
            <v>Imprevistos operativos</v>
          </cell>
          <cell r="G540" t="str">
            <v>Productos para limpieza calle interna (reintegro LP)</v>
          </cell>
          <cell r="H540" t="str">
            <v>Droguería Paysandú</v>
          </cell>
          <cell r="I540">
            <v>152.93</v>
          </cell>
          <cell r="J540">
            <v>848.05</v>
          </cell>
          <cell r="K540">
            <v>6421.8699999988448</v>
          </cell>
        </row>
        <row r="541">
          <cell r="E541">
            <v>46014</v>
          </cell>
          <cell r="K541">
            <v>66421.869999998846</v>
          </cell>
          <cell r="L541">
            <v>60000</v>
          </cell>
          <cell r="O541" t="str">
            <v>Cambio</v>
          </cell>
        </row>
        <row r="542">
          <cell r="E542">
            <v>46014</v>
          </cell>
          <cell r="F542" t="str">
            <v>Publicidad por etapa 1 y 2</v>
          </cell>
          <cell r="G542" t="str">
            <v>DJ evento navidad</v>
          </cell>
          <cell r="H542" t="str">
            <v>Marcos Castiglioni</v>
          </cell>
          <cell r="J542">
            <v>5000</v>
          </cell>
          <cell r="K542">
            <v>61421.869999998846</v>
          </cell>
        </row>
        <row r="543">
          <cell r="E543">
            <v>46015</v>
          </cell>
          <cell r="F543" t="str">
            <v>Publicidad por etapa 1 y 2</v>
          </cell>
          <cell r="G543" t="str">
            <v>Publicación revista doble página</v>
          </cell>
          <cell r="H543" t="str">
            <v>AyD</v>
          </cell>
          <cell r="I543">
            <v>7040</v>
          </cell>
          <cell r="J543">
            <v>39040</v>
          </cell>
          <cell r="K543">
            <v>22381.869999998846</v>
          </cell>
        </row>
        <row r="544">
          <cell r="E544">
            <v>46015</v>
          </cell>
          <cell r="F544" t="str">
            <v>Imprevistos operativos</v>
          </cell>
          <cell r="G544" t="str">
            <v>Gastos Bancarios</v>
          </cell>
          <cell r="H544" t="str">
            <v>Itaú</v>
          </cell>
          <cell r="J544">
            <v>74.430000000000007</v>
          </cell>
          <cell r="K544">
            <v>22307.439999998845</v>
          </cell>
        </row>
        <row r="545">
          <cell r="E545">
            <v>46030</v>
          </cell>
          <cell r="F545" t="str">
            <v>Imprevistos obra</v>
          </cell>
          <cell r="G545" t="str">
            <v>Remoción y limpieza pavimento calle interna</v>
          </cell>
          <cell r="H545" t="str">
            <v>Adrián Silveira</v>
          </cell>
          <cell r="J545">
            <v>9600</v>
          </cell>
          <cell r="K545">
            <v>12707.439999998845</v>
          </cell>
        </row>
        <row r="546">
          <cell r="E546">
            <v>46030</v>
          </cell>
          <cell r="F546" t="str">
            <v>Imprevistos operativos</v>
          </cell>
          <cell r="G546" t="str">
            <v>Gastos Bancarios</v>
          </cell>
          <cell r="H546" t="str">
            <v>Itaú</v>
          </cell>
          <cell r="J546">
            <v>73.95</v>
          </cell>
          <cell r="K546">
            <v>12633.489999998845</v>
          </cell>
        </row>
        <row r="547">
          <cell r="E547">
            <v>46030</v>
          </cell>
          <cell r="K547">
            <v>812633.48999999883</v>
          </cell>
          <cell r="L547">
            <v>800000</v>
          </cell>
          <cell r="O547" t="str">
            <v>Cambio</v>
          </cell>
        </row>
        <row r="548">
          <cell r="E548">
            <v>46031</v>
          </cell>
          <cell r="F548" t="str">
            <v>Publicidad por etapa 1 y 2</v>
          </cell>
          <cell r="G548" t="str">
            <v>Saldo 50% selfie stick Navidad</v>
          </cell>
          <cell r="H548" t="str">
            <v>Agroventas</v>
          </cell>
          <cell r="I548">
            <v>737</v>
          </cell>
          <cell r="J548">
            <v>4087</v>
          </cell>
          <cell r="K548">
            <v>808546.48999999883</v>
          </cell>
        </row>
        <row r="549">
          <cell r="E549">
            <v>46031</v>
          </cell>
          <cell r="F549" t="str">
            <v>Imprevistos operativos</v>
          </cell>
          <cell r="G549" t="str">
            <v>Gastos Bancarios</v>
          </cell>
          <cell r="H549" t="str">
            <v>Itaú</v>
          </cell>
          <cell r="J549">
            <v>73.97</v>
          </cell>
          <cell r="K549">
            <v>808472.51999999885</v>
          </cell>
        </row>
        <row r="550">
          <cell r="E550">
            <v>46031</v>
          </cell>
          <cell r="F550" t="str">
            <v>Publicidad por etapa 1 y 2</v>
          </cell>
          <cell r="G550" t="str">
            <v>Animación y juegos evento Navidad</v>
          </cell>
          <cell r="H550" t="str">
            <v>Animate</v>
          </cell>
          <cell r="I550">
            <v>19316</v>
          </cell>
          <cell r="J550">
            <v>107116</v>
          </cell>
          <cell r="K550">
            <v>701356.51999999885</v>
          </cell>
        </row>
        <row r="551">
          <cell r="E551">
            <v>46031</v>
          </cell>
          <cell r="F551" t="str">
            <v>Dirección de obra</v>
          </cell>
          <cell r="G551" t="str">
            <v>Dirección de obra noviembre-diciembre 2025</v>
          </cell>
          <cell r="H551" t="str">
            <v>Gómez Platero</v>
          </cell>
          <cell r="J551">
            <v>568869</v>
          </cell>
          <cell r="K551">
            <v>132487.51999999885</v>
          </cell>
        </row>
        <row r="552">
          <cell r="E552">
            <v>46031</v>
          </cell>
          <cell r="F552" t="str">
            <v>Publicidad por etapa 1 y 2</v>
          </cell>
          <cell r="G552" t="str">
            <v>Producción audiovisual diciembre 2025</v>
          </cell>
          <cell r="H552" t="str">
            <v>Silvestre</v>
          </cell>
          <cell r="I552">
            <v>7700</v>
          </cell>
          <cell r="J552">
            <v>42700</v>
          </cell>
          <cell r="K552">
            <v>89787.519999998854</v>
          </cell>
        </row>
        <row r="553">
          <cell r="E553">
            <v>46031</v>
          </cell>
          <cell r="F553" t="str">
            <v>Publicidad por etapa 1 y 2</v>
          </cell>
          <cell r="G553" t="str">
            <v>Servicio de comunicación enero 2026</v>
          </cell>
          <cell r="H553" t="str">
            <v>Silvestre</v>
          </cell>
          <cell r="I553">
            <v>11000</v>
          </cell>
          <cell r="J553">
            <v>61000</v>
          </cell>
          <cell r="K553">
            <v>28787.519999998854</v>
          </cell>
        </row>
        <row r="554">
          <cell r="E554">
            <v>46031</v>
          </cell>
          <cell r="F554" t="str">
            <v>Publicidad por etapa 1 y 2</v>
          </cell>
          <cell r="G554" t="str">
            <v>Vinilo para selfie stick Navidad</v>
          </cell>
          <cell r="H554" t="str">
            <v>Copiplan</v>
          </cell>
          <cell r="I554">
            <v>54.1</v>
          </cell>
          <cell r="J554">
            <v>300</v>
          </cell>
          <cell r="K554">
            <v>28487.519999998854</v>
          </cell>
        </row>
        <row r="555">
          <cell r="E555">
            <v>46031</v>
          </cell>
          <cell r="F555" t="str">
            <v>Publicidad por etapa 1 y 2</v>
          </cell>
          <cell r="G555" t="str">
            <v>Carteles evento Navidad</v>
          </cell>
          <cell r="H555" t="str">
            <v>Copiplan</v>
          </cell>
          <cell r="I555">
            <v>234.43</v>
          </cell>
          <cell r="J555">
            <v>1300</v>
          </cell>
          <cell r="K555">
            <v>27187.519999998854</v>
          </cell>
        </row>
        <row r="556">
          <cell r="E556">
            <v>46031</v>
          </cell>
          <cell r="F556" t="str">
            <v>Leed</v>
          </cell>
          <cell r="G556" t="str">
            <v>15 formularios para trámites DNI (reintegro FD)</v>
          </cell>
          <cell r="H556" t="str">
            <v>DNI</v>
          </cell>
          <cell r="J556">
            <v>5636.12</v>
          </cell>
          <cell r="K556">
            <v>21551.399999998855</v>
          </cell>
        </row>
        <row r="557">
          <cell r="E557">
            <v>46037</v>
          </cell>
          <cell r="F557" t="str">
            <v>Imprevistos operativos</v>
          </cell>
          <cell r="G557" t="str">
            <v>Timbre adeudado BPS</v>
          </cell>
          <cell r="H557" t="str">
            <v>BPS</v>
          </cell>
          <cell r="J557">
            <v>260</v>
          </cell>
          <cell r="K557">
            <v>21291.399999998855</v>
          </cell>
        </row>
        <row r="558">
          <cell r="E558">
            <v>46037</v>
          </cell>
          <cell r="G558" t="str">
            <v>Consumo diciembre-enero (cartel) (por error desde Residencial)</v>
          </cell>
          <cell r="H558" t="str">
            <v>UTE</v>
          </cell>
          <cell r="J558">
            <v>1707</v>
          </cell>
          <cell r="K558">
            <v>19584.399999998855</v>
          </cell>
        </row>
        <row r="559">
          <cell r="E559">
            <v>46038</v>
          </cell>
          <cell r="K559">
            <v>99584.399999998859</v>
          </cell>
          <cell r="L559">
            <v>80000</v>
          </cell>
          <cell r="O559" t="str">
            <v>Cambio</v>
          </cell>
        </row>
        <row r="560">
          <cell r="E560">
            <v>46038</v>
          </cell>
          <cell r="F560" t="str">
            <v>Leed</v>
          </cell>
          <cell r="G560" t="str">
            <v>Certificado negativo para despachos (reintegro FD)</v>
          </cell>
          <cell r="H560" t="str">
            <v>BSE</v>
          </cell>
          <cell r="J560">
            <v>1848</v>
          </cell>
          <cell r="K560">
            <v>97736.399999998859</v>
          </cell>
        </row>
        <row r="561">
          <cell r="E561">
            <v>46038</v>
          </cell>
          <cell r="F561" t="str">
            <v>Leed</v>
          </cell>
          <cell r="G561" t="str">
            <v>Anticipo importación 1/2 pavimento de terrazas A0170431</v>
          </cell>
          <cell r="H561" t="str">
            <v>Rodríguez despachantes</v>
          </cell>
          <cell r="J561">
            <v>84972</v>
          </cell>
          <cell r="K561">
            <v>12764.399999998859</v>
          </cell>
        </row>
        <row r="562">
          <cell r="E562">
            <v>46045</v>
          </cell>
          <cell r="K562">
            <v>5207764.3999999985</v>
          </cell>
          <cell r="L562">
            <v>5195000</v>
          </cell>
          <cell r="O562" t="str">
            <v>Cambio</v>
          </cell>
        </row>
        <row r="563">
          <cell r="E563">
            <v>46045</v>
          </cell>
          <cell r="F563" t="str">
            <v>LLSS</v>
          </cell>
          <cell r="G563" t="str">
            <v>Leyes sociales diciembre 2025</v>
          </cell>
          <cell r="H563" t="str">
            <v>BPS</v>
          </cell>
          <cell r="J563">
            <v>3083242</v>
          </cell>
          <cell r="K563">
            <v>2124522.3999999985</v>
          </cell>
        </row>
        <row r="564">
          <cell r="E564">
            <v>46045</v>
          </cell>
          <cell r="F564" t="str">
            <v>Ajuste paramétrico</v>
          </cell>
          <cell r="G564" t="str">
            <v>AP provisorio diciembre 2025 - retenciones</v>
          </cell>
          <cell r="H564" t="str">
            <v>Ceaosa</v>
          </cell>
          <cell r="J564">
            <v>922467</v>
          </cell>
          <cell r="K564">
            <v>1202055.3999999985</v>
          </cell>
        </row>
        <row r="565">
          <cell r="E565">
            <v>46045</v>
          </cell>
          <cell r="F565" t="str">
            <v>Ajuste paramétrico</v>
          </cell>
          <cell r="G565" t="str">
            <v>AP noviembre 2025 - retenciones</v>
          </cell>
          <cell r="H565" t="str">
            <v>Ceaosa</v>
          </cell>
          <cell r="J565">
            <v>1173612</v>
          </cell>
          <cell r="K565">
            <v>28443.39999999851</v>
          </cell>
        </row>
        <row r="566">
          <cell r="E566">
            <v>46048</v>
          </cell>
          <cell r="K566">
            <v>15643443.399999999</v>
          </cell>
          <cell r="L566">
            <v>15615000</v>
          </cell>
          <cell r="O566" t="str">
            <v>Cambio</v>
          </cell>
        </row>
        <row r="567">
          <cell r="E567">
            <v>46048</v>
          </cell>
          <cell r="F567" t="str">
            <v>Publicidad por etapa 1 y 2</v>
          </cell>
          <cell r="K567">
            <v>15689803.399999999</v>
          </cell>
          <cell r="L567">
            <v>46360</v>
          </cell>
          <cell r="N567" t="str">
            <v>Campos</v>
          </cell>
          <cell r="O567" t="str">
            <v xml:space="preserve">A225 Edición 4 Intercountries </v>
          </cell>
        </row>
        <row r="568">
          <cell r="E568">
            <v>46048</v>
          </cell>
          <cell r="F568" t="str">
            <v>Obra constructora pesos</v>
          </cell>
          <cell r="G568" t="str">
            <v>Certificado básico diciembre 2025 - retenciones - aportes patronales</v>
          </cell>
          <cell r="H568" t="str">
            <v>Ceaosa</v>
          </cell>
          <cell r="J568">
            <v>15398918.939999999</v>
          </cell>
          <cell r="K568">
            <v>290884.45999999903</v>
          </cell>
        </row>
        <row r="569">
          <cell r="E569">
            <v>46048</v>
          </cell>
          <cell r="F569" t="str">
            <v>Imprevistos obra</v>
          </cell>
          <cell r="G569" t="str">
            <v>Saldo 60% adicional subestación</v>
          </cell>
          <cell r="H569" t="str">
            <v>Estudio Pittamiglio</v>
          </cell>
          <cell r="J569">
            <v>38495</v>
          </cell>
          <cell r="K569">
            <v>252389.45999999903</v>
          </cell>
        </row>
        <row r="570">
          <cell r="E570">
            <v>46048</v>
          </cell>
          <cell r="F570" t="str">
            <v>Agrimensura</v>
          </cell>
          <cell r="G570" t="str">
            <v>Ing. Agrimensor cuota 6/14 bimestre noviembre-diciembre 2025</v>
          </cell>
          <cell r="H570" t="str">
            <v>Estudio Boix</v>
          </cell>
          <cell r="J570">
            <v>124498.7</v>
          </cell>
          <cell r="K570">
            <v>127890.75999999903</v>
          </cell>
        </row>
        <row r="571">
          <cell r="E571">
            <v>46048</v>
          </cell>
          <cell r="F571" t="str">
            <v>Imprevistos obra</v>
          </cell>
          <cell r="G571" t="str">
            <v xml:space="preserve">Avance 40% adicional subestación </v>
          </cell>
          <cell r="H571" t="str">
            <v>Estudio Pittamiglio</v>
          </cell>
          <cell r="J571">
            <v>25592</v>
          </cell>
          <cell r="K571">
            <v>102298.75999999903</v>
          </cell>
        </row>
        <row r="572">
          <cell r="E572">
            <v>46048</v>
          </cell>
          <cell r="F572" t="str">
            <v>Leed</v>
          </cell>
          <cell r="G572" t="str">
            <v>Anticipo importación artículos sanitarios USD (ralos)</v>
          </cell>
          <cell r="H572" t="str">
            <v>Rodríguez despachantes</v>
          </cell>
          <cell r="I572">
            <v>2270</v>
          </cell>
          <cell r="J572">
            <v>16788</v>
          </cell>
          <cell r="K572">
            <v>85510.759999999034</v>
          </cell>
        </row>
        <row r="573">
          <cell r="E573">
            <v>46048</v>
          </cell>
          <cell r="F573" t="str">
            <v>Leed</v>
          </cell>
          <cell r="G573" t="str">
            <v>Anticipo importación artículos sanitarios USD (piletas cocinas)</v>
          </cell>
          <cell r="H573" t="str">
            <v>Rodríguez despachantes</v>
          </cell>
          <cell r="I573">
            <v>2758</v>
          </cell>
          <cell r="J573">
            <v>22310</v>
          </cell>
          <cell r="K573">
            <v>63200.759999999034</v>
          </cell>
        </row>
        <row r="574">
          <cell r="E574">
            <v>46048</v>
          </cell>
          <cell r="F574" t="str">
            <v>Leed</v>
          </cell>
          <cell r="G574" t="str">
            <v>Anticipo importación revestimiento cerámico portobello (1/3)</v>
          </cell>
          <cell r="H574" t="str">
            <v>Rodríguez despachantes</v>
          </cell>
          <cell r="I574">
            <v>4862</v>
          </cell>
          <cell r="J574">
            <v>39688</v>
          </cell>
          <cell r="K574">
            <v>23512.759999999034</v>
          </cell>
        </row>
        <row r="575">
          <cell r="E575">
            <v>46049</v>
          </cell>
          <cell r="K575">
            <v>423512.75999999902</v>
          </cell>
          <cell r="L575">
            <v>400000</v>
          </cell>
          <cell r="O575" t="str">
            <v>Cambio</v>
          </cell>
        </row>
        <row r="576">
          <cell r="E576">
            <v>46049</v>
          </cell>
          <cell r="F576" t="str">
            <v>Publicidad por etapa 1 y 2</v>
          </cell>
          <cell r="G576" t="str">
            <v>Sorteo navidad</v>
          </cell>
          <cell r="H576" t="str">
            <v>Delfi Schupp Lab</v>
          </cell>
          <cell r="I576">
            <v>8360</v>
          </cell>
          <cell r="J576">
            <v>46360</v>
          </cell>
          <cell r="K576">
            <v>377152.75999999902</v>
          </cell>
        </row>
        <row r="577">
          <cell r="E577">
            <v>46049</v>
          </cell>
          <cell r="F577" t="str">
            <v>Dirección de obra</v>
          </cell>
          <cell r="G577" t="str">
            <v>Dirección de obra diciembre 2025 - enero 2026</v>
          </cell>
          <cell r="H577" t="str">
            <v>Gómez Platero</v>
          </cell>
          <cell r="J577">
            <v>354370</v>
          </cell>
          <cell r="K577">
            <v>22782.75999999902</v>
          </cell>
        </row>
        <row r="578">
          <cell r="E578">
            <v>46052</v>
          </cell>
          <cell r="K578">
            <v>24489.75999999902</v>
          </cell>
          <cell r="L578">
            <v>1707</v>
          </cell>
          <cell r="O578" t="str">
            <v>Consumo diciembre-enero (cartel) (por error desde Residencial)</v>
          </cell>
        </row>
        <row r="579">
          <cell r="E579">
            <v>46057</v>
          </cell>
          <cell r="K579">
            <v>324489.75999999902</v>
          </cell>
          <cell r="L579">
            <v>300000</v>
          </cell>
          <cell r="O579" t="str">
            <v>Cambio</v>
          </cell>
        </row>
        <row r="580">
          <cell r="E580">
            <v>46057</v>
          </cell>
          <cell r="F580" t="str">
            <v>Publicidad por etapa 1 y 2</v>
          </cell>
          <cell r="G580" t="str">
            <v>Saldo 50% decoración navidad</v>
          </cell>
          <cell r="H580" t="str">
            <v>Effas</v>
          </cell>
          <cell r="I580">
            <v>51480</v>
          </cell>
          <cell r="J580">
            <v>285480</v>
          </cell>
          <cell r="K580">
            <v>39009.75999999902</v>
          </cell>
        </row>
        <row r="581">
          <cell r="E581">
            <v>46057</v>
          </cell>
          <cell r="F581" t="str">
            <v>Publicidad por etapa 1 y 2</v>
          </cell>
          <cell r="G581" t="str">
            <v>Pauta en casas y + diciembre 2025 (evento navidad)</v>
          </cell>
          <cell r="H581" t="str">
            <v>Casas y +</v>
          </cell>
          <cell r="I581">
            <v>3300</v>
          </cell>
          <cell r="J581">
            <v>18300</v>
          </cell>
          <cell r="K581">
            <v>20709.75999999902</v>
          </cell>
        </row>
        <row r="582">
          <cell r="E582">
            <v>46064</v>
          </cell>
          <cell r="K582">
            <v>200709.75999999902</v>
          </cell>
          <cell r="L582">
            <v>180000</v>
          </cell>
          <cell r="O582" t="str">
            <v>Cambio</v>
          </cell>
        </row>
        <row r="583">
          <cell r="E583">
            <v>46064</v>
          </cell>
          <cell r="F583" t="str">
            <v>Leed</v>
          </cell>
          <cell r="G583" t="str">
            <v>Anticipo importación artículos sanitarios USD (inodoros)</v>
          </cell>
          <cell r="H583" t="str">
            <v>Rodríguez despachantes</v>
          </cell>
          <cell r="I583">
            <v>4278</v>
          </cell>
          <cell r="J583">
            <v>36850</v>
          </cell>
          <cell r="K583">
            <v>163859.75999999902</v>
          </cell>
        </row>
        <row r="584">
          <cell r="E584">
            <v>46064</v>
          </cell>
          <cell r="F584" t="str">
            <v>Imprevistos operativos</v>
          </cell>
          <cell r="G584" t="str">
            <v>Contrato y pliego encuadernado</v>
          </cell>
          <cell r="H584" t="str">
            <v>Copiplan</v>
          </cell>
          <cell r="I584">
            <v>188.12</v>
          </cell>
          <cell r="J584">
            <v>1043</v>
          </cell>
          <cell r="K584">
            <v>162816.75999999902</v>
          </cell>
        </row>
        <row r="585">
          <cell r="E585">
            <v>46064</v>
          </cell>
          <cell r="F585" t="str">
            <v>Leed</v>
          </cell>
          <cell r="G585" t="str">
            <v>Anticipo importación artículos sanitarios USD (bidets y tapas inodoro)</v>
          </cell>
          <cell r="H585" t="str">
            <v>Rodríguez despachantes</v>
          </cell>
          <cell r="I585">
            <v>3575</v>
          </cell>
          <cell r="J585">
            <v>27770</v>
          </cell>
          <cell r="K585">
            <v>135046.75999999902</v>
          </cell>
        </row>
        <row r="586">
          <cell r="E586">
            <v>46064</v>
          </cell>
          <cell r="F586" t="str">
            <v>Publicidad por etapa 1 y 2</v>
          </cell>
          <cell r="G586" t="str">
            <v>Servicio de comunicación diciembre 2025</v>
          </cell>
          <cell r="H586" t="str">
            <v>Silvestre</v>
          </cell>
          <cell r="I586">
            <v>11000</v>
          </cell>
          <cell r="J586">
            <v>61000</v>
          </cell>
          <cell r="K586">
            <v>74046.75999999902</v>
          </cell>
        </row>
        <row r="587">
          <cell r="E587">
            <v>46064</v>
          </cell>
          <cell r="F587" t="str">
            <v>Imprevistos obra</v>
          </cell>
          <cell r="G587" t="str">
            <v>Adicional 3 acondicionamiento sanitario (cambios lavarropas, lavavajilla, aire acondicionado)</v>
          </cell>
          <cell r="H587" t="str">
            <v>Estudio Pittamiglio</v>
          </cell>
          <cell r="J587">
            <v>51360</v>
          </cell>
          <cell r="K587">
            <v>22686.75999999902</v>
          </cell>
        </row>
        <row r="588">
          <cell r="E588">
            <v>46076</v>
          </cell>
          <cell r="F588" t="str">
            <v>Imprevistos operativos</v>
          </cell>
          <cell r="G588" t="str">
            <v>Timbre por vinculación subcontrato</v>
          </cell>
          <cell r="H588" t="str">
            <v>BPS</v>
          </cell>
          <cell r="J588">
            <v>270</v>
          </cell>
          <cell r="K588">
            <v>22416.75999999902</v>
          </cell>
        </row>
        <row r="589">
          <cell r="E589">
            <v>46076</v>
          </cell>
          <cell r="K589">
            <v>13162416.76</v>
          </cell>
          <cell r="L589">
            <v>13140000</v>
          </cell>
          <cell r="O589" t="str">
            <v>Cambio</v>
          </cell>
        </row>
        <row r="590">
          <cell r="E590">
            <v>46076</v>
          </cell>
          <cell r="F590" t="str">
            <v>LLSS</v>
          </cell>
          <cell r="G590" t="str">
            <v>Leyes sociales enero 2026</v>
          </cell>
          <cell r="H590" t="str">
            <v>BPS</v>
          </cell>
          <cell r="J590">
            <v>2659764</v>
          </cell>
          <cell r="K590">
            <v>10502652.76</v>
          </cell>
        </row>
        <row r="591">
          <cell r="E591">
            <v>46076</v>
          </cell>
          <cell r="F591" t="str">
            <v>Obra constructora pesos</v>
          </cell>
          <cell r="G591" t="str">
            <v>Certificado 14 enero - retenciones - aportes patronales</v>
          </cell>
          <cell r="H591" t="str">
            <v>Ceaosa</v>
          </cell>
          <cell r="J591">
            <v>10477065.460000001</v>
          </cell>
          <cell r="K591">
            <v>25587.299999998882</v>
          </cell>
        </row>
        <row r="592">
          <cell r="E592">
            <v>46077</v>
          </cell>
          <cell r="K592">
            <v>125587.29999999888</v>
          </cell>
          <cell r="L592">
            <v>100000</v>
          </cell>
          <cell r="O592" t="str">
            <v>Cambio</v>
          </cell>
        </row>
        <row r="593">
          <cell r="E593">
            <v>46078</v>
          </cell>
          <cell r="F593" t="str">
            <v>Publicidad por etapa 1 y 2</v>
          </cell>
          <cell r="G593" t="str">
            <v>Seguridad física plaza navidad</v>
          </cell>
          <cell r="H593" t="str">
            <v>Blitz</v>
          </cell>
          <cell r="I593">
            <v>16264.6</v>
          </cell>
          <cell r="J593">
            <v>90195</v>
          </cell>
          <cell r="K593">
            <v>35392.299999998882</v>
          </cell>
        </row>
        <row r="594">
          <cell r="E594">
            <v>46078</v>
          </cell>
          <cell r="F594" t="str">
            <v>Imprevistos operativos</v>
          </cell>
          <cell r="G594" t="str">
            <v>Gastos Bancarios</v>
          </cell>
          <cell r="H594" t="str">
            <v>Itaú</v>
          </cell>
          <cell r="J594">
            <v>72.95</v>
          </cell>
          <cell r="K594">
            <v>35319.349999998885</v>
          </cell>
        </row>
        <row r="595">
          <cell r="E595">
            <v>46084</v>
          </cell>
          <cell r="F595" t="str">
            <v>Imprevistos operativos</v>
          </cell>
          <cell r="G595" t="str">
            <v>Timbre por vinculación subcontrato</v>
          </cell>
          <cell r="H595" t="str">
            <v>BPS</v>
          </cell>
          <cell r="J595">
            <v>270</v>
          </cell>
          <cell r="K595">
            <v>35049.349999998885</v>
          </cell>
        </row>
        <row r="596">
          <cell r="E596">
            <v>46087</v>
          </cell>
          <cell r="F596" t="str">
            <v>Imprevistos operativos</v>
          </cell>
          <cell r="G596" t="str">
            <v>Timbre por vinculación subcontrato</v>
          </cell>
          <cell r="H596" t="str">
            <v>BPS</v>
          </cell>
          <cell r="J596">
            <v>270</v>
          </cell>
          <cell r="K596">
            <v>34779.349999998885</v>
          </cell>
        </row>
        <row r="597">
          <cell r="E597">
            <v>46087</v>
          </cell>
          <cell r="F597" t="str">
            <v>Imprevistos obra</v>
          </cell>
          <cell r="G597" t="str">
            <v>Materiales iluminación fondo (reintegro LP)</v>
          </cell>
          <cell r="H597" t="str">
            <v>Fivisa</v>
          </cell>
          <cell r="I597">
            <v>1288.17</v>
          </cell>
          <cell r="J597">
            <v>7143</v>
          </cell>
          <cell r="K597">
            <v>27636.349999998885</v>
          </cell>
        </row>
        <row r="598">
          <cell r="E598">
            <v>46091</v>
          </cell>
          <cell r="K598">
            <v>647636.34999999893</v>
          </cell>
          <cell r="L598">
            <v>620000</v>
          </cell>
          <cell r="O598" t="str">
            <v>Cambio</v>
          </cell>
        </row>
        <row r="599">
          <cell r="E599">
            <v>46091</v>
          </cell>
          <cell r="F599" t="str">
            <v>Publicidad por etapa 1 y 2</v>
          </cell>
          <cell r="G599" t="str">
            <v>Servicio de comunicación marzo 2026</v>
          </cell>
          <cell r="H599" t="str">
            <v>Silvestre</v>
          </cell>
          <cell r="I599">
            <v>11401.28</v>
          </cell>
          <cell r="J599">
            <v>63225.279999999999</v>
          </cell>
          <cell r="K599">
            <v>584411.0699999989</v>
          </cell>
        </row>
        <row r="600">
          <cell r="E600">
            <v>46091</v>
          </cell>
          <cell r="F600" t="str">
            <v>Publicidad por etapa 1 y 2</v>
          </cell>
          <cell r="G600" t="str">
            <v>Producción audiovisual febrero 2026</v>
          </cell>
          <cell r="H600" t="str">
            <v>Silvestre</v>
          </cell>
          <cell r="I600">
            <v>7981.16</v>
          </cell>
          <cell r="J600">
            <v>44259.16</v>
          </cell>
          <cell r="K600">
            <v>540151.90999999887</v>
          </cell>
        </row>
        <row r="601">
          <cell r="E601">
            <v>46091</v>
          </cell>
          <cell r="F601" t="str">
            <v>Dirección de obra</v>
          </cell>
          <cell r="G601" t="str">
            <v>DO enero-febrero 2026</v>
          </cell>
          <cell r="H601" t="str">
            <v>Gómez Platero</v>
          </cell>
          <cell r="J601">
            <v>390581</v>
          </cell>
          <cell r="K601">
            <v>149570.90999999887</v>
          </cell>
        </row>
        <row r="602">
          <cell r="E602">
            <v>46091</v>
          </cell>
          <cell r="F602" t="str">
            <v>Agrimensura</v>
          </cell>
          <cell r="G602" t="str">
            <v>Cuota 7/14 enero-febrero 2026</v>
          </cell>
          <cell r="H602" t="str">
            <v>Estudio Boix</v>
          </cell>
          <cell r="J602">
            <v>125677.56</v>
          </cell>
          <cell r="K602">
            <v>23893.349999998871</v>
          </cell>
        </row>
        <row r="603">
          <cell r="E603">
            <v>46092</v>
          </cell>
          <cell r="K603">
            <v>88893.349999998871</v>
          </cell>
          <cell r="L603">
            <v>65000</v>
          </cell>
          <cell r="O603" t="str">
            <v>Cambio</v>
          </cell>
        </row>
        <row r="604">
          <cell r="E604">
            <v>46092</v>
          </cell>
          <cell r="F604" t="str">
            <v>Publicidad por etapa 1 y 2</v>
          </cell>
          <cell r="G604" t="str">
            <v>Servicio de comunicación febrero 2026</v>
          </cell>
          <cell r="H604" t="str">
            <v>Silvestre</v>
          </cell>
          <cell r="I604">
            <v>11401.28</v>
          </cell>
          <cell r="J604">
            <v>63225.279999999999</v>
          </cell>
          <cell r="K604">
            <v>25668.069999998872</v>
          </cell>
        </row>
        <row r="605">
          <cell r="E605">
            <v>46093</v>
          </cell>
          <cell r="K605">
            <v>275668.0699999989</v>
          </cell>
          <cell r="L605">
            <v>250000</v>
          </cell>
          <cell r="O605" t="str">
            <v>Cambio</v>
          </cell>
        </row>
        <row r="606">
          <cell r="E606">
            <v>46093</v>
          </cell>
          <cell r="F606" t="str">
            <v>Leed</v>
          </cell>
          <cell r="G606" t="str">
            <v>Anticipo costos despacho ascensores</v>
          </cell>
          <cell r="H606" t="str">
            <v>Rodríguez despachantes</v>
          </cell>
          <cell r="I606">
            <v>14449.38</v>
          </cell>
          <cell r="J606">
            <v>254822.38</v>
          </cell>
          <cell r="K606">
            <v>20845.689999998896</v>
          </cell>
        </row>
        <row r="607">
          <cell r="E607">
            <v>46098</v>
          </cell>
          <cell r="F607" t="str">
            <v>Publicidad por etapa 1 y 2</v>
          </cell>
          <cell r="G607" t="str">
            <v>Pauta en casas y + febrero 2026</v>
          </cell>
          <cell r="H607" t="str">
            <v>Casas y +</v>
          </cell>
          <cell r="I607">
            <v>3300</v>
          </cell>
          <cell r="J607">
            <v>18300</v>
          </cell>
          <cell r="K607">
            <v>2545.6899999988964</v>
          </cell>
        </row>
        <row r="608">
          <cell r="E608">
            <v>46100</v>
          </cell>
          <cell r="K608">
            <v>62545.689999998896</v>
          </cell>
          <cell r="L608">
            <v>60000</v>
          </cell>
          <cell r="O608" t="str">
            <v>Cambio</v>
          </cell>
        </row>
        <row r="609">
          <cell r="E609">
            <v>46100</v>
          </cell>
          <cell r="F609" t="str">
            <v>Leed</v>
          </cell>
          <cell r="G609" t="str">
            <v>Anticipo costos despacho luminarias de emergencia Darko</v>
          </cell>
          <cell r="H609" t="str">
            <v>Rodríguez despachantes</v>
          </cell>
          <cell r="I609">
            <v>3035</v>
          </cell>
          <cell r="J609">
            <v>34000</v>
          </cell>
          <cell r="K609">
            <v>28545.689999998896</v>
          </cell>
        </row>
        <row r="610">
          <cell r="E610">
            <v>46101</v>
          </cell>
          <cell r="K610">
            <v>21578545.689999998</v>
          </cell>
          <cell r="L610">
            <v>21550000</v>
          </cell>
          <cell r="O610" t="str">
            <v>Cambio</v>
          </cell>
        </row>
        <row r="611">
          <cell r="E611">
            <v>46101</v>
          </cell>
          <cell r="F611" t="str">
            <v>LLSS</v>
          </cell>
          <cell r="G611" t="str">
            <v>Leyes sociales febrero 2026</v>
          </cell>
          <cell r="H611" t="str">
            <v>BPS</v>
          </cell>
          <cell r="J611">
            <v>3193939</v>
          </cell>
          <cell r="K611">
            <v>18384606.689999998</v>
          </cell>
        </row>
        <row r="612">
          <cell r="E612">
            <v>46101</v>
          </cell>
          <cell r="F612" t="str">
            <v>Obra constructora pesos</v>
          </cell>
          <cell r="G612" t="str">
            <v>Certificado 15 febrero 2026 - desc aportes patronales</v>
          </cell>
          <cell r="H612" t="str">
            <v>Ceaosa</v>
          </cell>
          <cell r="J612">
            <v>10931958.619999999</v>
          </cell>
          <cell r="K612">
            <v>7452648.0699999984</v>
          </cell>
        </row>
        <row r="613">
          <cell r="E613">
            <v>46101</v>
          </cell>
          <cell r="F613" t="str">
            <v>Ajuste paramétrico</v>
          </cell>
          <cell r="G613" t="str">
            <v>Ajuste paramétrico 15 enero 2026 - diferencia AP diciembre 2025</v>
          </cell>
          <cell r="H613" t="str">
            <v>Ceaosa</v>
          </cell>
          <cell r="J613">
            <v>622137</v>
          </cell>
          <cell r="K613">
            <v>6830511.0699999984</v>
          </cell>
        </row>
        <row r="614">
          <cell r="E614">
            <v>46101</v>
          </cell>
          <cell r="F614" t="str">
            <v>Consumo UTE y OSE por etapa 1 y 2</v>
          </cell>
          <cell r="G614" t="str">
            <v>Anticipo costos despachos aparatos sanitarios CIF EUR (griferías)</v>
          </cell>
          <cell r="H614" t="str">
            <v>Rodríguez despachantes</v>
          </cell>
          <cell r="I614">
            <v>9489</v>
          </cell>
          <cell r="J614">
            <v>76700</v>
          </cell>
          <cell r="K614">
            <v>6753811.0699999984</v>
          </cell>
        </row>
        <row r="615">
          <cell r="E615">
            <v>46104</v>
          </cell>
          <cell r="F615" t="str">
            <v>Obra constructora pesos</v>
          </cell>
          <cell r="G615" t="str">
            <v>Acopio financiero 3 (1,5%) obra pesos</v>
          </cell>
          <cell r="H615" t="str">
            <v>Ceaosa</v>
          </cell>
          <cell r="J615">
            <v>6701769.8499999996</v>
          </cell>
          <cell r="K615">
            <v>52041.219999998808</v>
          </cell>
        </row>
        <row r="616">
          <cell r="E616">
            <v>46104</v>
          </cell>
          <cell r="F616" t="str">
            <v>Imprevistos operativos</v>
          </cell>
          <cell r="G616" t="str">
            <v>Gastos Bancarios</v>
          </cell>
          <cell r="H616" t="str">
            <v>Itaú</v>
          </cell>
          <cell r="J616">
            <v>407.35</v>
          </cell>
          <cell r="K616">
            <v>51633.869999998809</v>
          </cell>
        </row>
        <row r="617">
          <cell r="E617">
            <v>46105</v>
          </cell>
          <cell r="K617">
            <v>291633.86999999883</v>
          </cell>
          <cell r="L617">
            <v>240000</v>
          </cell>
          <cell r="O617" t="str">
            <v>Cambio</v>
          </cell>
        </row>
        <row r="618">
          <cell r="E618">
            <v>46105</v>
          </cell>
          <cell r="F618" t="str">
            <v>Imprevistos operativos</v>
          </cell>
          <cell r="G618" t="str">
            <v>Timbre vinculación subcontrato</v>
          </cell>
          <cell r="H618" t="str">
            <v>BPS</v>
          </cell>
          <cell r="J618">
            <v>270</v>
          </cell>
          <cell r="K618">
            <v>291363.86999999883</v>
          </cell>
        </row>
        <row r="619">
          <cell r="E619">
            <v>46105</v>
          </cell>
          <cell r="F619" t="str">
            <v>Dirección de obra</v>
          </cell>
          <cell r="G619" t="str">
            <v>DO febrero-marzo 2026</v>
          </cell>
          <cell r="H619" t="str">
            <v>Gómez Platero</v>
          </cell>
          <cell r="J619">
            <v>266337</v>
          </cell>
          <cell r="K619">
            <v>25026.869999998831</v>
          </cell>
        </row>
        <row r="620">
          <cell r="E620">
            <v>46107</v>
          </cell>
          <cell r="K620">
            <v>75026.869999998831</v>
          </cell>
          <cell r="L620">
            <v>50000</v>
          </cell>
          <cell r="O620" t="str">
            <v>Cambio</v>
          </cell>
        </row>
        <row r="621">
          <cell r="E621">
            <v>46107</v>
          </cell>
          <cell r="G621" t="str">
            <v>Traspaso para pago adicional 405 Pittamiglio (a reintegrar)</v>
          </cell>
          <cell r="H621" t="str">
            <v>LIV adicionales</v>
          </cell>
          <cell r="J621">
            <v>25592</v>
          </cell>
          <cell r="K621">
            <v>49434.869999998831</v>
          </cell>
        </row>
        <row r="622">
          <cell r="E622">
            <v>46119</v>
          </cell>
          <cell r="F622" t="str">
            <v>Imprevistos operativos</v>
          </cell>
          <cell r="G622" t="str">
            <v>Trámites VUCE y Dinacea despachos</v>
          </cell>
          <cell r="H622" t="str">
            <v>Susana Tchekmeyan</v>
          </cell>
          <cell r="I622">
            <v>1760</v>
          </cell>
          <cell r="J622">
            <v>9760</v>
          </cell>
          <cell r="K622">
            <v>39674.869999998831</v>
          </cell>
        </row>
        <row r="623">
          <cell r="E623">
            <v>46119</v>
          </cell>
          <cell r="F623" t="str">
            <v>Imprevistos operativos</v>
          </cell>
          <cell r="G623" t="str">
            <v>Gastos Bancarios</v>
          </cell>
          <cell r="H623" t="str">
            <v>Itaú</v>
          </cell>
          <cell r="J623">
            <v>77.16</v>
          </cell>
          <cell r="K623">
            <v>39597.709999998828</v>
          </cell>
        </row>
        <row r="624">
          <cell r="E624">
            <v>46119</v>
          </cell>
          <cell r="F624" t="str">
            <v>Imprevistos operativos</v>
          </cell>
          <cell r="G624" t="str">
            <v>Carteles oficina obra</v>
          </cell>
          <cell r="H624" t="str">
            <v>Copiplan</v>
          </cell>
          <cell r="I624">
            <v>1262.29</v>
          </cell>
          <cell r="J624">
            <v>7000</v>
          </cell>
          <cell r="K624">
            <v>32597.709999998828</v>
          </cell>
        </row>
        <row r="625">
          <cell r="E625">
            <v>46125</v>
          </cell>
          <cell r="F625" t="str">
            <v>Publicidad por etapa 1 y 2</v>
          </cell>
          <cell r="G625" t="str">
            <v>Envío banderas para Charlies</v>
          </cell>
          <cell r="H625" t="str">
            <v>Pedidos ya</v>
          </cell>
          <cell r="J625">
            <v>189</v>
          </cell>
          <cell r="K625">
            <v>32408.709999998828</v>
          </cell>
        </row>
        <row r="626">
          <cell r="E626">
            <v>46125</v>
          </cell>
          <cell r="F626" t="str">
            <v>Imprevistos operativos</v>
          </cell>
          <cell r="G626" t="str">
            <v>Gastos Bancarios</v>
          </cell>
          <cell r="H626" t="str">
            <v>Itaú</v>
          </cell>
          <cell r="J626">
            <v>76.42</v>
          </cell>
          <cell r="K626">
            <v>32332.289999998829</v>
          </cell>
        </row>
        <row r="627">
          <cell r="E627">
            <v>46125</v>
          </cell>
          <cell r="F627" t="str">
            <v>Imprevistos operativos</v>
          </cell>
          <cell r="G627" t="str">
            <v xml:space="preserve">Timbres vinculación obra subestación </v>
          </cell>
          <cell r="H627" t="str">
            <v>BPS</v>
          </cell>
          <cell r="J627">
            <v>1080</v>
          </cell>
          <cell r="K627">
            <v>31252.289999998829</v>
          </cell>
        </row>
        <row r="628">
          <cell r="E628">
            <v>46125</v>
          </cell>
          <cell r="K628">
            <v>131252.28999999881</v>
          </cell>
          <cell r="L628">
            <v>100000</v>
          </cell>
          <cell r="O628" t="str">
            <v>Cambio</v>
          </cell>
        </row>
        <row r="629">
          <cell r="E629">
            <v>46125</v>
          </cell>
          <cell r="F629" t="str">
            <v>Consumo UTE y OSE por etapa 1 y 2</v>
          </cell>
          <cell r="G629" t="str">
            <v>Anticipo importación aparatos sanitarios CIF USD (bachas)</v>
          </cell>
          <cell r="H629" t="str">
            <v>Rodríguez despachantes</v>
          </cell>
          <cell r="I629">
            <v>3917.76</v>
          </cell>
          <cell r="J629">
            <v>30100</v>
          </cell>
          <cell r="K629">
            <v>101152.28999999881</v>
          </cell>
        </row>
        <row r="630">
          <cell r="E630">
            <v>46125</v>
          </cell>
          <cell r="F630" t="str">
            <v>Consumo UTE y OSE por etapa 1 y 2</v>
          </cell>
          <cell r="G630" t="str">
            <v>Anticipo importación pavimento de terrazas Bosch</v>
          </cell>
          <cell r="H630" t="str">
            <v>Rodríguez despachantes</v>
          </cell>
          <cell r="I630">
            <v>3000</v>
          </cell>
          <cell r="J630">
            <v>26440</v>
          </cell>
          <cell r="K630">
            <v>74712.289999998815</v>
          </cell>
        </row>
        <row r="631">
          <cell r="E631">
            <v>46125</v>
          </cell>
          <cell r="F631" t="str">
            <v>Consumo UTE y OSE por etapa 1 y 2</v>
          </cell>
          <cell r="G631" t="str">
            <v>Anticipo importación pavimento cerámico 2</v>
          </cell>
          <cell r="H631" t="str">
            <v>Rodríguez despachantes</v>
          </cell>
          <cell r="I631">
            <v>5405.18</v>
          </cell>
          <cell r="J631">
            <v>43600</v>
          </cell>
          <cell r="K631">
            <v>31112.289999998815</v>
          </cell>
        </row>
        <row r="632">
          <cell r="E632">
            <v>46126</v>
          </cell>
          <cell r="F632" t="str">
            <v>Imprevistos operativos</v>
          </cell>
          <cell r="G632" t="str">
            <v>Honorarios vinculación obra subestación</v>
          </cell>
          <cell r="H632" t="str">
            <v>Estudio Ferulano</v>
          </cell>
          <cell r="I632">
            <v>2200</v>
          </cell>
          <cell r="J632">
            <v>12310</v>
          </cell>
          <cell r="K632">
            <v>18802.289999998815</v>
          </cell>
        </row>
        <row r="633">
          <cell r="E633">
            <v>46126</v>
          </cell>
          <cell r="F633" t="str">
            <v>Imprevistos operativos</v>
          </cell>
          <cell r="G633" t="str">
            <v>Gastos Bancarios</v>
          </cell>
          <cell r="H633" t="str">
            <v>Itaú</v>
          </cell>
          <cell r="J633">
            <v>76.39</v>
          </cell>
          <cell r="K633">
            <v>18725.899999998815</v>
          </cell>
        </row>
        <row r="634">
          <cell r="E634">
            <v>46136</v>
          </cell>
          <cell r="K634">
            <v>3548725.899999999</v>
          </cell>
          <cell r="L634">
            <v>3530000</v>
          </cell>
          <cell r="O634" t="str">
            <v>Cambio</v>
          </cell>
        </row>
        <row r="635">
          <cell r="E635">
            <v>46136</v>
          </cell>
          <cell r="F635" t="str">
            <v>LLSS</v>
          </cell>
          <cell r="G635" t="str">
            <v>Leyes sociales marzo 2026</v>
          </cell>
          <cell r="H635" t="str">
            <v>BPS</v>
          </cell>
          <cell r="J635">
            <v>3526430</v>
          </cell>
          <cell r="K635">
            <v>22295.899999998976</v>
          </cell>
        </row>
        <row r="636">
          <cell r="E636">
            <v>46141</v>
          </cell>
          <cell r="K636">
            <v>197295.89999999898</v>
          </cell>
          <cell r="L636">
            <v>175000</v>
          </cell>
          <cell r="O636" t="str">
            <v>Cambio</v>
          </cell>
        </row>
        <row r="637">
          <cell r="E637">
            <v>46142</v>
          </cell>
          <cell r="K637">
            <v>912295.89999999898</v>
          </cell>
          <cell r="L637">
            <v>715000</v>
          </cell>
          <cell r="O637" t="str">
            <v>Cambio</v>
          </cell>
        </row>
        <row r="638">
          <cell r="E638">
            <v>46142</v>
          </cell>
          <cell r="F638" t="str">
            <v>Ajuste paramétrico</v>
          </cell>
          <cell r="G638" t="str">
            <v>AP febrero 2026 - retenciones</v>
          </cell>
          <cell r="H638" t="str">
            <v>Ceaosa</v>
          </cell>
          <cell r="J638">
            <v>721757.85</v>
          </cell>
          <cell r="K638">
            <v>190538.049999999</v>
          </cell>
        </row>
        <row r="639">
          <cell r="E639">
            <v>46142</v>
          </cell>
          <cell r="F639" t="str">
            <v>Imprevistos operativos</v>
          </cell>
          <cell r="G639" t="str">
            <v>Timbre desvinculación Fabatec</v>
          </cell>
          <cell r="H639" t="str">
            <v>BPS</v>
          </cell>
          <cell r="J639">
            <v>270</v>
          </cell>
          <cell r="K639">
            <v>190268.049999999</v>
          </cell>
        </row>
        <row r="640">
          <cell r="E640">
            <v>46142</v>
          </cell>
          <cell r="F640" t="str">
            <v>Dirección de obra</v>
          </cell>
          <cell r="G640" t="str">
            <v>Dirección de obra marzo-abril 2026</v>
          </cell>
          <cell r="H640" t="str">
            <v>Gómez Platero</v>
          </cell>
          <cell r="J640">
            <v>178213</v>
          </cell>
          <cell r="K640">
            <v>12055.049999998999</v>
          </cell>
        </row>
        <row r="641">
          <cell r="E641">
            <v>46147</v>
          </cell>
          <cell r="K641">
            <v>37647.049999998999</v>
          </cell>
          <cell r="L641">
            <v>25592</v>
          </cell>
          <cell r="O641" t="str">
            <v>Reinegro préstamos LIV Residencial</v>
          </cell>
        </row>
        <row r="642">
          <cell r="E642">
            <v>46147</v>
          </cell>
          <cell r="K642">
            <v>12967647.049999999</v>
          </cell>
          <cell r="L642">
            <v>12930000</v>
          </cell>
          <cell r="O642" t="str">
            <v>Cambio</v>
          </cell>
        </row>
        <row r="643">
          <cell r="E643">
            <v>46147</v>
          </cell>
          <cell r="F643" t="str">
            <v>Obra constructora pesos</v>
          </cell>
          <cell r="G643" t="str">
            <v>Avance básico marzo 2026 - retenciones y aportes patronales</v>
          </cell>
          <cell r="H643" t="str">
            <v>Ceaosa</v>
          </cell>
          <cell r="J643">
            <v>12769882.26</v>
          </cell>
          <cell r="K643">
            <v>197764.78999999911</v>
          </cell>
        </row>
        <row r="644">
          <cell r="E644">
            <v>46147</v>
          </cell>
          <cell r="F644" t="str">
            <v>Agrimensura</v>
          </cell>
          <cell r="G644" t="str">
            <v>Honorarios agrimensura cuota 8 marzo-abril 2026</v>
          </cell>
          <cell r="H644" t="str">
            <v>Estudio Boix</v>
          </cell>
          <cell r="J644">
            <v>126047.9</v>
          </cell>
          <cell r="K644">
            <v>71716.889999999112</v>
          </cell>
        </row>
        <row r="645">
          <cell r="E645">
            <v>46147</v>
          </cell>
          <cell r="F645" t="str">
            <v>Publicidad por etapa 1 y 2</v>
          </cell>
          <cell r="G645" t="str">
            <v>Salida AyD LIV nova marzo-abril</v>
          </cell>
          <cell r="H645" t="str">
            <v>AyD</v>
          </cell>
          <cell r="I645">
            <v>8800</v>
          </cell>
          <cell r="J645">
            <v>48800</v>
          </cell>
          <cell r="K645">
            <v>22916.889999999112</v>
          </cell>
        </row>
        <row r="646">
          <cell r="E646">
            <v>46147</v>
          </cell>
          <cell r="F646" t="str">
            <v>Imprevistos operativos</v>
          </cell>
          <cell r="G646" t="str">
            <v>Gastos Bancarios</v>
          </cell>
          <cell r="H646" t="str">
            <v>Itaú</v>
          </cell>
          <cell r="J646">
            <v>76.3</v>
          </cell>
          <cell r="K646">
            <v>22840.589999999112</v>
          </cell>
        </row>
        <row r="647">
          <cell r="E647">
            <v>46155</v>
          </cell>
          <cell r="K647">
            <v>197840.58999999912</v>
          </cell>
          <cell r="L647">
            <v>175000</v>
          </cell>
          <cell r="O647" t="str">
            <v>Cambio</v>
          </cell>
        </row>
        <row r="648">
          <cell r="E648">
            <v>46155</v>
          </cell>
          <cell r="F648" t="str">
            <v>Publicidad por etapa 1 y 2</v>
          </cell>
          <cell r="G648" t="str">
            <v>Producción mensual abril 2026</v>
          </cell>
          <cell r="H648" t="str">
            <v>Silvestre</v>
          </cell>
          <cell r="I648">
            <v>7981.16</v>
          </cell>
          <cell r="J648">
            <v>44259.16</v>
          </cell>
          <cell r="K648">
            <v>153581.42999999912</v>
          </cell>
        </row>
        <row r="649">
          <cell r="E649">
            <v>46155</v>
          </cell>
          <cell r="F649" t="str">
            <v>Consumo UTE y OSE por etapa 1 y 2</v>
          </cell>
          <cell r="G649" t="str">
            <v>Saldo despacho luminarias - saldos a favor otras carpetas</v>
          </cell>
          <cell r="H649" t="str">
            <v>Rodríguez despachantes</v>
          </cell>
          <cell r="J649">
            <v>3790</v>
          </cell>
          <cell r="K649">
            <v>149791.42999999912</v>
          </cell>
        </row>
        <row r="650">
          <cell r="E650">
            <v>46155</v>
          </cell>
          <cell r="F650" t="str">
            <v>Publicidad por etapa 1 y 2</v>
          </cell>
          <cell r="G650" t="str">
            <v>Servicio de comunicación mayo 2026</v>
          </cell>
          <cell r="H650" t="str">
            <v>Silvestre</v>
          </cell>
          <cell r="I650">
            <v>11401.28</v>
          </cell>
          <cell r="J650">
            <v>63225.279999999999</v>
          </cell>
          <cell r="K650">
            <v>86566.149999999121</v>
          </cell>
        </row>
        <row r="651">
          <cell r="E651">
            <v>46155</v>
          </cell>
          <cell r="F651" t="str">
            <v>Publicidad por etapa 1 y 2</v>
          </cell>
          <cell r="G651" t="str">
            <v>Servicio de comunicación abril 2026</v>
          </cell>
          <cell r="H651" t="str">
            <v>Silvestre</v>
          </cell>
          <cell r="I651">
            <v>11401.28</v>
          </cell>
          <cell r="J651">
            <v>63225.279999999999</v>
          </cell>
          <cell r="K651">
            <v>23340.869999999122</v>
          </cell>
        </row>
        <row r="652">
          <cell r="E652">
            <v>46163</v>
          </cell>
          <cell r="K652">
            <v>11408340.869999999</v>
          </cell>
          <cell r="L652">
            <v>11385000</v>
          </cell>
          <cell r="O652" t="str">
            <v>Cambio</v>
          </cell>
        </row>
        <row r="653">
          <cell r="E653">
            <v>46163</v>
          </cell>
          <cell r="F653" t="str">
            <v>Obra constructora pesos</v>
          </cell>
          <cell r="G653" t="str">
            <v>Certificado 17 abril 2026 - retenciones y aportes patronales</v>
          </cell>
          <cell r="H653" t="str">
            <v>Ceaosa</v>
          </cell>
          <cell r="J653">
            <v>10463410.49</v>
          </cell>
          <cell r="K653">
            <v>944930.37999999896</v>
          </cell>
        </row>
        <row r="654">
          <cell r="E654">
            <v>46163</v>
          </cell>
          <cell r="F654" t="str">
            <v>Ajuste paramétrico</v>
          </cell>
          <cell r="G654" t="str">
            <v>AP marzo 2026 - retenciones</v>
          </cell>
          <cell r="H654" t="str">
            <v>Ceaosa</v>
          </cell>
          <cell r="J654">
            <v>919576.1</v>
          </cell>
          <cell r="K654">
            <v>25354.27999999898</v>
          </cell>
        </row>
        <row r="655">
          <cell r="E655">
            <v>46167</v>
          </cell>
          <cell r="K655">
            <v>4100354.2799999989</v>
          </cell>
          <cell r="L655">
            <v>4075000</v>
          </cell>
          <cell r="O655" t="str">
            <v>Cambio</v>
          </cell>
        </row>
        <row r="656">
          <cell r="E656">
            <v>46167</v>
          </cell>
          <cell r="F656" t="str">
            <v>LLSS</v>
          </cell>
          <cell r="G656" t="str">
            <v>Leyes sociales abril 2026</v>
          </cell>
          <cell r="H656" t="str">
            <v>BPS</v>
          </cell>
          <cell r="J656">
            <v>3426140</v>
          </cell>
          <cell r="K656">
            <v>674214.27999999886</v>
          </cell>
        </row>
        <row r="657">
          <cell r="E657">
            <v>46168</v>
          </cell>
          <cell r="F657" t="str">
            <v>Imprevistos operativos</v>
          </cell>
          <cell r="G657" t="str">
            <v>Gestión certificado especial para gravar (para hipoteca)</v>
          </cell>
          <cell r="H657" t="str">
            <v>Estudio Ferulano</v>
          </cell>
          <cell r="I657">
            <v>1848</v>
          </cell>
          <cell r="J657">
            <v>10708</v>
          </cell>
          <cell r="K657">
            <v>663506.27999999886</v>
          </cell>
        </row>
        <row r="658">
          <cell r="E658">
            <v>46168</v>
          </cell>
          <cell r="F658" t="str">
            <v>Imprevistos operativos</v>
          </cell>
          <cell r="G658" t="str">
            <v>Gastos Bancarios</v>
          </cell>
          <cell r="H658" t="str">
            <v>Itaú</v>
          </cell>
          <cell r="J658">
            <v>76.02</v>
          </cell>
          <cell r="K658">
            <v>663430.25999999885</v>
          </cell>
        </row>
        <row r="659">
          <cell r="E659">
            <v>46168</v>
          </cell>
          <cell r="F659" t="str">
            <v>Publicidad por etapa 1 y 2</v>
          </cell>
          <cell r="G659" t="str">
            <v>Cascos para visita a obra propietarios (reintegro LT)</v>
          </cell>
          <cell r="H659" t="str">
            <v>Mercado libre</v>
          </cell>
          <cell r="I659">
            <v>1677.05</v>
          </cell>
          <cell r="J659">
            <v>9300</v>
          </cell>
          <cell r="K659">
            <v>654130.25999999885</v>
          </cell>
        </row>
        <row r="660">
          <cell r="E660">
            <v>46168</v>
          </cell>
          <cell r="F660" t="str">
            <v>Imprevistos operativos</v>
          </cell>
          <cell r="G660" t="str">
            <v>Gastos Bancarios</v>
          </cell>
          <cell r="H660" t="str">
            <v>Itaú</v>
          </cell>
          <cell r="J660">
            <v>76.02</v>
          </cell>
          <cell r="K660">
            <v>654054.23999999883</v>
          </cell>
        </row>
        <row r="661">
          <cell r="E661">
            <v>46168</v>
          </cell>
          <cell r="F661" t="str">
            <v>Imprevistos operativos</v>
          </cell>
          <cell r="G661" t="str">
            <v>Timbre por desvinculación</v>
          </cell>
          <cell r="H661" t="str">
            <v>BPS</v>
          </cell>
          <cell r="J661">
            <v>270</v>
          </cell>
          <cell r="K661">
            <v>653784.23999999883</v>
          </cell>
        </row>
        <row r="662">
          <cell r="E662">
            <v>46168</v>
          </cell>
          <cell r="F662" t="str">
            <v>Dirección de obra</v>
          </cell>
          <cell r="G662" t="str">
            <v>Dirección de obra abril-mayo 2026</v>
          </cell>
          <cell r="H662" t="str">
            <v>Gómez Platero</v>
          </cell>
          <cell r="J662">
            <v>639410</v>
          </cell>
          <cell r="K662">
            <v>14374.239999998827</v>
          </cell>
        </row>
        <row r="663">
          <cell r="E663">
            <v>46170</v>
          </cell>
          <cell r="K663">
            <v>114374.23999999883</v>
          </cell>
          <cell r="L663">
            <v>100000</v>
          </cell>
          <cell r="O663" t="str">
            <v>Cambio</v>
          </cell>
        </row>
        <row r="664">
          <cell r="E664">
            <v>46170</v>
          </cell>
          <cell r="F664" t="str">
            <v>Consumo UTE y OSE por etapa 1 y 2</v>
          </cell>
          <cell r="G664" t="str">
            <v>Anticipo importación luminarias</v>
          </cell>
          <cell r="H664" t="str">
            <v>Rodríguez despachantes</v>
          </cell>
          <cell r="I664">
            <v>3917</v>
          </cell>
          <cell r="J664">
            <v>88100</v>
          </cell>
          <cell r="K664">
            <v>26274.239999998827</v>
          </cell>
        </row>
        <row r="665">
          <cell r="E665">
            <v>46171</v>
          </cell>
          <cell r="F665" t="str">
            <v>Publicidad por etapa 1 y 2</v>
          </cell>
          <cell r="G665" t="str">
            <v>Cascos visitas propietarios (Reintegro TH)</v>
          </cell>
          <cell r="H665" t="str">
            <v>Ferretería Arocena</v>
          </cell>
          <cell r="I665">
            <v>775.62</v>
          </cell>
          <cell r="J665">
            <v>4301.18</v>
          </cell>
          <cell r="K665">
            <v>21973.059999998826</v>
          </cell>
        </row>
        <row r="666">
          <cell r="E666">
            <v>46175</v>
          </cell>
          <cell r="F666" t="str">
            <v>Publicidad por etapa 1 y 2</v>
          </cell>
          <cell r="K666">
            <v>25246.059999998826</v>
          </cell>
          <cell r="L666">
            <v>3273</v>
          </cell>
          <cell r="O666" t="str">
            <v xml:space="preserve">Reintegro cascos visitas obra </v>
          </cell>
        </row>
        <row r="667">
          <cell r="E667">
            <v>46175</v>
          </cell>
          <cell r="K667">
            <v>75246.059999998834</v>
          </cell>
          <cell r="L667">
            <v>50000</v>
          </cell>
          <cell r="O667" t="str">
            <v>Cambio</v>
          </cell>
        </row>
        <row r="668">
          <cell r="E668">
            <v>46175</v>
          </cell>
          <cell r="F668" t="str">
            <v>Consumo UTE y OSE por etapa 1 y 2</v>
          </cell>
          <cell r="G668" t="str">
            <v>Anticipos carpetas UY 6848 UY 6870 Saldo carpeta UY 6867</v>
          </cell>
          <cell r="H668" t="str">
            <v>Rodríguez Despachantes</v>
          </cell>
          <cell r="J668">
            <v>58008</v>
          </cell>
          <cell r="K668">
            <v>17238.059999998834</v>
          </cell>
        </row>
        <row r="669">
          <cell r="E669">
            <v>46195</v>
          </cell>
          <cell r="K669">
            <v>3967238.0599999987</v>
          </cell>
          <cell r="L669">
            <v>3950000</v>
          </cell>
          <cell r="O669" t="str">
            <v>Cambio</v>
          </cell>
        </row>
        <row r="670">
          <cell r="E670">
            <v>46195</v>
          </cell>
          <cell r="F670" t="str">
            <v>LLSS</v>
          </cell>
          <cell r="G670" t="str">
            <v>Leyes sociales mayo 2026</v>
          </cell>
          <cell r="H670" t="str">
            <v>BPS</v>
          </cell>
          <cell r="J670">
            <v>3423923</v>
          </cell>
          <cell r="K670">
            <v>543315.05999999866</v>
          </cell>
        </row>
        <row r="671">
          <cell r="E671">
            <v>46198</v>
          </cell>
          <cell r="K671">
            <v>13298315.059999999</v>
          </cell>
          <cell r="L671">
            <v>12755000</v>
          </cell>
          <cell r="O671" t="str">
            <v>Cambio</v>
          </cell>
        </row>
        <row r="672">
          <cell r="E672">
            <v>46198</v>
          </cell>
          <cell r="F672" t="str">
            <v>Agrimensura</v>
          </cell>
          <cell r="G672" t="str">
            <v>Ing. Agrimensor cuota 9 mayo-junio 2026</v>
          </cell>
          <cell r="H672" t="str">
            <v>Estudio Boix</v>
          </cell>
          <cell r="J672">
            <v>127839.43</v>
          </cell>
          <cell r="K672">
            <v>13170475.629999999</v>
          </cell>
        </row>
        <row r="673">
          <cell r="E673">
            <v>46198</v>
          </cell>
          <cell r="F673" t="str">
            <v>Ajuste paramétrico</v>
          </cell>
          <cell r="G673" t="str">
            <v>Ajuste paramétrico abril 2026</v>
          </cell>
          <cell r="H673" t="str">
            <v>Ceaosa</v>
          </cell>
          <cell r="J673">
            <v>823215.41</v>
          </cell>
          <cell r="K673">
            <v>12347260.219999999</v>
          </cell>
        </row>
        <row r="674">
          <cell r="E674">
            <v>46198</v>
          </cell>
          <cell r="F674" t="str">
            <v>Obra constructora pesos</v>
          </cell>
          <cell r="G674" t="str">
            <v>Certificado 18 mayo 2026 - retenciones y aportes patronales</v>
          </cell>
          <cell r="H674" t="str">
            <v>Ceaosa</v>
          </cell>
          <cell r="J674">
            <v>12751007.84</v>
          </cell>
          <cell r="K674">
            <v>-403747.62000000104</v>
          </cell>
        </row>
        <row r="675">
          <cell r="E675">
            <v>46198</v>
          </cell>
          <cell r="F675" t="str">
            <v>Imprevistos obra</v>
          </cell>
          <cell r="G675" t="str">
            <v>AyD mayo 2026 (Descontados de certificado básico)</v>
          </cell>
          <cell r="H675" t="str">
            <v>Ceaosa</v>
          </cell>
          <cell r="J675">
            <v>-421910.2</v>
          </cell>
          <cell r="K675">
            <v>18162.579999998969</v>
          </cell>
        </row>
        <row r="676">
          <cell r="E676">
            <v>46203</v>
          </cell>
          <cell r="K676">
            <v>448162.57999999897</v>
          </cell>
          <cell r="L676">
            <v>430000</v>
          </cell>
          <cell r="O676" t="str">
            <v>Cambio</v>
          </cell>
        </row>
        <row r="677">
          <cell r="E677">
            <v>46203</v>
          </cell>
          <cell r="F677" t="str">
            <v>Consumo UTE y OSE por etapa 1 y 2</v>
          </cell>
          <cell r="G677" t="str">
            <v xml:space="preserve">Costos despachos luminarias </v>
          </cell>
          <cell r="H677" t="str">
            <v>Rdz Despachantes</v>
          </cell>
          <cell r="I677">
            <v>8909</v>
          </cell>
          <cell r="J677">
            <v>124291</v>
          </cell>
          <cell r="K677">
            <v>323871.57999999897</v>
          </cell>
        </row>
        <row r="678">
          <cell r="E678">
            <v>46203</v>
          </cell>
          <cell r="F678" t="str">
            <v>Publicidad por etapa 1 y 2</v>
          </cell>
          <cell r="G678" t="str">
            <v>Anualidad intercountries (5 salidas)</v>
          </cell>
          <cell r="H678" t="str">
            <v>Intercountries</v>
          </cell>
          <cell r="I678">
            <v>18040</v>
          </cell>
          <cell r="J678">
            <v>250100</v>
          </cell>
          <cell r="K678">
            <v>73771.579999998969</v>
          </cell>
        </row>
        <row r="679">
          <cell r="E679">
            <v>46203</v>
          </cell>
          <cell r="F679" t="str">
            <v>Publicidad por etapa 1 y 2</v>
          </cell>
          <cell r="G679" t="str">
            <v>Ploteo logo "La Martina" cartel</v>
          </cell>
          <cell r="H679" t="str">
            <v>Arocena Hermanos</v>
          </cell>
          <cell r="I679">
            <v>325.60000000000002</v>
          </cell>
          <cell r="J679">
            <v>1805.6</v>
          </cell>
          <cell r="K679">
            <v>71965.979999998963</v>
          </cell>
        </row>
        <row r="680">
          <cell r="E680">
            <v>46203</v>
          </cell>
          <cell r="F680" t="str">
            <v>Publicidad por etapa 1 y 2</v>
          </cell>
          <cell r="G680" t="str">
            <v>Publicación junio-julio (LIV3)</v>
          </cell>
          <cell r="H680" t="str">
            <v>AyD</v>
          </cell>
          <cell r="I680">
            <v>8800</v>
          </cell>
          <cell r="J680">
            <v>48800</v>
          </cell>
          <cell r="K680">
            <v>23165.979999998963</v>
          </cell>
        </row>
        <row r="681">
          <cell r="E681">
            <v>46203</v>
          </cell>
          <cell r="F681" t="str">
            <v>Imprevistos operativos</v>
          </cell>
          <cell r="G681" t="str">
            <v>Gastos Bancarios</v>
          </cell>
          <cell r="H681" t="str">
            <v>Itaú</v>
          </cell>
          <cell r="J681">
            <v>76.33</v>
          </cell>
          <cell r="K681">
            <v>23089.649999998961</v>
          </cell>
        </row>
        <row r="682">
          <cell r="K682">
            <v>23089.649999998961</v>
          </cell>
        </row>
        <row r="683">
          <cell r="K683">
            <v>23089.649999998961</v>
          </cell>
        </row>
        <row r="684">
          <cell r="K684">
            <v>23089.649999998961</v>
          </cell>
        </row>
        <row r="685">
          <cell r="K685">
            <v>23089.649999998961</v>
          </cell>
        </row>
        <row r="686">
          <cell r="K686">
            <v>23089.649999998961</v>
          </cell>
        </row>
        <row r="687">
          <cell r="K687">
            <v>23089.649999998961</v>
          </cell>
        </row>
        <row r="688">
          <cell r="K688">
            <v>23089.649999998961</v>
          </cell>
        </row>
        <row r="689">
          <cell r="K689">
            <v>23089.649999998961</v>
          </cell>
        </row>
        <row r="690">
          <cell r="K690">
            <v>23089.649999998961</v>
          </cell>
        </row>
        <row r="691">
          <cell r="K691">
            <v>23089.649999998961</v>
          </cell>
        </row>
        <row r="692">
          <cell r="K692">
            <v>23089.649999998961</v>
          </cell>
        </row>
        <row r="693">
          <cell r="K693">
            <v>23089.649999998961</v>
          </cell>
        </row>
        <row r="694">
          <cell r="K694">
            <v>23089.649999998961</v>
          </cell>
        </row>
        <row r="695">
          <cell r="K695">
            <v>23089.649999998961</v>
          </cell>
        </row>
        <row r="696">
          <cell r="K696">
            <v>23089.649999998961</v>
          </cell>
        </row>
        <row r="697">
          <cell r="K697">
            <v>23089.649999998961</v>
          </cell>
        </row>
        <row r="698">
          <cell r="K698">
            <v>23089.649999998961</v>
          </cell>
        </row>
        <row r="699">
          <cell r="K699">
            <v>23089.649999998961</v>
          </cell>
        </row>
        <row r="700">
          <cell r="K700">
            <v>23089.649999998961</v>
          </cell>
        </row>
        <row r="701">
          <cell r="K701">
            <v>23089.649999998961</v>
          </cell>
        </row>
        <row r="702">
          <cell r="K702">
            <v>23089.649999998961</v>
          </cell>
        </row>
        <row r="703">
          <cell r="K703">
            <v>23089.649999998961</v>
          </cell>
        </row>
        <row r="704">
          <cell r="K704">
            <v>23089.649999998961</v>
          </cell>
        </row>
        <row r="705">
          <cell r="K705">
            <v>23089.649999998961</v>
          </cell>
        </row>
        <row r="706">
          <cell r="K706">
            <v>23089.649999998961</v>
          </cell>
        </row>
        <row r="707">
          <cell r="K707">
            <v>23089.649999998961</v>
          </cell>
        </row>
        <row r="708">
          <cell r="K708">
            <v>23089.649999998961</v>
          </cell>
        </row>
        <row r="709">
          <cell r="K709">
            <v>23089.649999998961</v>
          </cell>
        </row>
        <row r="710">
          <cell r="K710">
            <v>23089.649999998961</v>
          </cell>
        </row>
        <row r="711">
          <cell r="K711">
            <v>23089.649999998961</v>
          </cell>
        </row>
        <row r="712">
          <cell r="K712">
            <v>23089.649999998961</v>
          </cell>
        </row>
        <row r="713">
          <cell r="K713">
            <v>23089.649999998961</v>
          </cell>
        </row>
        <row r="714">
          <cell r="K714">
            <v>23089.649999998961</v>
          </cell>
        </row>
        <row r="715">
          <cell r="K715">
            <v>23089.649999998961</v>
          </cell>
        </row>
        <row r="716">
          <cell r="K716">
            <v>23089.649999998961</v>
          </cell>
        </row>
        <row r="717">
          <cell r="K717">
            <v>23089.649999998961</v>
          </cell>
        </row>
        <row r="718">
          <cell r="K718">
            <v>23089.649999998961</v>
          </cell>
        </row>
        <row r="719">
          <cell r="K719">
            <v>23089.649999998961</v>
          </cell>
        </row>
        <row r="720">
          <cell r="K720">
            <v>23089.649999998961</v>
          </cell>
        </row>
        <row r="721">
          <cell r="K721">
            <v>23089.649999998961</v>
          </cell>
        </row>
        <row r="722">
          <cell r="K722">
            <v>23089.649999998961</v>
          </cell>
        </row>
        <row r="723">
          <cell r="K723">
            <v>23089.649999998961</v>
          </cell>
        </row>
        <row r="724">
          <cell r="K724">
            <v>23089.649999998961</v>
          </cell>
        </row>
        <row r="725">
          <cell r="K725">
            <v>23089.649999998961</v>
          </cell>
        </row>
        <row r="726">
          <cell r="K726">
            <v>23089.649999998961</v>
          </cell>
        </row>
        <row r="727">
          <cell r="K727">
            <v>23089.649999998961</v>
          </cell>
        </row>
        <row r="728">
          <cell r="K728">
            <v>23089.649999998961</v>
          </cell>
        </row>
        <row r="729">
          <cell r="K729">
            <v>23089.649999998961</v>
          </cell>
        </row>
        <row r="730">
          <cell r="K730">
            <v>23089.649999998961</v>
          </cell>
        </row>
        <row r="731">
          <cell r="K731">
            <v>23089.649999998961</v>
          </cell>
        </row>
        <row r="732">
          <cell r="K732">
            <v>23089.649999998961</v>
          </cell>
        </row>
        <row r="733">
          <cell r="K733">
            <v>23089.649999998961</v>
          </cell>
        </row>
        <row r="734">
          <cell r="K734">
            <v>23089.649999998961</v>
          </cell>
        </row>
        <row r="735">
          <cell r="K735">
            <v>23089.649999998961</v>
          </cell>
        </row>
        <row r="736">
          <cell r="K736">
            <v>23089.649999998961</v>
          </cell>
        </row>
        <row r="737">
          <cell r="K737">
            <v>23089.649999998961</v>
          </cell>
        </row>
        <row r="738">
          <cell r="K738">
            <v>23089.649999998961</v>
          </cell>
        </row>
        <row r="739">
          <cell r="K739">
            <v>23089.649999998961</v>
          </cell>
        </row>
        <row r="740">
          <cell r="K740">
            <v>23089.649999998961</v>
          </cell>
        </row>
        <row r="741">
          <cell r="K741">
            <v>23089.649999998961</v>
          </cell>
        </row>
        <row r="742">
          <cell r="K742">
            <v>23089.649999998961</v>
          </cell>
        </row>
        <row r="743">
          <cell r="K743">
            <v>23089.649999998961</v>
          </cell>
        </row>
        <row r="744">
          <cell r="K744">
            <v>23089.649999998961</v>
          </cell>
        </row>
        <row r="745">
          <cell r="K745">
            <v>23089.649999998961</v>
          </cell>
        </row>
        <row r="746">
          <cell r="K746">
            <v>23089.649999998961</v>
          </cell>
        </row>
        <row r="747">
          <cell r="K747">
            <v>23089.649999998961</v>
          </cell>
        </row>
        <row r="748">
          <cell r="K748">
            <v>23089.649999998961</v>
          </cell>
        </row>
        <row r="749">
          <cell r="K749">
            <v>23089.649999998961</v>
          </cell>
        </row>
        <row r="750">
          <cell r="K750">
            <v>23089.649999998961</v>
          </cell>
        </row>
        <row r="751">
          <cell r="K751">
            <v>23089.649999998961</v>
          </cell>
        </row>
        <row r="752">
          <cell r="K752">
            <v>23089.649999998961</v>
          </cell>
        </row>
        <row r="753">
          <cell r="K753">
            <v>23089.649999998961</v>
          </cell>
        </row>
        <row r="754">
          <cell r="K754">
            <v>23089.649999998961</v>
          </cell>
        </row>
        <row r="755">
          <cell r="K755">
            <v>23089.649999998961</v>
          </cell>
        </row>
        <row r="756">
          <cell r="K756">
            <v>23089.649999998961</v>
          </cell>
        </row>
        <row r="757">
          <cell r="K757">
            <v>23089.649999998961</v>
          </cell>
        </row>
        <row r="758">
          <cell r="K758">
            <v>23089.649999998961</v>
          </cell>
        </row>
        <row r="759">
          <cell r="K759">
            <v>23089.649999998961</v>
          </cell>
        </row>
        <row r="760">
          <cell r="K760">
            <v>23089.649999998961</v>
          </cell>
        </row>
        <row r="761">
          <cell r="K761">
            <v>23089.649999998961</v>
          </cell>
        </row>
        <row r="762">
          <cell r="K762">
            <v>23089.649999998961</v>
          </cell>
        </row>
        <row r="763">
          <cell r="K763">
            <v>23089.649999998961</v>
          </cell>
        </row>
        <row r="764">
          <cell r="K764">
            <v>23089.649999998961</v>
          </cell>
        </row>
        <row r="765">
          <cell r="K765">
            <v>23089.649999998961</v>
          </cell>
        </row>
        <row r="766">
          <cell r="K766">
            <v>23089.649999998961</v>
          </cell>
        </row>
        <row r="767">
          <cell r="K767">
            <v>23089.649999998961</v>
          </cell>
        </row>
        <row r="768">
          <cell r="K768">
            <v>23089.649999998961</v>
          </cell>
        </row>
        <row r="769">
          <cell r="K769">
            <v>23089.649999998961</v>
          </cell>
        </row>
        <row r="770">
          <cell r="K770">
            <v>23089.649999998961</v>
          </cell>
        </row>
        <row r="771">
          <cell r="K771">
            <v>23089.649999998961</v>
          </cell>
        </row>
        <row r="772">
          <cell r="K772">
            <v>23089.649999998961</v>
          </cell>
        </row>
        <row r="773">
          <cell r="K773">
            <v>23089.649999998961</v>
          </cell>
        </row>
        <row r="774">
          <cell r="K774">
            <v>23089.649999998961</v>
          </cell>
        </row>
        <row r="775">
          <cell r="K775">
            <v>23089.649999998961</v>
          </cell>
        </row>
        <row r="776">
          <cell r="K776">
            <v>23089.649999998961</v>
          </cell>
        </row>
        <row r="777">
          <cell r="K777">
            <v>23089.649999998961</v>
          </cell>
        </row>
        <row r="778">
          <cell r="K778">
            <v>23089.649999998961</v>
          </cell>
        </row>
        <row r="779">
          <cell r="K779">
            <v>23089.649999998961</v>
          </cell>
        </row>
        <row r="780">
          <cell r="K780">
            <v>23089.649999998961</v>
          </cell>
        </row>
        <row r="781">
          <cell r="K781">
            <v>23089.649999998961</v>
          </cell>
        </row>
        <row r="782">
          <cell r="K782">
            <v>23089.649999998961</v>
          </cell>
        </row>
        <row r="783">
          <cell r="K783">
            <v>23089.649999998961</v>
          </cell>
        </row>
        <row r="784">
          <cell r="K784">
            <v>23089.649999998961</v>
          </cell>
        </row>
        <row r="785">
          <cell r="K785">
            <v>23089.649999998961</v>
          </cell>
        </row>
        <row r="786">
          <cell r="K786">
            <v>23089.649999998961</v>
          </cell>
        </row>
        <row r="787">
          <cell r="K787">
            <v>23089.649999998961</v>
          </cell>
        </row>
        <row r="788">
          <cell r="K788">
            <v>23089.649999998961</v>
          </cell>
        </row>
        <row r="789">
          <cell r="K789">
            <v>23089.649999998961</v>
          </cell>
        </row>
        <row r="790">
          <cell r="K790">
            <v>23089.649999998961</v>
          </cell>
        </row>
        <row r="791">
          <cell r="K791">
            <v>23089.649999998961</v>
          </cell>
        </row>
        <row r="792">
          <cell r="K792">
            <v>23089.649999998961</v>
          </cell>
        </row>
        <row r="793">
          <cell r="K793">
            <v>23089.649999998961</v>
          </cell>
        </row>
        <row r="794">
          <cell r="K794">
            <v>23089.649999998961</v>
          </cell>
        </row>
        <row r="795">
          <cell r="K795">
            <v>23089.649999998961</v>
          </cell>
        </row>
        <row r="796">
          <cell r="K796">
            <v>23089.649999998961</v>
          </cell>
        </row>
        <row r="797">
          <cell r="K797">
            <v>23089.649999998961</v>
          </cell>
        </row>
        <row r="798">
          <cell r="K798">
            <v>23089.649999998961</v>
          </cell>
        </row>
        <row r="799">
          <cell r="K799">
            <v>23089.649999998961</v>
          </cell>
        </row>
        <row r="800">
          <cell r="K800">
            <v>23089.649999998961</v>
          </cell>
        </row>
        <row r="801">
          <cell r="K801">
            <v>23089.649999998961</v>
          </cell>
        </row>
        <row r="802">
          <cell r="K802">
            <v>23089.649999998961</v>
          </cell>
        </row>
        <row r="803">
          <cell r="K803">
            <v>23089.649999998961</v>
          </cell>
        </row>
        <row r="804">
          <cell r="K804">
            <v>23089.649999998961</v>
          </cell>
        </row>
        <row r="805">
          <cell r="K805">
            <v>23089.649999998961</v>
          </cell>
        </row>
        <row r="806">
          <cell r="K806">
            <v>23089.649999998961</v>
          </cell>
        </row>
        <row r="807">
          <cell r="K807">
            <v>23089.649999998961</v>
          </cell>
        </row>
        <row r="808">
          <cell r="K808">
            <v>23089.649999998961</v>
          </cell>
        </row>
        <row r="809">
          <cell r="K809">
            <v>23089.649999998961</v>
          </cell>
        </row>
        <row r="810">
          <cell r="K810">
            <v>23089.649999998961</v>
          </cell>
        </row>
        <row r="811">
          <cell r="K811">
            <v>23089.649999998961</v>
          </cell>
        </row>
        <row r="812">
          <cell r="K812">
            <v>23089.649999998961</v>
          </cell>
        </row>
        <row r="813">
          <cell r="K813">
            <v>23089.649999998961</v>
          </cell>
        </row>
        <row r="814">
          <cell r="K814">
            <v>23089.649999998961</v>
          </cell>
        </row>
        <row r="815">
          <cell r="K815">
            <v>23089.649999998961</v>
          </cell>
        </row>
        <row r="816">
          <cell r="K816">
            <v>23089.649999998961</v>
          </cell>
        </row>
        <row r="817">
          <cell r="K817">
            <v>23089.649999998961</v>
          </cell>
        </row>
        <row r="818">
          <cell r="K818">
            <v>23089.649999998961</v>
          </cell>
        </row>
        <row r="819">
          <cell r="K819">
            <v>23089.649999998961</v>
          </cell>
        </row>
        <row r="820">
          <cell r="K820">
            <v>23089.649999998961</v>
          </cell>
        </row>
        <row r="821">
          <cell r="K821">
            <v>23089.649999998961</v>
          </cell>
        </row>
        <row r="822">
          <cell r="K822">
            <v>23089.649999998961</v>
          </cell>
        </row>
        <row r="823">
          <cell r="K823">
            <v>23089.649999998961</v>
          </cell>
        </row>
        <row r="824">
          <cell r="K824">
            <v>23089.649999998961</v>
          </cell>
        </row>
        <row r="825">
          <cell r="K825">
            <v>23089.649999998961</v>
          </cell>
        </row>
        <row r="826">
          <cell r="K826">
            <v>23089.649999998961</v>
          </cell>
        </row>
        <row r="827">
          <cell r="K827">
            <v>23089.649999998961</v>
          </cell>
        </row>
        <row r="828">
          <cell r="K828">
            <v>23089.649999998961</v>
          </cell>
        </row>
        <row r="829">
          <cell r="K829">
            <v>23089.649999998961</v>
          </cell>
        </row>
        <row r="830">
          <cell r="K830">
            <v>23089.649999998961</v>
          </cell>
        </row>
        <row r="831">
          <cell r="K831">
            <v>23089.649999998961</v>
          </cell>
        </row>
        <row r="832">
          <cell r="K832">
            <v>23089.649999998961</v>
          </cell>
        </row>
        <row r="833">
          <cell r="K833">
            <v>23089.649999998961</v>
          </cell>
        </row>
        <row r="834">
          <cell r="K834">
            <v>23089.649999998961</v>
          </cell>
        </row>
        <row r="835">
          <cell r="K835">
            <v>23089.649999998961</v>
          </cell>
        </row>
        <row r="836">
          <cell r="K836">
            <v>23089.649999998961</v>
          </cell>
        </row>
        <row r="837">
          <cell r="K837">
            <v>23089.649999998961</v>
          </cell>
        </row>
        <row r="838">
          <cell r="K838">
            <v>23089.649999998961</v>
          </cell>
        </row>
        <row r="839">
          <cell r="K839">
            <v>23089.649999998961</v>
          </cell>
        </row>
        <row r="840">
          <cell r="K840">
            <v>23089.649999998961</v>
          </cell>
        </row>
        <row r="841">
          <cell r="K841">
            <v>23089.649999998961</v>
          </cell>
        </row>
        <row r="842">
          <cell r="K842">
            <v>23089.649999998961</v>
          </cell>
        </row>
        <row r="843">
          <cell r="K843">
            <v>23089.649999998961</v>
          </cell>
        </row>
        <row r="844">
          <cell r="K844">
            <v>23089.649999998961</v>
          </cell>
        </row>
        <row r="845">
          <cell r="K845">
            <v>23089.649999998961</v>
          </cell>
        </row>
        <row r="846">
          <cell r="K846">
            <v>23089.649999998961</v>
          </cell>
        </row>
        <row r="847">
          <cell r="K847">
            <v>23089.649999998961</v>
          </cell>
        </row>
        <row r="848">
          <cell r="K848">
            <v>23089.649999998961</v>
          </cell>
        </row>
        <row r="849">
          <cell r="K849">
            <v>23089.649999998961</v>
          </cell>
        </row>
        <row r="850">
          <cell r="K850">
            <v>23089.649999998961</v>
          </cell>
        </row>
        <row r="851">
          <cell r="K851">
            <v>23089.649999998961</v>
          </cell>
        </row>
        <row r="852">
          <cell r="K852">
            <v>23089.649999998961</v>
          </cell>
        </row>
        <row r="853">
          <cell r="K853">
            <v>23089.649999998961</v>
          </cell>
        </row>
        <row r="854">
          <cell r="K854">
            <v>23089.649999998961</v>
          </cell>
        </row>
        <row r="855">
          <cell r="K855">
            <v>23089.649999998961</v>
          </cell>
        </row>
        <row r="856">
          <cell r="K856">
            <v>23089.649999998961</v>
          </cell>
        </row>
        <row r="857">
          <cell r="K857">
            <v>23089.649999998961</v>
          </cell>
        </row>
        <row r="858">
          <cell r="K858">
            <v>23089.649999998961</v>
          </cell>
        </row>
        <row r="859">
          <cell r="K859">
            <v>23089.649999998961</v>
          </cell>
        </row>
        <row r="860">
          <cell r="K860">
            <v>23089.649999998961</v>
          </cell>
        </row>
        <row r="861">
          <cell r="K861">
            <v>23089.649999998961</v>
          </cell>
        </row>
        <row r="862">
          <cell r="K862">
            <v>23089.649999998961</v>
          </cell>
        </row>
        <row r="863">
          <cell r="K863">
            <v>23089.649999998961</v>
          </cell>
        </row>
        <row r="864">
          <cell r="K864">
            <v>23089.649999998961</v>
          </cell>
        </row>
        <row r="865">
          <cell r="K865">
            <v>23089.649999998961</v>
          </cell>
        </row>
        <row r="866">
          <cell r="K866">
            <v>23089.649999998961</v>
          </cell>
        </row>
        <row r="867">
          <cell r="K867">
            <v>23089.649999998961</v>
          </cell>
        </row>
        <row r="868">
          <cell r="K868">
            <v>23089.649999998961</v>
          </cell>
        </row>
        <row r="869">
          <cell r="K869">
            <v>23089.649999998961</v>
          </cell>
        </row>
        <row r="870">
          <cell r="K870">
            <v>23089.649999998961</v>
          </cell>
        </row>
        <row r="871">
          <cell r="K871">
            <v>23089.649999998961</v>
          </cell>
        </row>
        <row r="872">
          <cell r="K872">
            <v>23089.649999998961</v>
          </cell>
        </row>
        <row r="873">
          <cell r="K873">
            <v>23089.649999998961</v>
          </cell>
        </row>
        <row r="874">
          <cell r="K874">
            <v>23089.649999998961</v>
          </cell>
        </row>
        <row r="875">
          <cell r="K875">
            <v>23089.649999998961</v>
          </cell>
        </row>
        <row r="876">
          <cell r="K876">
            <v>23089.649999998961</v>
          </cell>
        </row>
        <row r="877">
          <cell r="K877">
            <v>23089.649999998961</v>
          </cell>
        </row>
        <row r="878">
          <cell r="K878">
            <v>23089.649999998961</v>
          </cell>
        </row>
        <row r="879">
          <cell r="K879">
            <v>23089.649999998961</v>
          </cell>
        </row>
        <row r="880">
          <cell r="K880">
            <v>23089.649999998961</v>
          </cell>
        </row>
        <row r="881">
          <cell r="K881">
            <v>23089.649999998961</v>
          </cell>
        </row>
        <row r="882">
          <cell r="K882">
            <v>23089.649999998961</v>
          </cell>
        </row>
        <row r="883">
          <cell r="K883">
            <v>23089.649999998961</v>
          </cell>
        </row>
        <row r="884">
          <cell r="K884">
            <v>23089.649999998961</v>
          </cell>
        </row>
        <row r="885">
          <cell r="K885">
            <v>23089.649999998961</v>
          </cell>
        </row>
        <row r="886">
          <cell r="K886">
            <v>23089.649999998961</v>
          </cell>
        </row>
        <row r="887">
          <cell r="K887">
            <v>23089.649999998961</v>
          </cell>
        </row>
        <row r="888">
          <cell r="K888">
            <v>23089.649999998961</v>
          </cell>
        </row>
        <row r="889">
          <cell r="K889">
            <v>23089.649999998961</v>
          </cell>
        </row>
        <row r="890">
          <cell r="K890">
            <v>23089.649999998961</v>
          </cell>
        </row>
        <row r="891">
          <cell r="K891">
            <v>23089.649999998961</v>
          </cell>
        </row>
        <row r="892">
          <cell r="K892">
            <v>23089.649999998961</v>
          </cell>
        </row>
        <row r="893">
          <cell r="K893">
            <v>23089.649999998961</v>
          </cell>
        </row>
        <row r="894">
          <cell r="K894">
            <v>23089.649999998961</v>
          </cell>
        </row>
        <row r="895">
          <cell r="K895">
            <v>23089.649999998961</v>
          </cell>
        </row>
        <row r="896">
          <cell r="K896">
            <v>23089.649999998961</v>
          </cell>
        </row>
        <row r="897">
          <cell r="K897">
            <v>23089.649999998961</v>
          </cell>
        </row>
        <row r="898">
          <cell r="K898">
            <v>23089.649999998961</v>
          </cell>
        </row>
        <row r="899">
          <cell r="K899">
            <v>23089.649999998961</v>
          </cell>
        </row>
        <row r="900">
          <cell r="K900">
            <v>23089.649999998961</v>
          </cell>
        </row>
        <row r="901">
          <cell r="K901">
            <v>23089.649999998961</v>
          </cell>
        </row>
        <row r="902">
          <cell r="K902">
            <v>23089.649999998961</v>
          </cell>
        </row>
        <row r="903">
          <cell r="K903">
            <v>23089.649999998961</v>
          </cell>
        </row>
        <row r="904">
          <cell r="K904">
            <v>23089.649999998961</v>
          </cell>
        </row>
        <row r="905">
          <cell r="K905">
            <v>23089.649999998961</v>
          </cell>
        </row>
        <row r="906">
          <cell r="K906">
            <v>23089.649999998961</v>
          </cell>
        </row>
        <row r="907">
          <cell r="K907">
            <v>23089.649999998961</v>
          </cell>
        </row>
        <row r="908">
          <cell r="K908">
            <v>23089.649999998961</v>
          </cell>
        </row>
        <row r="909">
          <cell r="K909">
            <v>23089.649999998961</v>
          </cell>
        </row>
        <row r="910">
          <cell r="K910">
            <v>23089.649999998961</v>
          </cell>
        </row>
        <row r="911">
          <cell r="K911">
            <v>23089.649999998961</v>
          </cell>
        </row>
        <row r="912">
          <cell r="K912">
            <v>23089.649999998961</v>
          </cell>
        </row>
        <row r="913">
          <cell r="K913">
            <v>23089.649999998961</v>
          </cell>
        </row>
        <row r="914">
          <cell r="K914">
            <v>23089.649999998961</v>
          </cell>
        </row>
        <row r="915">
          <cell r="K915">
            <v>23089.649999998961</v>
          </cell>
        </row>
        <row r="916">
          <cell r="K916">
            <v>23089.649999998961</v>
          </cell>
        </row>
        <row r="917">
          <cell r="K917">
            <v>23089.649999998961</v>
          </cell>
        </row>
        <row r="918">
          <cell r="K918">
            <v>23089.649999998961</v>
          </cell>
        </row>
        <row r="919">
          <cell r="K919">
            <v>23089.649999998961</v>
          </cell>
        </row>
        <row r="920">
          <cell r="K920">
            <v>23089.649999998961</v>
          </cell>
        </row>
        <row r="921">
          <cell r="K921">
            <v>23089.649999998961</v>
          </cell>
        </row>
        <row r="922">
          <cell r="K922">
            <v>23089.649999998961</v>
          </cell>
        </row>
        <row r="923">
          <cell r="K923">
            <v>23089.649999998961</v>
          </cell>
        </row>
        <row r="924">
          <cell r="K924">
            <v>23089.649999998961</v>
          </cell>
        </row>
        <row r="925">
          <cell r="K925">
            <v>23089.649999998961</v>
          </cell>
        </row>
        <row r="926">
          <cell r="K926">
            <v>23089.649999998961</v>
          </cell>
        </row>
        <row r="927">
          <cell r="K927">
            <v>23089.649999998961</v>
          </cell>
        </row>
        <row r="928">
          <cell r="K928">
            <v>23089.649999998961</v>
          </cell>
        </row>
        <row r="929">
          <cell r="K929">
            <v>23089.649999998961</v>
          </cell>
        </row>
        <row r="930">
          <cell r="K930">
            <v>23089.649999998961</v>
          </cell>
        </row>
        <row r="931">
          <cell r="K931">
            <v>23089.649999998961</v>
          </cell>
        </row>
        <row r="932">
          <cell r="K932">
            <v>23089.649999998961</v>
          </cell>
        </row>
        <row r="933">
          <cell r="K933">
            <v>23089.649999998961</v>
          </cell>
        </row>
        <row r="934">
          <cell r="K934">
            <v>23089.649999998961</v>
          </cell>
        </row>
        <row r="935">
          <cell r="K935">
            <v>23089.649999998961</v>
          </cell>
        </row>
        <row r="936">
          <cell r="K936">
            <v>23089.649999998961</v>
          </cell>
        </row>
        <row r="937">
          <cell r="K937">
            <v>23089.649999998961</v>
          </cell>
        </row>
        <row r="938">
          <cell r="K938">
            <v>23089.649999998961</v>
          </cell>
        </row>
        <row r="939">
          <cell r="K939">
            <v>23089.649999998961</v>
          </cell>
        </row>
        <row r="940">
          <cell r="K940">
            <v>23089.649999998961</v>
          </cell>
        </row>
        <row r="941">
          <cell r="K941">
            <v>23089.649999998961</v>
          </cell>
        </row>
        <row r="942">
          <cell r="K942">
            <v>23089.649999998961</v>
          </cell>
        </row>
        <row r="943">
          <cell r="K943">
            <v>23089.649999998961</v>
          </cell>
        </row>
        <row r="944">
          <cell r="K944">
            <v>23089.649999998961</v>
          </cell>
        </row>
        <row r="945">
          <cell r="K945">
            <v>23089.649999998961</v>
          </cell>
        </row>
        <row r="946">
          <cell r="K946">
            <v>23089.649999998961</v>
          </cell>
        </row>
        <row r="947">
          <cell r="K947">
            <v>23089.649999998961</v>
          </cell>
        </row>
        <row r="948">
          <cell r="K948">
            <v>23089.649999998961</v>
          </cell>
        </row>
        <row r="949">
          <cell r="K949">
            <v>23089.649999998961</v>
          </cell>
        </row>
        <row r="950">
          <cell r="K950">
            <v>23089.649999998961</v>
          </cell>
        </row>
        <row r="951">
          <cell r="K951">
            <v>23089.649999998961</v>
          </cell>
        </row>
        <row r="952">
          <cell r="K952">
            <v>23089.649999998961</v>
          </cell>
        </row>
        <row r="953">
          <cell r="K953">
            <v>23089.649999998961</v>
          </cell>
        </row>
        <row r="954">
          <cell r="K954">
            <v>23089.649999998961</v>
          </cell>
        </row>
        <row r="955">
          <cell r="K955">
            <v>23089.649999998961</v>
          </cell>
        </row>
        <row r="956">
          <cell r="K956">
            <v>23089.649999998961</v>
          </cell>
        </row>
        <row r="957">
          <cell r="K957">
            <v>23089.649999998961</v>
          </cell>
        </row>
        <row r="958">
          <cell r="K958">
            <v>23089.649999998961</v>
          </cell>
        </row>
        <row r="959">
          <cell r="K959">
            <v>23089.649999998961</v>
          </cell>
        </row>
        <row r="960">
          <cell r="K960">
            <v>23089.649999998961</v>
          </cell>
        </row>
        <row r="961">
          <cell r="K961">
            <v>23089.649999998961</v>
          </cell>
        </row>
        <row r="962">
          <cell r="K962">
            <v>23089.649999998961</v>
          </cell>
        </row>
        <row r="963">
          <cell r="K963">
            <v>23089.649999998961</v>
          </cell>
        </row>
        <row r="964">
          <cell r="K964">
            <v>23089.649999998961</v>
          </cell>
        </row>
        <row r="965">
          <cell r="K965">
            <v>23089.649999998961</v>
          </cell>
        </row>
        <row r="966">
          <cell r="K966">
            <v>23089.649999998961</v>
          </cell>
        </row>
        <row r="967">
          <cell r="K967">
            <v>23089.649999998961</v>
          </cell>
        </row>
        <row r="968">
          <cell r="K968">
            <v>23089.649999998961</v>
          </cell>
        </row>
        <row r="969">
          <cell r="K969">
            <v>23089.649999998961</v>
          </cell>
        </row>
        <row r="970">
          <cell r="K970">
            <v>23089.649999998961</v>
          </cell>
        </row>
        <row r="971">
          <cell r="K971">
            <v>23089.649999998961</v>
          </cell>
        </row>
        <row r="972">
          <cell r="K972">
            <v>23089.649999998961</v>
          </cell>
        </row>
        <row r="973">
          <cell r="K973">
            <v>23089.649999998961</v>
          </cell>
        </row>
        <row r="974">
          <cell r="K974">
            <v>23089.649999998961</v>
          </cell>
        </row>
        <row r="975">
          <cell r="K975">
            <v>23089.649999998961</v>
          </cell>
        </row>
        <row r="976">
          <cell r="K976">
            <v>23089.649999998961</v>
          </cell>
        </row>
        <row r="977">
          <cell r="K977">
            <v>23089.649999998961</v>
          </cell>
        </row>
        <row r="978">
          <cell r="K978">
            <v>23089.649999998961</v>
          </cell>
        </row>
        <row r="979">
          <cell r="K979">
            <v>23089.649999998961</v>
          </cell>
        </row>
        <row r="980">
          <cell r="K980">
            <v>23089.649999998961</v>
          </cell>
        </row>
        <row r="981">
          <cell r="K981">
            <v>23089.649999998961</v>
          </cell>
        </row>
        <row r="982">
          <cell r="K982">
            <v>23089.649999998961</v>
          </cell>
        </row>
        <row r="983">
          <cell r="K983">
            <v>23089.649999998961</v>
          </cell>
        </row>
        <row r="984">
          <cell r="K984">
            <v>23089.649999998961</v>
          </cell>
        </row>
        <row r="985">
          <cell r="K985">
            <v>23089.649999998961</v>
          </cell>
        </row>
        <row r="986">
          <cell r="K986">
            <v>23089.649999998961</v>
          </cell>
        </row>
        <row r="987">
          <cell r="K987">
            <v>23089.649999998961</v>
          </cell>
        </row>
        <row r="988">
          <cell r="K988">
            <v>23089.649999998961</v>
          </cell>
        </row>
        <row r="989">
          <cell r="K989">
            <v>23089.649999998961</v>
          </cell>
        </row>
        <row r="990">
          <cell r="K990">
            <v>23089.649999998961</v>
          </cell>
        </row>
        <row r="991">
          <cell r="K991">
            <v>23089.649999998961</v>
          </cell>
        </row>
        <row r="992">
          <cell r="K992">
            <v>23089.649999998961</v>
          </cell>
        </row>
        <row r="993">
          <cell r="K993">
            <v>23089.649999998961</v>
          </cell>
        </row>
      </sheetData>
      <sheetData sheetId="9">
        <row r="5">
          <cell r="F5">
            <v>45077</v>
          </cell>
          <cell r="G5" t="str">
            <v>Proyecto ejecutivo</v>
          </cell>
          <cell r="H5" t="str">
            <v>Honorarios Proyecto Ejecutivo (c.1/10)</v>
          </cell>
          <cell r="I5" t="str">
            <v>Gómez Platero</v>
          </cell>
          <cell r="K5">
            <v>39332</v>
          </cell>
          <cell r="L5">
            <v>-39332</v>
          </cell>
          <cell r="P5" t="str">
            <v/>
          </cell>
        </row>
        <row r="6">
          <cell r="F6">
            <v>45100</v>
          </cell>
          <cell r="G6" t="str">
            <v>Proyecto ejecutivo</v>
          </cell>
          <cell r="H6" t="str">
            <v>Honorarios Proyecto Ejecutivo (c.2/10) junio</v>
          </cell>
          <cell r="I6" t="str">
            <v>Gómez Platero</v>
          </cell>
          <cell r="K6">
            <v>39332</v>
          </cell>
          <cell r="L6">
            <v>-78664</v>
          </cell>
          <cell r="P6" t="str">
            <v/>
          </cell>
        </row>
        <row r="7">
          <cell r="F7">
            <v>45114</v>
          </cell>
          <cell r="G7" t="str">
            <v>Proyecto ejecutivo</v>
          </cell>
          <cell r="H7" t="str">
            <v>Honorarios Proyecto Ejecutivo (c.3/10) julio</v>
          </cell>
          <cell r="I7" t="str">
            <v>Gómez Platero</v>
          </cell>
          <cell r="K7">
            <v>39332</v>
          </cell>
          <cell r="L7">
            <v>-117996</v>
          </cell>
          <cell r="M7">
            <v>117996</v>
          </cell>
          <cell r="O7">
            <v>601</v>
          </cell>
          <cell r="P7" t="str">
            <v>Ingresos P Ejecutivo</v>
          </cell>
          <cell r="Q7" t="str">
            <v>Proyecto ejecutivo que salió de otras cuentas</v>
          </cell>
        </row>
        <row r="8">
          <cell r="F8">
            <v>45124</v>
          </cell>
          <cell r="H8" t="str">
            <v>Debito Chequera</v>
          </cell>
          <cell r="I8" t="str">
            <v>Itaú</v>
          </cell>
          <cell r="K8">
            <v>38</v>
          </cell>
          <cell r="L8">
            <v>-38</v>
          </cell>
          <cell r="P8" t="str">
            <v/>
          </cell>
        </row>
        <row r="9">
          <cell r="F9">
            <v>45126</v>
          </cell>
          <cell r="L9">
            <v>0</v>
          </cell>
          <cell r="M9">
            <v>38</v>
          </cell>
          <cell r="P9" t="str">
            <v/>
          </cell>
          <cell r="Q9" t="str">
            <v>Traspaso CA CELTRAY (3728025)</v>
          </cell>
        </row>
        <row r="10">
          <cell r="F10">
            <v>45132</v>
          </cell>
          <cell r="L10">
            <v>39332</v>
          </cell>
          <cell r="M10">
            <v>39332</v>
          </cell>
          <cell r="O10">
            <v>601</v>
          </cell>
          <cell r="P10" t="str">
            <v>Ingresos P Ejecutivo</v>
          </cell>
          <cell r="Q10" t="str">
            <v>Traspaso CELTRAY (8268557) por cuota P.E.</v>
          </cell>
        </row>
        <row r="11">
          <cell r="F11">
            <v>45146</v>
          </cell>
          <cell r="G11" t="str">
            <v>Proyecto ejecutivo</v>
          </cell>
          <cell r="H11" t="str">
            <v>Honorarios Proyecto Ejecutivo (c.4/10) agosto</v>
          </cell>
          <cell r="I11" t="str">
            <v>Gómez Platero</v>
          </cell>
          <cell r="K11">
            <v>39332</v>
          </cell>
          <cell r="L11">
            <v>0</v>
          </cell>
          <cell r="P11" t="str">
            <v/>
          </cell>
        </row>
        <row r="12">
          <cell r="F12">
            <v>45180</v>
          </cell>
          <cell r="L12">
            <v>60768</v>
          </cell>
          <cell r="M12">
            <v>60768</v>
          </cell>
          <cell r="O12">
            <v>601</v>
          </cell>
          <cell r="P12" t="str">
            <v>Ingresos P Ejecutivo</v>
          </cell>
          <cell r="Q12" t="str">
            <v>Proyecto Ejecutivo (MGP y Vedor) Traspaso Merinos</v>
          </cell>
        </row>
        <row r="13">
          <cell r="F13">
            <v>45180</v>
          </cell>
          <cell r="G13" t="str">
            <v>Proyecto ejecutivo</v>
          </cell>
          <cell r="H13" t="str">
            <v>Honorarios Proyecto Ejecutivo (c.5/10) setiembre</v>
          </cell>
          <cell r="I13" t="str">
            <v>Gómez Platero</v>
          </cell>
          <cell r="K13">
            <v>39332</v>
          </cell>
          <cell r="L13">
            <v>21436</v>
          </cell>
          <cell r="P13" t="str">
            <v/>
          </cell>
        </row>
        <row r="14">
          <cell r="F14">
            <v>45204</v>
          </cell>
          <cell r="L14">
            <v>78664</v>
          </cell>
          <cell r="M14">
            <v>57228</v>
          </cell>
          <cell r="O14">
            <v>601</v>
          </cell>
          <cell r="P14" t="str">
            <v>Ingresos P Ejecutivo</v>
          </cell>
          <cell r="Q14" t="str">
            <v>Proyecto Ejecutivo (Damcita) Traspaso Merinos</v>
          </cell>
        </row>
        <row r="15">
          <cell r="F15">
            <v>45209</v>
          </cell>
          <cell r="G15" t="str">
            <v>Proyecto ejecutivo</v>
          </cell>
          <cell r="H15" t="str">
            <v>Honorarios Proyecto Ejecutivo (c.6/10) octubre</v>
          </cell>
          <cell r="I15" t="str">
            <v>Gómez Platero</v>
          </cell>
          <cell r="K15">
            <v>39332</v>
          </cell>
          <cell r="L15">
            <v>39332</v>
          </cell>
          <cell r="P15" t="str">
            <v/>
          </cell>
        </row>
        <row r="16">
          <cell r="F16">
            <v>45237</v>
          </cell>
          <cell r="L16">
            <v>49332</v>
          </cell>
          <cell r="M16">
            <v>10000</v>
          </cell>
          <cell r="P16" t="str">
            <v/>
          </cell>
          <cell r="Q16" t="str">
            <v>Prestamo Merinos</v>
          </cell>
        </row>
        <row r="17">
          <cell r="F17">
            <v>45239</v>
          </cell>
          <cell r="H17" t="str">
            <v>Cambio</v>
          </cell>
          <cell r="K17">
            <v>3780.24</v>
          </cell>
          <cell r="L17">
            <v>45551.76</v>
          </cell>
          <cell r="P17" t="str">
            <v/>
          </cell>
        </row>
        <row r="18">
          <cell r="F18">
            <v>45240</v>
          </cell>
          <cell r="G18" t="str">
            <v>Proyecto ejecutivo</v>
          </cell>
          <cell r="H18" t="str">
            <v>Honorarios Proyecto Ejecutivo (c.7/10) noviembre</v>
          </cell>
          <cell r="I18" t="str">
            <v>Gómez Platero</v>
          </cell>
          <cell r="K18">
            <v>39332</v>
          </cell>
          <cell r="L18">
            <v>6219.760000000002</v>
          </cell>
          <cell r="P18" t="str">
            <v/>
          </cell>
        </row>
        <row r="19">
          <cell r="F19">
            <v>45243</v>
          </cell>
          <cell r="G19" t="str">
            <v>Imprevistos operativos</v>
          </cell>
          <cell r="H19" t="str">
            <v>Acústica</v>
          </cell>
          <cell r="I19" t="str">
            <v>Consultoría Acústica Gonzalo Fernandez</v>
          </cell>
          <cell r="K19">
            <v>915</v>
          </cell>
          <cell r="L19">
            <v>5304.760000000002</v>
          </cell>
          <cell r="P19" t="str">
            <v/>
          </cell>
        </row>
        <row r="20">
          <cell r="F20">
            <v>45243</v>
          </cell>
          <cell r="G20" t="str">
            <v>Imprevistos operativos</v>
          </cell>
          <cell r="H20" t="str">
            <v>Gastos bancarios</v>
          </cell>
          <cell r="I20" t="str">
            <v>Itaú</v>
          </cell>
          <cell r="K20">
            <v>1.9</v>
          </cell>
          <cell r="L20">
            <v>5302.8600000000024</v>
          </cell>
          <cell r="P20" t="str">
            <v/>
          </cell>
        </row>
        <row r="21">
          <cell r="F21">
            <v>45244</v>
          </cell>
          <cell r="G21" t="str">
            <v>Publicidad por etapa 1 y 2</v>
          </cell>
          <cell r="H21" t="str">
            <v>Devolución ID celtray urb</v>
          </cell>
          <cell r="K21">
            <v>9052</v>
          </cell>
          <cell r="L21">
            <v>-3749.1399999999976</v>
          </cell>
          <cell r="P21" t="str">
            <v/>
          </cell>
        </row>
        <row r="22">
          <cell r="F22">
            <v>45244</v>
          </cell>
          <cell r="L22">
            <v>83152.86</v>
          </cell>
          <cell r="M22">
            <v>86902</v>
          </cell>
          <cell r="O22">
            <v>600</v>
          </cell>
          <cell r="P22" t="str">
            <v>Otros ingresos LIV</v>
          </cell>
          <cell r="Q22" t="str">
            <v>Preventivo Asesores (Vedor parcial y MGP) Traspaso Merinos</v>
          </cell>
        </row>
        <row r="23">
          <cell r="F23">
            <v>45245</v>
          </cell>
          <cell r="G23" t="str">
            <v>Publicidad por etapa 1 y 2</v>
          </cell>
          <cell r="H23" t="str">
            <v>Honorarios por fichas de venta OP 19</v>
          </cell>
          <cell r="I23" t="str">
            <v>Gómez Platero</v>
          </cell>
          <cell r="K23">
            <v>1950</v>
          </cell>
          <cell r="L23">
            <v>81202.86</v>
          </cell>
          <cell r="P23" t="str">
            <v/>
          </cell>
        </row>
        <row r="24">
          <cell r="F24">
            <v>45246</v>
          </cell>
          <cell r="G24" t="str">
            <v>Publicidad por etapa 1 y 2</v>
          </cell>
          <cell r="H24" t="str">
            <v>Saldo 50% etapa 1 y adelanto 50% etapa 2</v>
          </cell>
          <cell r="I24" t="str">
            <v>I+D Media</v>
          </cell>
          <cell r="J24">
            <v>2695</v>
          </cell>
          <cell r="K24">
            <v>14945</v>
          </cell>
          <cell r="L24">
            <v>66257.86</v>
          </cell>
          <cell r="P24" t="str">
            <v/>
          </cell>
        </row>
        <row r="25">
          <cell r="F25">
            <v>45246</v>
          </cell>
          <cell r="G25" t="str">
            <v>Imprevistos operativos</v>
          </cell>
          <cell r="H25" t="str">
            <v>Gastos bancarios</v>
          </cell>
          <cell r="I25" t="str">
            <v>Itaú</v>
          </cell>
          <cell r="K25">
            <v>10</v>
          </cell>
          <cell r="L25">
            <v>66247.86</v>
          </cell>
          <cell r="P25" t="str">
            <v/>
          </cell>
        </row>
        <row r="26">
          <cell r="F26">
            <v>45246</v>
          </cell>
          <cell r="H26" t="str">
            <v>Devolución préstamo a Merinos</v>
          </cell>
          <cell r="K26">
            <v>10000</v>
          </cell>
          <cell r="L26">
            <v>56247.86</v>
          </cell>
          <cell r="P26" t="str">
            <v/>
          </cell>
        </row>
        <row r="27">
          <cell r="F27">
            <v>45250</v>
          </cell>
          <cell r="H27" t="str">
            <v>Cambio</v>
          </cell>
          <cell r="K27">
            <v>2297.67</v>
          </cell>
          <cell r="L27">
            <v>53950.19</v>
          </cell>
          <cell r="P27" t="str">
            <v/>
          </cell>
        </row>
        <row r="28">
          <cell r="F28">
            <v>45253</v>
          </cell>
          <cell r="G28" t="str">
            <v xml:space="preserve">Instalación eléctrica y acondicionamiento lumínico </v>
          </cell>
          <cell r="H28" t="str">
            <v>Ing. Eléctrico avance 25% + 50%</v>
          </cell>
          <cell r="I28" t="str">
            <v>Hofstadter Fregosi</v>
          </cell>
          <cell r="K28">
            <v>15618.75</v>
          </cell>
          <cell r="L28">
            <v>38331.440000000002</v>
          </cell>
          <cell r="P28" t="str">
            <v/>
          </cell>
        </row>
        <row r="29">
          <cell r="F29">
            <v>45257</v>
          </cell>
          <cell r="L29">
            <v>69919.44</v>
          </cell>
          <cell r="M29">
            <v>31588</v>
          </cell>
          <cell r="O29">
            <v>600</v>
          </cell>
          <cell r="P29" t="str">
            <v>Otros ingresos LIV</v>
          </cell>
          <cell r="Q29" t="str">
            <v>Preventivo Asesores Residencial Bloque 1 y 2 2023 (Vedor saldo) Traspaso Merinos</v>
          </cell>
        </row>
        <row r="30">
          <cell r="F30">
            <v>45257</v>
          </cell>
          <cell r="L30">
            <v>130687.44</v>
          </cell>
          <cell r="M30">
            <v>60768</v>
          </cell>
          <cell r="O30">
            <v>601</v>
          </cell>
          <cell r="P30" t="str">
            <v>Ingresos P Ejecutivo</v>
          </cell>
          <cell r="Q30" t="str">
            <v>Preventivo Honorarios Proyecto Ejecutivo (c.4/4) (Vedor + MGP) Traspaso Merinos</v>
          </cell>
        </row>
        <row r="31">
          <cell r="F31">
            <v>45258</v>
          </cell>
          <cell r="H31" t="str">
            <v>Traspaso a urbanización</v>
          </cell>
          <cell r="K31">
            <v>10000</v>
          </cell>
          <cell r="L31">
            <v>120687.44</v>
          </cell>
          <cell r="P31" t="str">
            <v/>
          </cell>
        </row>
        <row r="32">
          <cell r="F32">
            <v>45258</v>
          </cell>
          <cell r="H32" t="str">
            <v>Cambio</v>
          </cell>
          <cell r="K32">
            <v>5726.07</v>
          </cell>
          <cell r="L32">
            <v>114961.37</v>
          </cell>
          <cell r="P32" t="str">
            <v/>
          </cell>
        </row>
        <row r="33">
          <cell r="F33">
            <v>45265</v>
          </cell>
          <cell r="G33" t="str">
            <v>Publicidad por etapa 1 y 2</v>
          </cell>
          <cell r="H33" t="str">
            <v>Renovacion dominio LIV</v>
          </cell>
          <cell r="I33" t="str">
            <v>I+D Media</v>
          </cell>
          <cell r="J33">
            <v>4.4000000000000004</v>
          </cell>
          <cell r="K33">
            <v>24.4</v>
          </cell>
          <cell r="L33">
            <v>114936.97</v>
          </cell>
          <cell r="P33" t="str">
            <v/>
          </cell>
        </row>
        <row r="34">
          <cell r="F34">
            <v>45265</v>
          </cell>
          <cell r="G34" t="str">
            <v>Imprevistos operativos</v>
          </cell>
          <cell r="H34" t="str">
            <v>Gastos bancarios</v>
          </cell>
          <cell r="I34" t="str">
            <v>Itaú</v>
          </cell>
          <cell r="K34">
            <v>1.9</v>
          </cell>
          <cell r="L34">
            <v>114935.07</v>
          </cell>
          <cell r="P34" t="str">
            <v/>
          </cell>
        </row>
        <row r="35">
          <cell r="F35">
            <v>45265</v>
          </cell>
          <cell r="H35" t="str">
            <v>Traspaso a urbanización</v>
          </cell>
          <cell r="K35">
            <v>20000</v>
          </cell>
          <cell r="L35">
            <v>94935.07</v>
          </cell>
          <cell r="P35" t="str">
            <v/>
          </cell>
        </row>
        <row r="36">
          <cell r="F36">
            <v>45267</v>
          </cell>
          <cell r="G36" t="str">
            <v>Proyecto ejecutivo</v>
          </cell>
          <cell r="H36" t="str">
            <v>Honorarios Proyecto Ejecutivo (c.8/10) diciembre</v>
          </cell>
          <cell r="I36" t="str">
            <v>Gómez Platero</v>
          </cell>
          <cell r="K36">
            <v>39332</v>
          </cell>
          <cell r="L36">
            <v>55603.070000000007</v>
          </cell>
          <cell r="P36" t="str">
            <v/>
          </cell>
        </row>
        <row r="37">
          <cell r="F37">
            <v>45279</v>
          </cell>
          <cell r="H37" t="str">
            <v>Cambio</v>
          </cell>
          <cell r="K37">
            <v>1278.77</v>
          </cell>
          <cell r="L37">
            <v>54324.30000000001</v>
          </cell>
          <cell r="P37" t="str">
            <v/>
          </cell>
        </row>
        <row r="38">
          <cell r="F38">
            <v>45287</v>
          </cell>
          <cell r="L38">
            <v>165912.30000000002</v>
          </cell>
          <cell r="M38">
            <v>111588</v>
          </cell>
          <cell r="O38">
            <v>600</v>
          </cell>
          <cell r="P38" t="str">
            <v>Otros ingresos LIV</v>
          </cell>
          <cell r="Q38" t="str">
            <v>Preventivo Asesores Residencial Bloque 1 y 2 2023 (Damcita) Traspaso Merinos</v>
          </cell>
        </row>
        <row r="39">
          <cell r="F39">
            <v>45287</v>
          </cell>
          <cell r="L39">
            <v>223140.30000000002</v>
          </cell>
          <cell r="M39">
            <v>57228</v>
          </cell>
          <cell r="O39">
            <v>601</v>
          </cell>
          <cell r="P39" t="str">
            <v>Ingresos P Ejecutivo</v>
          </cell>
          <cell r="Q39" t="str">
            <v>Preventivo Honorarios Proyecto Ejecutivo (c.4/4) (Damcita) Traspaso Merinos</v>
          </cell>
        </row>
        <row r="40">
          <cell r="F40">
            <v>45288</v>
          </cell>
          <cell r="G40" t="str">
            <v>Imprevistos operativos</v>
          </cell>
          <cell r="H40" t="str">
            <v>Suministro pipetas palmeras (41)</v>
          </cell>
          <cell r="I40" t="str">
            <v>Equitec</v>
          </cell>
          <cell r="J40">
            <v>230.01</v>
          </cell>
          <cell r="K40">
            <v>1275.51</v>
          </cell>
          <cell r="L40">
            <v>221864.79</v>
          </cell>
          <cell r="P40" t="str">
            <v/>
          </cell>
        </row>
        <row r="41">
          <cell r="F41">
            <v>45288</v>
          </cell>
          <cell r="G41" t="str">
            <v>Imprevistos operativos</v>
          </cell>
          <cell r="H41" t="str">
            <v>Gastos bancarios</v>
          </cell>
          <cell r="I41" t="str">
            <v>Itaú</v>
          </cell>
          <cell r="K41">
            <v>1.9</v>
          </cell>
          <cell r="L41">
            <v>221862.89</v>
          </cell>
          <cell r="P41" t="str">
            <v/>
          </cell>
        </row>
        <row r="42">
          <cell r="F42">
            <v>45288</v>
          </cell>
          <cell r="H42" t="str">
            <v>Cambio</v>
          </cell>
          <cell r="K42">
            <v>9027.59</v>
          </cell>
          <cell r="L42">
            <v>212835.30000000002</v>
          </cell>
          <cell r="P42" t="str">
            <v/>
          </cell>
        </row>
        <row r="43">
          <cell r="F43">
            <v>45288</v>
          </cell>
          <cell r="G43" t="str">
            <v>Publicidad por etapa 1 y 2</v>
          </cell>
          <cell r="H43" t="str">
            <v>Acopio 50% renders presupuesto 2365</v>
          </cell>
          <cell r="I43" t="str">
            <v>ARS</v>
          </cell>
          <cell r="J43">
            <v>365.65</v>
          </cell>
          <cell r="K43">
            <v>2022.15</v>
          </cell>
          <cell r="L43">
            <v>210813.15000000002</v>
          </cell>
          <cell r="P43" t="str">
            <v/>
          </cell>
        </row>
        <row r="44">
          <cell r="F44">
            <v>45288</v>
          </cell>
          <cell r="G44" t="str">
            <v>Publicidad por etapa 1 y 2</v>
          </cell>
          <cell r="H44" t="str">
            <v>Saldo 50% renders presupuesto 2335</v>
          </cell>
          <cell r="I44" t="str">
            <v>ARS</v>
          </cell>
          <cell r="J44">
            <v>720.5</v>
          </cell>
          <cell r="K44">
            <v>3995.5</v>
          </cell>
          <cell r="L44">
            <v>206817.65000000002</v>
          </cell>
          <cell r="P44" t="str">
            <v/>
          </cell>
        </row>
        <row r="45">
          <cell r="F45">
            <v>45288</v>
          </cell>
          <cell r="G45" t="str">
            <v>Consultoria Vedor</v>
          </cell>
          <cell r="H45" t="str">
            <v>Honorarios profesionales 1, 2 y 3</v>
          </cell>
          <cell r="I45" t="str">
            <v>Ignacio Archain</v>
          </cell>
          <cell r="J45">
            <v>3718.44</v>
          </cell>
          <cell r="K45">
            <v>20620.439999999999</v>
          </cell>
          <cell r="L45">
            <v>186197.21000000002</v>
          </cell>
          <cell r="P45" t="str">
            <v/>
          </cell>
        </row>
        <row r="46">
          <cell r="F46">
            <v>45306</v>
          </cell>
          <cell r="G46" t="str">
            <v>Proyecto ejecutivo</v>
          </cell>
          <cell r="H46" t="str">
            <v>Honorarios proyecto ejecutivo (c.9/10) OP 25</v>
          </cell>
          <cell r="I46" t="str">
            <v>Gómez Platero</v>
          </cell>
          <cell r="K46">
            <v>39332</v>
          </cell>
          <cell r="L46">
            <v>146865.21000000002</v>
          </cell>
          <cell r="P46" t="str">
            <v/>
          </cell>
        </row>
        <row r="47">
          <cell r="F47">
            <v>45314</v>
          </cell>
          <cell r="G47" t="str">
            <v>Publicidad por etapa 1 y 2</v>
          </cell>
          <cell r="H47" t="str">
            <v>Alguiler plataforma para fumigación</v>
          </cell>
          <cell r="I47" t="str">
            <v>Ramirez</v>
          </cell>
          <cell r="J47">
            <v>72.599999999999994</v>
          </cell>
          <cell r="K47">
            <v>402.6</v>
          </cell>
          <cell r="L47">
            <v>146462.61000000002</v>
          </cell>
          <cell r="P47" t="str">
            <v/>
          </cell>
        </row>
        <row r="48">
          <cell r="F48">
            <v>45317</v>
          </cell>
          <cell r="G48" t="str">
            <v>Publicidad por etapa 1 y 2</v>
          </cell>
          <cell r="H48" t="str">
            <v>Sponsor en evento (reintegro DDC)</v>
          </cell>
          <cell r="I48" t="str">
            <v>Forbes</v>
          </cell>
          <cell r="J48">
            <v>396</v>
          </cell>
          <cell r="K48">
            <v>2196</v>
          </cell>
          <cell r="L48">
            <v>144266.61000000002</v>
          </cell>
          <cell r="P48" t="str">
            <v/>
          </cell>
        </row>
        <row r="49">
          <cell r="F49">
            <v>45317</v>
          </cell>
          <cell r="H49" t="str">
            <v>Traspaso a urbanización</v>
          </cell>
          <cell r="K49">
            <v>35000</v>
          </cell>
          <cell r="L49">
            <v>109266.61000000002</v>
          </cell>
          <cell r="P49" t="str">
            <v/>
          </cell>
        </row>
        <row r="50">
          <cell r="F50">
            <v>45327</v>
          </cell>
          <cell r="H50" t="str">
            <v>50% acopio CCTV (A reintegrar de urbanización)</v>
          </cell>
          <cell r="I50" t="str">
            <v>Hunter</v>
          </cell>
          <cell r="K50">
            <v>6498</v>
          </cell>
          <cell r="L50">
            <v>102768.61000000002</v>
          </cell>
          <cell r="P50" t="str">
            <v/>
          </cell>
        </row>
        <row r="51">
          <cell r="F51">
            <v>45329</v>
          </cell>
          <cell r="H51" t="str">
            <v>Traspaso a urbanización</v>
          </cell>
          <cell r="K51">
            <v>5000</v>
          </cell>
          <cell r="L51">
            <v>97768.610000000015</v>
          </cell>
          <cell r="P51" t="str">
            <v/>
          </cell>
        </row>
        <row r="52">
          <cell r="F52">
            <v>45331</v>
          </cell>
          <cell r="G52" t="str">
            <v>Proyecto ejecutivo</v>
          </cell>
          <cell r="H52" t="str">
            <v>Honorarios Proyecto Ejecutivo (c.10/10)</v>
          </cell>
          <cell r="I52" t="str">
            <v>Gómez Platero</v>
          </cell>
          <cell r="K52">
            <v>39332</v>
          </cell>
          <cell r="L52">
            <v>58436.610000000015</v>
          </cell>
          <cell r="P52" t="str">
            <v/>
          </cell>
        </row>
        <row r="53">
          <cell r="F53">
            <v>45343</v>
          </cell>
          <cell r="H53" t="str">
            <v>Traspaso a urbanización</v>
          </cell>
          <cell r="K53">
            <v>30000</v>
          </cell>
          <cell r="L53">
            <v>28436.610000000015</v>
          </cell>
          <cell r="P53" t="str">
            <v/>
          </cell>
        </row>
        <row r="54">
          <cell r="F54">
            <v>45345</v>
          </cell>
          <cell r="H54" t="str">
            <v>Traspaso a urbanización</v>
          </cell>
          <cell r="K54">
            <v>5000</v>
          </cell>
          <cell r="L54">
            <v>23436.610000000015</v>
          </cell>
          <cell r="P54" t="str">
            <v/>
          </cell>
        </row>
        <row r="55">
          <cell r="F55">
            <v>45351</v>
          </cell>
          <cell r="H55" t="str">
            <v xml:space="preserve">Saldo 50% honorarios etapa 1 fusión padrones </v>
          </cell>
          <cell r="I55" t="str">
            <v>Estudio Boix</v>
          </cell>
          <cell r="K55">
            <v>1375</v>
          </cell>
          <cell r="L55">
            <v>22061.610000000015</v>
          </cell>
          <cell r="P55" t="str">
            <v/>
          </cell>
        </row>
        <row r="56">
          <cell r="F56">
            <v>45351</v>
          </cell>
          <cell r="H56" t="str">
            <v>Adelanto 50% honorarios permuta calles</v>
          </cell>
          <cell r="I56" t="str">
            <v>Estudio Boix</v>
          </cell>
          <cell r="K56">
            <v>1875</v>
          </cell>
          <cell r="L56">
            <v>20186.610000000015</v>
          </cell>
          <cell r="P56" t="str">
            <v/>
          </cell>
        </row>
        <row r="57">
          <cell r="F57">
            <v>45352</v>
          </cell>
          <cell r="H57" t="str">
            <v>Cambio</v>
          </cell>
          <cell r="K57">
            <v>3608.24</v>
          </cell>
          <cell r="L57">
            <v>16578.370000000017</v>
          </cell>
          <cell r="P57" t="str">
            <v/>
          </cell>
        </row>
        <row r="58">
          <cell r="F58">
            <v>45357</v>
          </cell>
          <cell r="H58" t="str">
            <v xml:space="preserve">Honorarios escultor </v>
          </cell>
          <cell r="I58" t="str">
            <v>Luca Benites</v>
          </cell>
          <cell r="K58">
            <v>6000</v>
          </cell>
          <cell r="L58">
            <v>10578.370000000017</v>
          </cell>
          <cell r="P58" t="str">
            <v/>
          </cell>
        </row>
        <row r="59">
          <cell r="F59">
            <v>45359</v>
          </cell>
          <cell r="G59" t="str">
            <v>Consultoria Vedor</v>
          </cell>
          <cell r="H59" t="str">
            <v>Honorarios profesionales 4</v>
          </cell>
          <cell r="I59" t="str">
            <v>Ignacio Archain</v>
          </cell>
          <cell r="J59">
            <v>1239.48</v>
          </cell>
          <cell r="K59">
            <v>6873.48</v>
          </cell>
          <cell r="L59">
            <v>3704.8900000000176</v>
          </cell>
          <cell r="P59" t="str">
            <v/>
          </cell>
        </row>
        <row r="60">
          <cell r="F60">
            <v>45364</v>
          </cell>
          <cell r="L60">
            <v>108704.89000000001</v>
          </cell>
          <cell r="M60">
            <v>105000</v>
          </cell>
          <cell r="P60" t="str">
            <v>Celtray Urbanización</v>
          </cell>
          <cell r="Q60" t="str">
            <v>Reintegro traspasos hasta el momento</v>
          </cell>
        </row>
        <row r="61">
          <cell r="F61">
            <v>45364</v>
          </cell>
          <cell r="L61">
            <v>115202.89000000001</v>
          </cell>
          <cell r="M61">
            <v>6498</v>
          </cell>
          <cell r="P61" t="str">
            <v>Celtray Urbanización</v>
          </cell>
          <cell r="Q61" t="str">
            <v>Reintegro 50% acopio CCTV</v>
          </cell>
        </row>
        <row r="62">
          <cell r="F62">
            <v>45365</v>
          </cell>
          <cell r="G62" t="str">
            <v>Publicidad por etapa 1 y 2</v>
          </cell>
          <cell r="H62" t="str">
            <v>Saldo 50% video render (presup. 2336)</v>
          </cell>
          <cell r="I62" t="str">
            <v>ARS</v>
          </cell>
          <cell r="J62">
            <v>885.5</v>
          </cell>
          <cell r="K62">
            <v>4910.5</v>
          </cell>
          <cell r="L62">
            <v>110292.39000000001</v>
          </cell>
          <cell r="P62" t="str">
            <v/>
          </cell>
        </row>
        <row r="63">
          <cell r="F63">
            <v>45365</v>
          </cell>
          <cell r="G63" t="str">
            <v>Publicidad por etapa 1 y 2</v>
          </cell>
          <cell r="H63" t="str">
            <v xml:space="preserve">Gasoil por alquiler plataforma fumigación </v>
          </cell>
          <cell r="I63" t="str">
            <v>Ramirez</v>
          </cell>
          <cell r="J63">
            <v>8.1199999999999992</v>
          </cell>
          <cell r="K63">
            <v>45.04</v>
          </cell>
          <cell r="L63">
            <v>110247.35000000002</v>
          </cell>
          <cell r="P63" t="str">
            <v/>
          </cell>
        </row>
        <row r="64">
          <cell r="F64">
            <v>45370</v>
          </cell>
          <cell r="H64" t="str">
            <v>Cambio</v>
          </cell>
          <cell r="K64">
            <v>31054.27</v>
          </cell>
          <cell r="L64">
            <v>79193.080000000016</v>
          </cell>
          <cell r="P64" t="str">
            <v/>
          </cell>
        </row>
        <row r="65">
          <cell r="F65">
            <v>45371</v>
          </cell>
          <cell r="H65" t="str">
            <v>Cambio</v>
          </cell>
          <cell r="K65">
            <v>20927.150000000001</v>
          </cell>
          <cell r="L65">
            <v>58265.930000000015</v>
          </cell>
          <cell r="P65" t="str">
            <v/>
          </cell>
        </row>
        <row r="66">
          <cell r="F66">
            <v>45373</v>
          </cell>
          <cell r="H66" t="str">
            <v>Cambio</v>
          </cell>
          <cell r="K66">
            <v>5066.66</v>
          </cell>
          <cell r="L66">
            <v>53199.270000000019</v>
          </cell>
          <cell r="P66" t="str">
            <v/>
          </cell>
        </row>
        <row r="67">
          <cell r="F67">
            <v>45383</v>
          </cell>
          <cell r="H67" t="str">
            <v>Cambio</v>
          </cell>
          <cell r="K67">
            <v>26490.06</v>
          </cell>
          <cell r="L67">
            <v>26709.210000000017</v>
          </cell>
          <cell r="P67" t="str">
            <v/>
          </cell>
        </row>
        <row r="68">
          <cell r="F68">
            <v>45385</v>
          </cell>
          <cell r="L68">
            <v>29959.210000000017</v>
          </cell>
          <cell r="M68">
            <v>3250</v>
          </cell>
          <cell r="P68" t="str">
            <v>Reintegro boix permuta y fusión (operativo)</v>
          </cell>
        </row>
        <row r="69">
          <cell r="F69">
            <v>45390</v>
          </cell>
          <cell r="G69" t="str">
            <v>Publicidad por etapa 1 y 2</v>
          </cell>
          <cell r="H69" t="str">
            <v>Acopio 50% reintegro de gastos evento lanzamiento</v>
          </cell>
          <cell r="I69" t="str">
            <v>Otra Alternativa</v>
          </cell>
          <cell r="J69">
            <v>0</v>
          </cell>
          <cell r="K69">
            <v>22076.080000000002</v>
          </cell>
          <cell r="L69">
            <v>7883.1300000000156</v>
          </cell>
          <cell r="P69" t="str">
            <v/>
          </cell>
        </row>
        <row r="70">
          <cell r="F70">
            <v>45392</v>
          </cell>
          <cell r="G70" t="str">
            <v>Publicidad por etapa 1 y 2</v>
          </cell>
          <cell r="H70" t="str">
            <v xml:space="preserve">Banco de imágenes + hosting </v>
          </cell>
          <cell r="I70" t="str">
            <v>I+D Media</v>
          </cell>
          <cell r="J70">
            <v>110</v>
          </cell>
          <cell r="K70">
            <v>610</v>
          </cell>
          <cell r="L70">
            <v>7273.1300000000156</v>
          </cell>
          <cell r="P70" t="str">
            <v/>
          </cell>
        </row>
        <row r="71">
          <cell r="F71">
            <v>45392</v>
          </cell>
          <cell r="G71" t="str">
            <v>Imprevistos operativos</v>
          </cell>
          <cell r="H71" t="str">
            <v>Gastos bancarios</v>
          </cell>
          <cell r="I71" t="str">
            <v>Itaú</v>
          </cell>
          <cell r="K71">
            <v>1.9</v>
          </cell>
          <cell r="L71">
            <v>7271.2300000000159</v>
          </cell>
          <cell r="P71" t="str">
            <v/>
          </cell>
        </row>
        <row r="72">
          <cell r="F72">
            <v>45393</v>
          </cell>
          <cell r="G72" t="str">
            <v>Publicidad por etapa 1 y 2</v>
          </cell>
          <cell r="H72" t="str">
            <v>Adicionales video render (Ppto. 2403)</v>
          </cell>
          <cell r="I72" t="str">
            <v>ARS</v>
          </cell>
          <cell r="J72">
            <v>264</v>
          </cell>
          <cell r="K72">
            <v>1464</v>
          </cell>
          <cell r="L72">
            <v>5807.2300000000159</v>
          </cell>
          <cell r="P72" t="str">
            <v/>
          </cell>
        </row>
        <row r="73">
          <cell r="F73">
            <v>45399</v>
          </cell>
          <cell r="G73" t="str">
            <v>Publicidad por etapa 1 y 2</v>
          </cell>
          <cell r="H73" t="str">
            <v>Saldo 30% proyecto edificio en LIV fase 1</v>
          </cell>
          <cell r="I73" t="str">
            <v>I+D Media</v>
          </cell>
          <cell r="J73">
            <v>699.6</v>
          </cell>
          <cell r="K73">
            <v>3879.6</v>
          </cell>
          <cell r="L73">
            <v>1927.630000000016</v>
          </cell>
          <cell r="P73" t="str">
            <v/>
          </cell>
        </row>
        <row r="74">
          <cell r="F74">
            <v>45399</v>
          </cell>
          <cell r="G74" t="str">
            <v>Imprevistos operativos</v>
          </cell>
          <cell r="H74" t="str">
            <v>Gastos bancarios</v>
          </cell>
          <cell r="I74" t="str">
            <v>Itaú</v>
          </cell>
          <cell r="K74">
            <v>1.9</v>
          </cell>
          <cell r="L74">
            <v>1925.7300000000159</v>
          </cell>
          <cell r="P74" t="str">
            <v/>
          </cell>
        </row>
        <row r="75">
          <cell r="F75">
            <v>45399</v>
          </cell>
          <cell r="L75">
            <v>7925.7300000000159</v>
          </cell>
          <cell r="M75">
            <v>6000</v>
          </cell>
          <cell r="P75" t="str">
            <v xml:space="preserve">Reintegro honorarios escultor </v>
          </cell>
        </row>
        <row r="76">
          <cell r="F76">
            <v>45399</v>
          </cell>
          <cell r="G76" t="str">
            <v>Publicidad por etapa 1 y 2</v>
          </cell>
          <cell r="H76" t="str">
            <v>Saldo 50% render adicionales (Ppto. 2365)</v>
          </cell>
          <cell r="I76" t="str">
            <v>ARS</v>
          </cell>
          <cell r="J76">
            <v>364.65</v>
          </cell>
          <cell r="K76">
            <v>2022.15</v>
          </cell>
          <cell r="L76">
            <v>5903.5800000000163</v>
          </cell>
          <cell r="P76" t="str">
            <v/>
          </cell>
        </row>
        <row r="77">
          <cell r="F77">
            <v>45419</v>
          </cell>
          <cell r="L77">
            <v>198273.58000000002</v>
          </cell>
          <cell r="M77">
            <v>192370</v>
          </cell>
          <cell r="O77">
            <v>600</v>
          </cell>
          <cell r="P77" t="str">
            <v>Otros ingresos LIV</v>
          </cell>
          <cell r="Q77" t="str">
            <v>Preventivo cuatrimestre 1</v>
          </cell>
        </row>
        <row r="78">
          <cell r="F78">
            <v>45420</v>
          </cell>
          <cell r="G78" t="str">
            <v>Imprevistos operativos</v>
          </cell>
          <cell r="H78" t="str">
            <v>Muestra de celosía + flete</v>
          </cell>
          <cell r="I78" t="str">
            <v>Life Cycle</v>
          </cell>
          <cell r="J78">
            <v>125.46000000000001</v>
          </cell>
          <cell r="K78">
            <v>701</v>
          </cell>
          <cell r="L78">
            <v>197572.58000000002</v>
          </cell>
          <cell r="P78" t="str">
            <v/>
          </cell>
        </row>
        <row r="79">
          <cell r="F79">
            <v>45420</v>
          </cell>
          <cell r="G79" t="str">
            <v>Imprevistos operativos</v>
          </cell>
          <cell r="H79" t="str">
            <v>Gastos bancarios</v>
          </cell>
          <cell r="I79" t="str">
            <v>Itaú</v>
          </cell>
          <cell r="K79">
            <v>1.9</v>
          </cell>
          <cell r="L79">
            <v>197570.68000000002</v>
          </cell>
          <cell r="P79" t="str">
            <v/>
          </cell>
        </row>
        <row r="80">
          <cell r="F80">
            <v>45420</v>
          </cell>
          <cell r="G80" t="str">
            <v>Publicidad por etapa 1 y 2</v>
          </cell>
          <cell r="H80" t="str">
            <v>Luminarias para cartel grande (Reintegro Luis Pedro)</v>
          </cell>
          <cell r="I80" t="str">
            <v>Fivisa</v>
          </cell>
          <cell r="J80">
            <v>23.92</v>
          </cell>
          <cell r="K80">
            <v>132.66</v>
          </cell>
          <cell r="L80">
            <v>197438.02000000002</v>
          </cell>
          <cell r="P80" t="str">
            <v/>
          </cell>
        </row>
        <row r="81">
          <cell r="F81">
            <v>45420</v>
          </cell>
          <cell r="G81" t="str">
            <v>Publicidad por etapa 1 y 2</v>
          </cell>
          <cell r="H81" t="str">
            <v>Cobertura evento lanzamiento</v>
          </cell>
          <cell r="I81" t="str">
            <v>Silvestre</v>
          </cell>
          <cell r="J81">
            <v>220</v>
          </cell>
          <cell r="K81">
            <v>1220</v>
          </cell>
          <cell r="L81">
            <v>196218.02000000002</v>
          </cell>
          <cell r="P81" t="str">
            <v/>
          </cell>
        </row>
        <row r="82">
          <cell r="F82">
            <v>45420</v>
          </cell>
          <cell r="G82" t="str">
            <v>Publicidad por etapa 1 y 2</v>
          </cell>
          <cell r="H82" t="str">
            <v>Fumigación de mosquitos evento lanzamiento</v>
          </cell>
          <cell r="I82" t="str">
            <v>Exterminex</v>
          </cell>
          <cell r="J82">
            <v>165</v>
          </cell>
          <cell r="K82">
            <v>915</v>
          </cell>
          <cell r="L82">
            <v>195303.02000000002</v>
          </cell>
          <cell r="P82" t="str">
            <v/>
          </cell>
        </row>
        <row r="83">
          <cell r="F83">
            <v>45420</v>
          </cell>
          <cell r="G83" t="str">
            <v>Publicidad por etapa 1 y 2</v>
          </cell>
          <cell r="H83" t="str">
            <v xml:space="preserve">Videos pantallas evento lanzamiento </v>
          </cell>
          <cell r="I83" t="str">
            <v>Silvestre</v>
          </cell>
          <cell r="J83">
            <v>330</v>
          </cell>
          <cell r="K83">
            <v>1830</v>
          </cell>
          <cell r="L83">
            <v>193473.02000000002</v>
          </cell>
          <cell r="P83" t="str">
            <v/>
          </cell>
        </row>
        <row r="84">
          <cell r="F84">
            <v>45420</v>
          </cell>
          <cell r="G84" t="str">
            <v>Imprevistos obra</v>
          </cell>
          <cell r="H84" t="str">
            <v>Poda de palmeras evento lanzamiento</v>
          </cell>
          <cell r="I84" t="str">
            <v>Raíces</v>
          </cell>
          <cell r="J84">
            <v>429</v>
          </cell>
          <cell r="K84">
            <v>2379</v>
          </cell>
          <cell r="L84">
            <v>191094.02000000002</v>
          </cell>
          <cell r="P84" t="str">
            <v/>
          </cell>
        </row>
        <row r="85">
          <cell r="F85">
            <v>45434</v>
          </cell>
          <cell r="G85" t="str">
            <v>Publicidad por etapa 1 y 2</v>
          </cell>
          <cell r="H85" t="str">
            <v>Reintegros varios foro AyD</v>
          </cell>
          <cell r="I85" t="str">
            <v>DDC</v>
          </cell>
          <cell r="K85">
            <v>4000</v>
          </cell>
          <cell r="L85">
            <v>187094.02000000002</v>
          </cell>
          <cell r="P85" t="str">
            <v/>
          </cell>
        </row>
        <row r="86">
          <cell r="F86">
            <v>45434</v>
          </cell>
          <cell r="G86" t="str">
            <v>Publicidad por etapa 1 y 2</v>
          </cell>
          <cell r="H86" t="str">
            <v xml:space="preserve">Sofia Montes de Oca evento lanzamiento </v>
          </cell>
          <cell r="I86" t="str">
            <v>Agremiación</v>
          </cell>
          <cell r="K86">
            <v>100</v>
          </cell>
          <cell r="L86">
            <v>186994.02000000002</v>
          </cell>
          <cell r="P86" t="str">
            <v/>
          </cell>
        </row>
        <row r="87">
          <cell r="F87">
            <v>45435</v>
          </cell>
          <cell r="G87" t="str">
            <v>Development fee por etapa 1 y 2</v>
          </cell>
          <cell r="H87" t="str">
            <v>Honorarios profesionales cuota 2/24</v>
          </cell>
          <cell r="I87" t="str">
            <v>DDC</v>
          </cell>
          <cell r="J87">
            <v>16766.64</v>
          </cell>
          <cell r="K87">
            <v>92978.64</v>
          </cell>
          <cell r="L87">
            <v>94015.380000000019</v>
          </cell>
          <cell r="P87" t="str">
            <v/>
          </cell>
        </row>
        <row r="88">
          <cell r="F88">
            <v>45435</v>
          </cell>
          <cell r="G88" t="str">
            <v>Development fee por etapa 1 y 2</v>
          </cell>
          <cell r="H88" t="str">
            <v>Honorarios profesionales cuota 1/24</v>
          </cell>
          <cell r="I88" t="str">
            <v>DDC</v>
          </cell>
          <cell r="J88">
            <v>16766.64</v>
          </cell>
          <cell r="K88">
            <v>92978.64</v>
          </cell>
          <cell r="L88">
            <v>1036.7400000000198</v>
          </cell>
          <cell r="P88" t="str">
            <v/>
          </cell>
        </row>
        <row r="89">
          <cell r="F89">
            <v>45453</v>
          </cell>
          <cell r="G89" t="str">
            <v>Leed</v>
          </cell>
          <cell r="H89" t="str">
            <v>Diagnóstico certificación EDGE (Cuota 1/2 - 40%)</v>
          </cell>
          <cell r="I89" t="str">
            <v>Rafael Perolo</v>
          </cell>
          <cell r="J89">
            <v>164.56</v>
          </cell>
          <cell r="K89">
            <v>912.56</v>
          </cell>
          <cell r="L89">
            <v>124.18000000001985</v>
          </cell>
          <cell r="P89" t="str">
            <v/>
          </cell>
        </row>
        <row r="90">
          <cell r="F90">
            <v>45453</v>
          </cell>
          <cell r="G90" t="str">
            <v>Imprevistos operativos</v>
          </cell>
          <cell r="H90" t="str">
            <v>Gastos bancarios</v>
          </cell>
          <cell r="I90" t="str">
            <v>Itaú</v>
          </cell>
          <cell r="K90">
            <v>1.9</v>
          </cell>
          <cell r="L90">
            <v>122.28000000001984</v>
          </cell>
          <cell r="P90" t="str">
            <v/>
          </cell>
        </row>
        <row r="91">
          <cell r="F91">
            <v>45474</v>
          </cell>
          <cell r="L91">
            <v>100122.28000000001</v>
          </cell>
          <cell r="M91">
            <v>100000</v>
          </cell>
          <cell r="O91">
            <v>600</v>
          </cell>
          <cell r="P91" t="str">
            <v>Otros ingresos LIV</v>
          </cell>
          <cell r="Q91" t="str">
            <v>Aporte por publicidad según preventivo 2024 Merinos</v>
          </cell>
        </row>
        <row r="92">
          <cell r="F92">
            <v>45474</v>
          </cell>
          <cell r="G92" t="str">
            <v>Consultoria Vedor</v>
          </cell>
          <cell r="H92" t="str">
            <v>Honorarios profesionales mes 7 y 8</v>
          </cell>
          <cell r="I92" t="str">
            <v>Ignacio Archain</v>
          </cell>
          <cell r="J92">
            <v>2351.58</v>
          </cell>
          <cell r="K92">
            <v>13040.58</v>
          </cell>
          <cell r="L92">
            <v>87081.700000000012</v>
          </cell>
          <cell r="P92" t="str">
            <v/>
          </cell>
        </row>
        <row r="93">
          <cell r="F93">
            <v>45475</v>
          </cell>
          <cell r="G93" t="str">
            <v>Consultoria Vedor</v>
          </cell>
          <cell r="H93" t="str">
            <v>Honorarios profesionales 5 y 6 (Reintegro a Celtray Ubranización)</v>
          </cell>
          <cell r="I93" t="str">
            <v>Ignacio Archain</v>
          </cell>
          <cell r="J93">
            <v>2468.1800000000003</v>
          </cell>
          <cell r="K93">
            <v>13687.18</v>
          </cell>
          <cell r="L93">
            <v>73394.520000000019</v>
          </cell>
          <cell r="P93" t="str">
            <v/>
          </cell>
        </row>
        <row r="94">
          <cell r="F94">
            <v>45475</v>
          </cell>
          <cell r="G94" t="str">
            <v>Publicidad por etapa 1 y 2</v>
          </cell>
          <cell r="H94" t="str">
            <v>Saldo 50% reintegro gastos evento lanzamiento (Reintegro Celtray Urbanización)</v>
          </cell>
          <cell r="I94" t="str">
            <v>Otra Alternativa</v>
          </cell>
          <cell r="J94">
            <v>4493.6899999999996</v>
          </cell>
          <cell r="K94">
            <v>24919.54</v>
          </cell>
          <cell r="L94">
            <v>48474.980000000018</v>
          </cell>
          <cell r="P94" t="str">
            <v/>
          </cell>
        </row>
        <row r="95">
          <cell r="F95">
            <v>45475</v>
          </cell>
          <cell r="H95" t="str">
            <v>Cambio</v>
          </cell>
          <cell r="K95">
            <v>27930.17</v>
          </cell>
          <cell r="L95">
            <v>20544.810000000019</v>
          </cell>
          <cell r="P95" t="str">
            <v/>
          </cell>
        </row>
        <row r="96">
          <cell r="F96">
            <v>45475</v>
          </cell>
          <cell r="G96" t="str">
            <v>Publicidad por etapa 1 y 2</v>
          </cell>
          <cell r="H96" t="str">
            <v>Gestión de campañas mayo</v>
          </cell>
          <cell r="I96" t="str">
            <v>Silvestre</v>
          </cell>
          <cell r="J96">
            <v>110</v>
          </cell>
          <cell r="K96">
            <v>610</v>
          </cell>
          <cell r="L96">
            <v>19934.810000000019</v>
          </cell>
          <cell r="P96" t="str">
            <v/>
          </cell>
        </row>
        <row r="97">
          <cell r="F97">
            <v>45475</v>
          </cell>
          <cell r="G97" t="str">
            <v>Publicidad por etapa 1 y 2</v>
          </cell>
          <cell r="H97" t="str">
            <v>Gestión de campañas abril</v>
          </cell>
          <cell r="I97" t="str">
            <v>Silvestre</v>
          </cell>
          <cell r="J97">
            <v>110</v>
          </cell>
          <cell r="K97">
            <v>610</v>
          </cell>
          <cell r="L97">
            <v>19324.810000000019</v>
          </cell>
          <cell r="P97" t="str">
            <v/>
          </cell>
        </row>
        <row r="98">
          <cell r="F98">
            <v>45478</v>
          </cell>
          <cell r="G98" t="str">
            <v>Publicidad por etapa 1 y 2</v>
          </cell>
          <cell r="H98" t="str">
            <v>Saldo 50% etapa 2 (Reintegro Celtray operativa)</v>
          </cell>
          <cell r="I98" t="str">
            <v>I+D Media</v>
          </cell>
          <cell r="J98">
            <v>1595</v>
          </cell>
          <cell r="K98">
            <v>8845</v>
          </cell>
          <cell r="L98">
            <v>10479.810000000019</v>
          </cell>
          <cell r="P98" t="str">
            <v/>
          </cell>
        </row>
        <row r="99">
          <cell r="F99">
            <v>45482</v>
          </cell>
          <cell r="H99" t="str">
            <v>Cambio</v>
          </cell>
          <cell r="K99">
            <v>5527.63</v>
          </cell>
          <cell r="L99">
            <v>4952.1800000000194</v>
          </cell>
          <cell r="P99" t="str">
            <v/>
          </cell>
        </row>
        <row r="100">
          <cell r="F100">
            <v>45483</v>
          </cell>
          <cell r="L100">
            <v>134952.18000000002</v>
          </cell>
          <cell r="M100">
            <v>130000</v>
          </cell>
          <cell r="O100">
            <v>600</v>
          </cell>
          <cell r="P100" t="str">
            <v>Otros ingresos LIV</v>
          </cell>
          <cell r="Q100" t="str">
            <v>Avance preventivo op cuatrimestre 2 Merinos</v>
          </cell>
        </row>
        <row r="101">
          <cell r="F101">
            <v>45483</v>
          </cell>
          <cell r="G101" t="str">
            <v>Development fee por etapa 1 y 2</v>
          </cell>
          <cell r="H101" t="str">
            <v>Honorarios profesionales cuota 3/24</v>
          </cell>
          <cell r="I101" t="str">
            <v>DDC</v>
          </cell>
          <cell r="J101">
            <v>16766.64</v>
          </cell>
          <cell r="K101">
            <v>92978.64</v>
          </cell>
          <cell r="L101">
            <v>41973.540000000023</v>
          </cell>
          <cell r="P101" t="str">
            <v/>
          </cell>
        </row>
        <row r="102">
          <cell r="F102">
            <v>45483</v>
          </cell>
          <cell r="G102" t="str">
            <v>Consultoria Vedor</v>
          </cell>
          <cell r="H102" t="str">
            <v>Honorarios profesionales mes 9</v>
          </cell>
          <cell r="I102" t="str">
            <v>Ignacio Archain</v>
          </cell>
          <cell r="J102">
            <v>1131.46</v>
          </cell>
          <cell r="K102">
            <v>6274.46</v>
          </cell>
          <cell r="L102">
            <v>35699.080000000024</v>
          </cell>
          <cell r="P102" t="str">
            <v/>
          </cell>
        </row>
        <row r="103">
          <cell r="F103">
            <v>45483</v>
          </cell>
          <cell r="G103" t="str">
            <v>Imprevistos operativos</v>
          </cell>
          <cell r="H103" t="str">
            <v>Campaña</v>
          </cell>
          <cell r="I103" t="str">
            <v>Winding operativo</v>
          </cell>
          <cell r="K103">
            <v>5000</v>
          </cell>
          <cell r="L103">
            <v>30699.080000000024</v>
          </cell>
          <cell r="P103" t="str">
            <v/>
          </cell>
        </row>
        <row r="104">
          <cell r="F104">
            <v>45484</v>
          </cell>
          <cell r="G104" t="str">
            <v>Imprevistos operativos</v>
          </cell>
          <cell r="H104" t="str">
            <v>Gastos bancarios</v>
          </cell>
          <cell r="I104" t="str">
            <v>Itaú</v>
          </cell>
          <cell r="K104">
            <v>250</v>
          </cell>
          <cell r="L104">
            <v>30449.080000000024</v>
          </cell>
          <cell r="P104" t="str">
            <v/>
          </cell>
        </row>
        <row r="105">
          <cell r="F105">
            <v>45484</v>
          </cell>
          <cell r="G105" t="str">
            <v>Imprevistos operativos</v>
          </cell>
          <cell r="H105" t="str">
            <v>Gastos bancarios</v>
          </cell>
          <cell r="I105" t="str">
            <v>Itaú</v>
          </cell>
          <cell r="K105">
            <v>250</v>
          </cell>
          <cell r="L105">
            <v>30199.080000000024</v>
          </cell>
          <cell r="P105" t="str">
            <v/>
          </cell>
        </row>
        <row r="106">
          <cell r="F106">
            <v>45484</v>
          </cell>
          <cell r="L106">
            <v>217199.08000000002</v>
          </cell>
          <cell r="M106">
            <v>187000</v>
          </cell>
          <cell r="P106" t="str">
            <v>ALEJANDRA FEDERICO</v>
          </cell>
        </row>
        <row r="107">
          <cell r="F107">
            <v>45484</v>
          </cell>
          <cell r="L107">
            <v>460860.08</v>
          </cell>
          <cell r="M107">
            <v>243661</v>
          </cell>
          <cell r="P107" t="str">
            <v>ALEJANDRA FEDERICO</v>
          </cell>
        </row>
        <row r="108">
          <cell r="F108">
            <v>45484</v>
          </cell>
          <cell r="H108" t="str">
            <v>Traspaso Alejandra Federico</v>
          </cell>
          <cell r="I108" t="str">
            <v>Recaudadora</v>
          </cell>
          <cell r="K108">
            <v>187000</v>
          </cell>
          <cell r="L108">
            <v>273860.08</v>
          </cell>
          <cell r="P108" t="str">
            <v/>
          </cell>
        </row>
        <row r="109">
          <cell r="F109">
            <v>45484</v>
          </cell>
          <cell r="H109" t="str">
            <v>Traspaso Alejandra Federico</v>
          </cell>
          <cell r="I109" t="str">
            <v>Recaudadora</v>
          </cell>
          <cell r="K109">
            <v>243661</v>
          </cell>
          <cell r="L109">
            <v>30199.080000000016</v>
          </cell>
          <cell r="P109" t="str">
            <v/>
          </cell>
        </row>
        <row r="110">
          <cell r="F110">
            <v>45484</v>
          </cell>
          <cell r="G110" t="str">
            <v>Estructura</v>
          </cell>
          <cell r="H110" t="str">
            <v>Adelanto estructura etapa 1 (25%)</v>
          </cell>
          <cell r="I110" t="str">
            <v>Magnone Pollio</v>
          </cell>
          <cell r="K110">
            <v>7000</v>
          </cell>
          <cell r="L110">
            <v>23199.080000000016</v>
          </cell>
          <cell r="P110" t="str">
            <v/>
          </cell>
        </row>
        <row r="111">
          <cell r="F111">
            <v>45485</v>
          </cell>
          <cell r="G111" t="str">
            <v xml:space="preserve">Instalación eléctrica y acondicionamiento lumínico </v>
          </cell>
          <cell r="H111" t="str">
            <v>Saldo honorarios acondicionamiento eléctrico y lumínico etapa 1 Incluye BIM</v>
          </cell>
          <cell r="I111" t="str">
            <v>Hofstadter Fregosi</v>
          </cell>
          <cell r="K111">
            <v>6406.25</v>
          </cell>
          <cell r="L111">
            <v>16792.830000000016</v>
          </cell>
          <cell r="P111" t="str">
            <v/>
          </cell>
        </row>
        <row r="112">
          <cell r="F112">
            <v>45496</v>
          </cell>
          <cell r="H112" t="str">
            <v>Cambio</v>
          </cell>
          <cell r="K112">
            <v>3624.09</v>
          </cell>
          <cell r="L112">
            <v>13168.740000000016</v>
          </cell>
          <cell r="P112" t="str">
            <v/>
          </cell>
        </row>
        <row r="113">
          <cell r="F113">
            <v>45497</v>
          </cell>
          <cell r="H113" t="str">
            <v>Cambio</v>
          </cell>
          <cell r="K113">
            <v>1747.81</v>
          </cell>
          <cell r="L113">
            <v>11420.930000000017</v>
          </cell>
          <cell r="P113" t="str">
            <v/>
          </cell>
        </row>
        <row r="114">
          <cell r="F114">
            <v>45506</v>
          </cell>
          <cell r="H114" t="str">
            <v>Cambio</v>
          </cell>
          <cell r="K114">
            <v>6203.47</v>
          </cell>
          <cell r="L114">
            <v>5217.4600000000164</v>
          </cell>
          <cell r="P114" t="str">
            <v/>
          </cell>
        </row>
        <row r="115">
          <cell r="F115">
            <v>45506</v>
          </cell>
          <cell r="L115">
            <v>273702.46000000002</v>
          </cell>
          <cell r="M115">
            <v>268485</v>
          </cell>
          <cell r="O115">
            <v>600</v>
          </cell>
          <cell r="P115" t="str">
            <v>Otros ingresos LIV</v>
          </cell>
          <cell r="Q115" t="str">
            <v>Saldo preventivo op cuatrimestre 2 Merinos</v>
          </cell>
        </row>
        <row r="116">
          <cell r="F116">
            <v>45506</v>
          </cell>
          <cell r="G116" t="str">
            <v>Development fee por etapa 1 y 2</v>
          </cell>
          <cell r="H116" t="str">
            <v>Honorarios profesionales cuota 4</v>
          </cell>
          <cell r="I116" t="str">
            <v>DDC</v>
          </cell>
          <cell r="J116">
            <v>16766.64</v>
          </cell>
          <cell r="K116">
            <v>92978.64</v>
          </cell>
          <cell r="L116">
            <v>180723.82</v>
          </cell>
          <cell r="P116" t="str">
            <v/>
          </cell>
        </row>
        <row r="117">
          <cell r="F117">
            <v>45506</v>
          </cell>
          <cell r="G117" t="str">
            <v>Consultoria Vedor</v>
          </cell>
          <cell r="H117" t="str">
            <v>Honorarios profesionales cuota 10</v>
          </cell>
          <cell r="I117" t="str">
            <v>Ignacio Archain</v>
          </cell>
          <cell r="J117">
            <v>1116.28</v>
          </cell>
          <cell r="K117">
            <v>6190.28</v>
          </cell>
          <cell r="L117">
            <v>174533.54</v>
          </cell>
          <cell r="P117" t="str">
            <v/>
          </cell>
        </row>
        <row r="118">
          <cell r="F118">
            <v>45506</v>
          </cell>
          <cell r="G118" t="str">
            <v>Imprevistos operativos</v>
          </cell>
          <cell r="H118" t="str">
            <v xml:space="preserve">Honorarios auditoría modelo financiero </v>
          </cell>
          <cell r="I118" t="str">
            <v>Grant Thornton</v>
          </cell>
          <cell r="J118">
            <v>1606</v>
          </cell>
          <cell r="K118">
            <v>8906</v>
          </cell>
          <cell r="L118">
            <v>165627.54</v>
          </cell>
          <cell r="P118" t="str">
            <v/>
          </cell>
        </row>
        <row r="119">
          <cell r="F119">
            <v>45506</v>
          </cell>
          <cell r="G119" t="str">
            <v>Publicidad por etapa 1 y 2</v>
          </cell>
          <cell r="H119" t="str">
            <v>Gestión de campañas julio</v>
          </cell>
          <cell r="I119" t="str">
            <v>Silvestre</v>
          </cell>
          <cell r="J119">
            <v>110</v>
          </cell>
          <cell r="K119">
            <v>610</v>
          </cell>
          <cell r="L119">
            <v>165017.54</v>
          </cell>
          <cell r="P119" t="str">
            <v/>
          </cell>
        </row>
        <row r="120">
          <cell r="F120">
            <v>45517</v>
          </cell>
          <cell r="H120" t="str">
            <v>Cambio</v>
          </cell>
          <cell r="K120">
            <v>1614.9</v>
          </cell>
          <cell r="L120">
            <v>163402.64000000001</v>
          </cell>
          <cell r="P120" t="str">
            <v/>
          </cell>
        </row>
        <row r="121">
          <cell r="F121">
            <v>45520</v>
          </cell>
          <cell r="H121" t="str">
            <v>Cambio</v>
          </cell>
          <cell r="K121">
            <v>7098.38</v>
          </cell>
          <cell r="L121">
            <v>156304.26</v>
          </cell>
          <cell r="P121" t="str">
            <v/>
          </cell>
        </row>
        <row r="122">
          <cell r="F122">
            <v>45526</v>
          </cell>
          <cell r="G122" t="str">
            <v>Consumo UTE y OSE por etapa 1 y 2</v>
          </cell>
          <cell r="H122" t="str">
            <v xml:space="preserve">Instalación provisorio de obra UTE </v>
          </cell>
          <cell r="I122" t="str">
            <v>Fernando Bassino</v>
          </cell>
          <cell r="J122">
            <v>473</v>
          </cell>
          <cell r="K122">
            <v>2623</v>
          </cell>
          <cell r="L122">
            <v>153681.26</v>
          </cell>
          <cell r="P122" t="str">
            <v/>
          </cell>
        </row>
        <row r="123">
          <cell r="F123">
            <v>45526</v>
          </cell>
          <cell r="G123" t="str">
            <v>Imprevistos operativos</v>
          </cell>
          <cell r="H123" t="str">
            <v>Gastos bancarios</v>
          </cell>
          <cell r="I123" t="str">
            <v>Itaú</v>
          </cell>
          <cell r="K123">
            <v>1.9</v>
          </cell>
          <cell r="L123">
            <v>153679.36000000002</v>
          </cell>
          <cell r="P123" t="str">
            <v/>
          </cell>
        </row>
        <row r="124">
          <cell r="F124">
            <v>45527</v>
          </cell>
          <cell r="G124" t="str">
            <v>Publicidad por etapa 1 y 2</v>
          </cell>
          <cell r="H124" t="str">
            <v>Fotos plaza</v>
          </cell>
          <cell r="I124" t="str">
            <v>Santiago Chaer</v>
          </cell>
          <cell r="J124">
            <v>88</v>
          </cell>
          <cell r="K124">
            <v>488</v>
          </cell>
          <cell r="L124">
            <v>153191.36000000002</v>
          </cell>
          <cell r="P124" t="str">
            <v/>
          </cell>
        </row>
        <row r="125">
          <cell r="F125">
            <v>45530</v>
          </cell>
          <cell r="H125" t="str">
            <v>Cambio</v>
          </cell>
          <cell r="K125">
            <v>4119.8500000000004</v>
          </cell>
          <cell r="L125">
            <v>149071.51</v>
          </cell>
          <cell r="P125" t="str">
            <v/>
          </cell>
        </row>
        <row r="126">
          <cell r="F126">
            <v>45533</v>
          </cell>
          <cell r="G126" t="str">
            <v>Publicidad por etapa 1 y 2</v>
          </cell>
          <cell r="H126" t="str">
            <v>Reintegro pauta digital julio (pago con tarjeta delta)</v>
          </cell>
          <cell r="I126" t="str">
            <v>Delta</v>
          </cell>
          <cell r="K126">
            <v>899.44</v>
          </cell>
          <cell r="L126">
            <v>148172.07</v>
          </cell>
          <cell r="P126" t="str">
            <v/>
          </cell>
        </row>
        <row r="127">
          <cell r="F127">
            <v>45534</v>
          </cell>
          <cell r="G127" t="str">
            <v>Imprevistos operativos</v>
          </cell>
          <cell r="H127" t="str">
            <v>Aporte</v>
          </cell>
          <cell r="I127" t="str">
            <v>Municipio E</v>
          </cell>
          <cell r="K127">
            <v>2000</v>
          </cell>
          <cell r="L127">
            <v>146172.07</v>
          </cell>
          <cell r="P127" t="str">
            <v/>
          </cell>
        </row>
        <row r="128">
          <cell r="F128">
            <v>45539</v>
          </cell>
          <cell r="G128" t="str">
            <v>Publicidad por etapa 1 y 2</v>
          </cell>
          <cell r="H128" t="str">
            <v>Reintegro pauta digiral agosto (pago con tarjeta delta)</v>
          </cell>
          <cell r="I128" t="str">
            <v>Delta</v>
          </cell>
          <cell r="K128">
            <v>852.5</v>
          </cell>
          <cell r="L128">
            <v>145319.57</v>
          </cell>
          <cell r="P128" t="str">
            <v/>
          </cell>
        </row>
        <row r="129">
          <cell r="F129">
            <v>45540</v>
          </cell>
          <cell r="H129" t="str">
            <v>Cambio</v>
          </cell>
          <cell r="K129">
            <v>1245.01</v>
          </cell>
          <cell r="L129">
            <v>144074.56</v>
          </cell>
          <cell r="P129" t="str">
            <v/>
          </cell>
        </row>
        <row r="130">
          <cell r="F130">
            <v>45541</v>
          </cell>
          <cell r="G130" t="str">
            <v>Development fee por etapa 1 y 2</v>
          </cell>
          <cell r="H130" t="str">
            <v>Honorarios profesionales cuota 5/24</v>
          </cell>
          <cell r="I130" t="str">
            <v>DDC</v>
          </cell>
          <cell r="J130">
            <v>16766.64</v>
          </cell>
          <cell r="K130">
            <v>92978.64</v>
          </cell>
          <cell r="L130">
            <v>51095.92</v>
          </cell>
          <cell r="P130" t="str">
            <v/>
          </cell>
        </row>
        <row r="131">
          <cell r="F131">
            <v>45544</v>
          </cell>
          <cell r="G131" t="str">
            <v>Publicidad por etapa 1 y 2</v>
          </cell>
          <cell r="H131" t="str">
            <v>Focos de iluminación</v>
          </cell>
          <cell r="I131" t="str">
            <v>Fivisa</v>
          </cell>
          <cell r="J131">
            <v>20.96</v>
          </cell>
          <cell r="K131">
            <v>116.24</v>
          </cell>
          <cell r="L131">
            <v>50979.68</v>
          </cell>
          <cell r="P131" t="str">
            <v/>
          </cell>
        </row>
        <row r="132">
          <cell r="F132">
            <v>45545</v>
          </cell>
          <cell r="H132" t="str">
            <v>Cambio</v>
          </cell>
          <cell r="K132">
            <v>1241.92</v>
          </cell>
          <cell r="L132">
            <v>49737.760000000002</v>
          </cell>
          <cell r="P132" t="str">
            <v/>
          </cell>
        </row>
        <row r="133">
          <cell r="F133">
            <v>45553</v>
          </cell>
          <cell r="G133" t="str">
            <v>Imprevistos operativos</v>
          </cell>
          <cell r="H133" t="str">
            <v>Aporte</v>
          </cell>
          <cell r="I133" t="str">
            <v>Delta</v>
          </cell>
          <cell r="K133">
            <v>2000</v>
          </cell>
          <cell r="L133">
            <v>47737.760000000002</v>
          </cell>
          <cell r="P133" t="str">
            <v/>
          </cell>
        </row>
        <row r="134">
          <cell r="F134">
            <v>45554</v>
          </cell>
          <cell r="G134" t="str">
            <v>Publicidad por etapa 1 y 2</v>
          </cell>
          <cell r="H134" t="str">
            <v>Adelanto 50% presentación interactiva</v>
          </cell>
          <cell r="I134" t="str">
            <v>ARS</v>
          </cell>
          <cell r="J134">
            <v>396</v>
          </cell>
          <cell r="K134">
            <v>2196</v>
          </cell>
          <cell r="L134">
            <v>45541.760000000002</v>
          </cell>
          <cell r="P134" t="str">
            <v/>
          </cell>
        </row>
        <row r="135">
          <cell r="F135">
            <v>45559</v>
          </cell>
          <cell r="H135" t="str">
            <v>Cambio</v>
          </cell>
          <cell r="K135">
            <v>4996.68</v>
          </cell>
          <cell r="L135">
            <v>40545.08</v>
          </cell>
          <cell r="P135" t="str">
            <v/>
          </cell>
        </row>
        <row r="136">
          <cell r="F136">
            <v>45559</v>
          </cell>
          <cell r="K136">
            <v>0</v>
          </cell>
          <cell r="L136">
            <v>40545.08</v>
          </cell>
          <cell r="P136" t="str">
            <v/>
          </cell>
        </row>
        <row r="137">
          <cell r="F137">
            <v>45559</v>
          </cell>
          <cell r="G137" t="str">
            <v>Consultoria Vedor</v>
          </cell>
          <cell r="H137" t="str">
            <v>Honorarios profesionales cuota 11</v>
          </cell>
          <cell r="I137" t="str">
            <v>Ignacio Archain</v>
          </cell>
          <cell r="J137">
            <v>1146.6400000000001</v>
          </cell>
          <cell r="K137">
            <v>6358.64</v>
          </cell>
          <cell r="L137">
            <v>34186.44</v>
          </cell>
          <cell r="P137" t="str">
            <v/>
          </cell>
        </row>
        <row r="138">
          <cell r="F138">
            <v>45560</v>
          </cell>
          <cell r="G138" t="str">
            <v>Imprevistos obra</v>
          </cell>
          <cell r="H138" t="str">
            <v xml:space="preserve">Préstamo saldo urbanización adicionales </v>
          </cell>
          <cell r="I138" t="str">
            <v>Celtray Urbanización</v>
          </cell>
          <cell r="K138">
            <v>33500</v>
          </cell>
          <cell r="L138">
            <v>686.44000000000233</v>
          </cell>
          <cell r="P138" t="str">
            <v/>
          </cell>
        </row>
        <row r="139">
          <cell r="F139">
            <v>45574</v>
          </cell>
          <cell r="G139" t="str">
            <v>Publicidad por etapa 1 y 2</v>
          </cell>
          <cell r="H139" t="str">
            <v>Foto LIV para cartel</v>
          </cell>
          <cell r="I139" t="str">
            <v>I+D Media</v>
          </cell>
          <cell r="J139">
            <v>7.26</v>
          </cell>
          <cell r="K139">
            <v>40.26</v>
          </cell>
          <cell r="L139">
            <v>646.18000000000234</v>
          </cell>
          <cell r="P139" t="str">
            <v/>
          </cell>
        </row>
        <row r="140">
          <cell r="F140">
            <v>45574</v>
          </cell>
          <cell r="G140" t="str">
            <v>Imprevistos operativos</v>
          </cell>
          <cell r="H140" t="str">
            <v>Gastos bancarios</v>
          </cell>
          <cell r="I140" t="str">
            <v>Itaú</v>
          </cell>
          <cell r="K140">
            <v>1.9</v>
          </cell>
          <cell r="L140">
            <v>644.28000000000236</v>
          </cell>
          <cell r="P140" t="str">
            <v/>
          </cell>
        </row>
        <row r="141">
          <cell r="F141">
            <v>45582</v>
          </cell>
          <cell r="H141" t="str">
            <v>Cambio</v>
          </cell>
          <cell r="K141">
            <v>1811.59</v>
          </cell>
          <cell r="L141">
            <v>-1167.3099999999977</v>
          </cell>
          <cell r="P141" t="str">
            <v/>
          </cell>
        </row>
        <row r="142">
          <cell r="F142">
            <v>45582</v>
          </cell>
          <cell r="L142">
            <v>8832.6900000000023</v>
          </cell>
          <cell r="M142">
            <v>10000</v>
          </cell>
          <cell r="P142" t="str">
            <v/>
          </cell>
          <cell r="Q142" t="str">
            <v>Traspaso de rec a op</v>
          </cell>
        </row>
        <row r="143">
          <cell r="F143">
            <v>45582</v>
          </cell>
          <cell r="G143" t="str">
            <v>Publicidad por etapa 1 y 2</v>
          </cell>
          <cell r="H143" t="str">
            <v>Reintegro pauta digital septiembre (tarjeta)</v>
          </cell>
          <cell r="I143" t="str">
            <v>Delta</v>
          </cell>
          <cell r="K143">
            <v>960.48</v>
          </cell>
          <cell r="L143">
            <v>7872.2100000000028</v>
          </cell>
          <cell r="P143" t="str">
            <v/>
          </cell>
        </row>
        <row r="144">
          <cell r="F144">
            <v>45582</v>
          </cell>
          <cell r="G144" t="str">
            <v>Publicidad por etapa 1 y 2</v>
          </cell>
          <cell r="H144" t="str">
            <v>Reintegro pauta digital abril, mayo y junio (tarjeta)</v>
          </cell>
          <cell r="I144" t="str">
            <v>Delta</v>
          </cell>
          <cell r="K144">
            <v>2365</v>
          </cell>
          <cell r="L144">
            <v>5507.2100000000028</v>
          </cell>
          <cell r="P144" t="str">
            <v/>
          </cell>
        </row>
        <row r="145">
          <cell r="F145">
            <v>45582</v>
          </cell>
          <cell r="G145" t="str">
            <v>Imprevistos operativos</v>
          </cell>
          <cell r="H145" t="str">
            <v>Honorarios estudio de factibilidad y tasación de unidades</v>
          </cell>
          <cell r="I145" t="str">
            <v>Valora (Estudio Cersosimo)</v>
          </cell>
          <cell r="J145">
            <v>726</v>
          </cell>
          <cell r="K145">
            <v>4026</v>
          </cell>
          <cell r="L145">
            <v>1481.2100000000028</v>
          </cell>
          <cell r="P145" t="str">
            <v/>
          </cell>
        </row>
        <row r="146">
          <cell r="F146">
            <v>45595</v>
          </cell>
          <cell r="G146" t="str">
            <v>Publicidad por etapa 1 y 2</v>
          </cell>
          <cell r="H146" t="str">
            <v>Renovacion dominio LIV</v>
          </cell>
          <cell r="I146" t="str">
            <v>I+D Media</v>
          </cell>
          <cell r="J146">
            <v>4.4000000000000004</v>
          </cell>
          <cell r="K146">
            <v>24.4</v>
          </cell>
          <cell r="L146">
            <v>1456.8100000000027</v>
          </cell>
          <cell r="P146" t="str">
            <v/>
          </cell>
        </row>
        <row r="147">
          <cell r="F147">
            <v>45595</v>
          </cell>
          <cell r="G147" t="str">
            <v>Imprevistos operativos</v>
          </cell>
          <cell r="H147" t="str">
            <v>Gastos bancarios</v>
          </cell>
          <cell r="I147" t="str">
            <v>Itaú</v>
          </cell>
          <cell r="K147">
            <v>1.9</v>
          </cell>
          <cell r="L147">
            <v>1454.9100000000026</v>
          </cell>
          <cell r="P147" t="str">
            <v/>
          </cell>
        </row>
        <row r="148">
          <cell r="F148">
            <v>45595</v>
          </cell>
          <cell r="H148" t="str">
            <v>Cambio</v>
          </cell>
          <cell r="K148">
            <v>2184.46</v>
          </cell>
          <cell r="L148">
            <v>-729.54999999999745</v>
          </cell>
          <cell r="P148" t="str">
            <v/>
          </cell>
        </row>
        <row r="149">
          <cell r="F149">
            <v>45595</v>
          </cell>
          <cell r="L149">
            <v>29270.450000000004</v>
          </cell>
          <cell r="M149">
            <v>30000</v>
          </cell>
          <cell r="P149" t="str">
            <v/>
          </cell>
          <cell r="Q149" t="str">
            <v>Traspaso de rec a op</v>
          </cell>
        </row>
        <row r="150">
          <cell r="F150">
            <v>45595</v>
          </cell>
          <cell r="G150" t="str">
            <v>Imprevistos operativos</v>
          </cell>
          <cell r="H150" t="str">
            <v>Honorarios profesionales viabilidad BTR</v>
          </cell>
          <cell r="I150" t="str">
            <v>Grant Thornton</v>
          </cell>
          <cell r="J150">
            <v>2831.4</v>
          </cell>
          <cell r="K150">
            <v>15701.4</v>
          </cell>
          <cell r="L150">
            <v>13569.050000000005</v>
          </cell>
          <cell r="P150" t="str">
            <v/>
          </cell>
        </row>
        <row r="151">
          <cell r="F151">
            <v>45595</v>
          </cell>
          <cell r="G151" t="str">
            <v>Consultoria Vedor</v>
          </cell>
          <cell r="H151" t="str">
            <v>Honorarios profesionales 12</v>
          </cell>
          <cell r="I151" t="str">
            <v>Ignacio Archain</v>
          </cell>
          <cell r="J151">
            <v>1151.48</v>
          </cell>
          <cell r="K151">
            <v>6385.48</v>
          </cell>
          <cell r="L151">
            <v>7183.5700000000052</v>
          </cell>
          <cell r="P151" t="str">
            <v/>
          </cell>
        </row>
        <row r="152">
          <cell r="F152">
            <v>45596</v>
          </cell>
          <cell r="H152" t="str">
            <v>Cambio</v>
          </cell>
          <cell r="K152">
            <v>1206.27</v>
          </cell>
          <cell r="L152">
            <v>5977.3000000000047</v>
          </cell>
          <cell r="P152" t="str">
            <v/>
          </cell>
        </row>
        <row r="153">
          <cell r="F153">
            <v>45600</v>
          </cell>
          <cell r="G153" t="str">
            <v>Imprevistos operativos</v>
          </cell>
          <cell r="H153" t="str">
            <v>Acopio 90% luminaria vallado</v>
          </cell>
          <cell r="I153" t="str">
            <v>Señales</v>
          </cell>
          <cell r="J153">
            <v>869.02</v>
          </cell>
          <cell r="K153">
            <v>4819.12</v>
          </cell>
          <cell r="L153">
            <v>1158.1800000000048</v>
          </cell>
          <cell r="P153" t="str">
            <v/>
          </cell>
        </row>
        <row r="154">
          <cell r="F154">
            <v>45601</v>
          </cell>
          <cell r="G154" t="str">
            <v xml:space="preserve">Instalación eléctrica y acondicionamiento lumínico </v>
          </cell>
          <cell r="H154" t="str">
            <v>Iluminación sector lineal arboles</v>
          </cell>
          <cell r="I154" t="str">
            <v>Fernando Bassino</v>
          </cell>
          <cell r="J154">
            <v>303</v>
          </cell>
          <cell r="K154">
            <v>1680</v>
          </cell>
          <cell r="L154">
            <v>-521.81999999999516</v>
          </cell>
          <cell r="P154" t="str">
            <v/>
          </cell>
        </row>
        <row r="155">
          <cell r="F155">
            <v>45601</v>
          </cell>
          <cell r="G155" t="str">
            <v>Imprevistos operativos</v>
          </cell>
          <cell r="H155" t="str">
            <v>Gastos bancarios</v>
          </cell>
          <cell r="I155" t="str">
            <v>Itaú</v>
          </cell>
          <cell r="K155">
            <v>1.9</v>
          </cell>
          <cell r="L155">
            <v>-523.71999999999514</v>
          </cell>
          <cell r="P155" t="str">
            <v/>
          </cell>
        </row>
        <row r="156">
          <cell r="F156">
            <v>45601</v>
          </cell>
          <cell r="L156">
            <v>9476.2800000000043</v>
          </cell>
          <cell r="M156">
            <v>10000</v>
          </cell>
          <cell r="P156" t="str">
            <v/>
          </cell>
          <cell r="Q156" t="str">
            <v>Traspaso de rec a op</v>
          </cell>
        </row>
        <row r="157">
          <cell r="F157">
            <v>45601</v>
          </cell>
          <cell r="G157" t="str">
            <v>Publicidad por etapa 1 y 2</v>
          </cell>
          <cell r="H157" t="str">
            <v xml:space="preserve">Reintegro pauta digital EC tarjeta de crédito octubre </v>
          </cell>
          <cell r="I157" t="str">
            <v>Delta</v>
          </cell>
          <cell r="K157">
            <v>828.03</v>
          </cell>
          <cell r="L157">
            <v>8648.2500000000036</v>
          </cell>
          <cell r="P157" t="str">
            <v/>
          </cell>
        </row>
        <row r="158">
          <cell r="F158">
            <v>45602</v>
          </cell>
          <cell r="H158" t="str">
            <v>Cambio</v>
          </cell>
          <cell r="K158">
            <v>1201.92</v>
          </cell>
          <cell r="L158">
            <v>7446.3300000000036</v>
          </cell>
          <cell r="P158" t="str">
            <v/>
          </cell>
        </row>
        <row r="159">
          <cell r="F159">
            <v>45607</v>
          </cell>
          <cell r="H159" t="str">
            <v>Cambio</v>
          </cell>
          <cell r="K159">
            <v>1185.95</v>
          </cell>
          <cell r="L159">
            <v>6260.3800000000037</v>
          </cell>
          <cell r="P159" t="str">
            <v/>
          </cell>
        </row>
        <row r="160">
          <cell r="F160">
            <v>45611</v>
          </cell>
          <cell r="G160" t="str">
            <v>Imprevistos operativos</v>
          </cell>
          <cell r="H160" t="str">
            <v>Acopio 50% informe de mercado BTR</v>
          </cell>
          <cell r="I160" t="str">
            <v>JVA</v>
          </cell>
          <cell r="J160">
            <v>132</v>
          </cell>
          <cell r="K160">
            <v>732</v>
          </cell>
          <cell r="L160">
            <v>5528.3800000000037</v>
          </cell>
          <cell r="P160" t="str">
            <v/>
          </cell>
        </row>
        <row r="161">
          <cell r="F161">
            <v>45611</v>
          </cell>
          <cell r="G161" t="str">
            <v>Imprevistos operativos</v>
          </cell>
          <cell r="H161" t="str">
            <v>Gastos bancarios</v>
          </cell>
          <cell r="I161" t="str">
            <v>Itaú</v>
          </cell>
          <cell r="K161">
            <v>1.9</v>
          </cell>
          <cell r="L161">
            <v>5526.4800000000041</v>
          </cell>
          <cell r="P161" t="str">
            <v/>
          </cell>
        </row>
        <row r="162">
          <cell r="F162">
            <v>45616</v>
          </cell>
          <cell r="L162">
            <v>105526.48000000001</v>
          </cell>
          <cell r="M162">
            <v>100000</v>
          </cell>
          <cell r="P162" t="str">
            <v/>
          </cell>
          <cell r="Q162" t="str">
            <v>Traspaso de rec a op</v>
          </cell>
        </row>
        <row r="163">
          <cell r="F163">
            <v>45616</v>
          </cell>
          <cell r="G163" t="str">
            <v>Development fee por etapa 1 y 2</v>
          </cell>
          <cell r="H163" t="str">
            <v>Honorarios profesionales cuota 6/24</v>
          </cell>
          <cell r="I163" t="str">
            <v>DDC</v>
          </cell>
          <cell r="J163">
            <v>16766.64</v>
          </cell>
          <cell r="K163">
            <v>92978.64</v>
          </cell>
          <cell r="L163">
            <v>12547.840000000011</v>
          </cell>
          <cell r="P163" t="str">
            <v/>
          </cell>
        </row>
        <row r="164">
          <cell r="F164">
            <v>45621</v>
          </cell>
          <cell r="H164" t="str">
            <v>Cambio</v>
          </cell>
          <cell r="K164">
            <v>47563.26</v>
          </cell>
          <cell r="L164">
            <v>-35015.419999999991</v>
          </cell>
          <cell r="P164" t="str">
            <v/>
          </cell>
        </row>
        <row r="165">
          <cell r="F165">
            <v>45621</v>
          </cell>
          <cell r="L165">
            <v>24984.580000000009</v>
          </cell>
          <cell r="M165">
            <v>60000</v>
          </cell>
          <cell r="P165" t="str">
            <v/>
          </cell>
          <cell r="Q165" t="str">
            <v>Traspaso de rec a op</v>
          </cell>
        </row>
        <row r="166">
          <cell r="F166">
            <v>45621</v>
          </cell>
          <cell r="G166" t="str">
            <v>Imprevistos operativos</v>
          </cell>
          <cell r="H166" t="str">
            <v>Saldo 10% luminarias en vallado</v>
          </cell>
          <cell r="I166" t="str">
            <v>Señales</v>
          </cell>
          <cell r="J166">
            <v>96.56</v>
          </cell>
          <cell r="K166">
            <v>535.46</v>
          </cell>
          <cell r="L166">
            <v>24449.12000000001</v>
          </cell>
          <cell r="P166" t="str">
            <v/>
          </cell>
        </row>
        <row r="167">
          <cell r="F167">
            <v>45622</v>
          </cell>
          <cell r="H167" t="str">
            <v>Cambio</v>
          </cell>
          <cell r="K167">
            <v>12895.66</v>
          </cell>
          <cell r="L167">
            <v>11553.46000000001</v>
          </cell>
          <cell r="P167" t="str">
            <v/>
          </cell>
        </row>
        <row r="168">
          <cell r="F168">
            <v>45629</v>
          </cell>
          <cell r="G168" t="str">
            <v>Imprevistos operativos</v>
          </cell>
          <cell r="H168" t="str">
            <v>Saldo 50% informe de mercado BTR</v>
          </cell>
          <cell r="I168" t="str">
            <v>JVA</v>
          </cell>
          <cell r="J168">
            <v>132</v>
          </cell>
          <cell r="K168">
            <v>732</v>
          </cell>
          <cell r="L168">
            <v>10821.46000000001</v>
          </cell>
          <cell r="P168" t="str">
            <v/>
          </cell>
        </row>
        <row r="169">
          <cell r="F169">
            <v>45629</v>
          </cell>
          <cell r="G169" t="str">
            <v>Imprevistos operativos</v>
          </cell>
          <cell r="H169" t="str">
            <v>Gastos bancarios</v>
          </cell>
          <cell r="I169" t="str">
            <v>Itaú</v>
          </cell>
          <cell r="K169">
            <v>1.9</v>
          </cell>
          <cell r="L169">
            <v>10819.56000000001</v>
          </cell>
          <cell r="P169" t="str">
            <v/>
          </cell>
        </row>
        <row r="170">
          <cell r="F170">
            <v>45629</v>
          </cell>
          <cell r="G170" t="str">
            <v>Imprevistos operativos</v>
          </cell>
          <cell r="H170" t="str">
            <v>Honorarios 50% tasación BTR</v>
          </cell>
          <cell r="I170" t="str">
            <v>Vanoli Brun</v>
          </cell>
          <cell r="J170">
            <v>825</v>
          </cell>
          <cell r="K170">
            <v>4575</v>
          </cell>
          <cell r="L170">
            <v>6244.5600000000104</v>
          </cell>
          <cell r="P170" t="str">
            <v/>
          </cell>
        </row>
        <row r="171">
          <cell r="F171">
            <v>45629</v>
          </cell>
          <cell r="G171" t="str">
            <v>Imprevistos operativos</v>
          </cell>
          <cell r="H171" t="str">
            <v>Gastos bancarios</v>
          </cell>
          <cell r="I171" t="str">
            <v>Itaú</v>
          </cell>
          <cell r="K171">
            <v>1.9</v>
          </cell>
          <cell r="L171">
            <v>6242.6600000000108</v>
          </cell>
          <cell r="P171" t="str">
            <v/>
          </cell>
        </row>
        <row r="172">
          <cell r="F172">
            <v>45629</v>
          </cell>
          <cell r="G172" t="str">
            <v>Imprevistos operativos</v>
          </cell>
          <cell r="H172" t="str">
            <v>Honorarios 50% tasación BTR</v>
          </cell>
          <cell r="I172" t="str">
            <v>Iocco</v>
          </cell>
          <cell r="J172">
            <v>825</v>
          </cell>
          <cell r="K172">
            <v>4575</v>
          </cell>
          <cell r="L172">
            <v>1667.6600000000108</v>
          </cell>
          <cell r="P172" t="str">
            <v/>
          </cell>
        </row>
        <row r="173">
          <cell r="F173">
            <v>45629</v>
          </cell>
          <cell r="G173" t="str">
            <v>Imprevistos operativos</v>
          </cell>
          <cell r="H173" t="str">
            <v>Gastos bancarios</v>
          </cell>
          <cell r="I173" t="str">
            <v>Itaú</v>
          </cell>
          <cell r="K173">
            <v>1.9</v>
          </cell>
          <cell r="L173">
            <v>1665.7600000000107</v>
          </cell>
          <cell r="P173" t="str">
            <v/>
          </cell>
        </row>
        <row r="174">
          <cell r="F174">
            <v>45629</v>
          </cell>
          <cell r="H174" t="str">
            <v>Cambio</v>
          </cell>
          <cell r="K174">
            <v>11157.6</v>
          </cell>
          <cell r="L174">
            <v>-9491.8399999999892</v>
          </cell>
          <cell r="P174" t="str">
            <v/>
          </cell>
        </row>
        <row r="175">
          <cell r="F175">
            <v>45629</v>
          </cell>
          <cell r="L175">
            <v>10508.160000000011</v>
          </cell>
          <cell r="M175">
            <v>20000</v>
          </cell>
          <cell r="P175" t="str">
            <v/>
          </cell>
          <cell r="Q175" t="str">
            <v>Traspaso de rec a op</v>
          </cell>
        </row>
        <row r="176">
          <cell r="F176">
            <v>45629</v>
          </cell>
          <cell r="G176" t="str">
            <v>Publicidad por etapa 1 y 2</v>
          </cell>
          <cell r="H176" t="str">
            <v>Reintegros pauta digital noviembre (pago tarjeta credito delta)</v>
          </cell>
          <cell r="I176" t="str">
            <v>Delta</v>
          </cell>
          <cell r="K176">
            <v>804.97</v>
          </cell>
          <cell r="L176">
            <v>9703.1900000000114</v>
          </cell>
          <cell r="P176" t="str">
            <v/>
          </cell>
        </row>
        <row r="177">
          <cell r="F177">
            <v>45632</v>
          </cell>
          <cell r="G177" t="str">
            <v>Consultoria Vedor</v>
          </cell>
          <cell r="H177" t="str">
            <v>Honorarios profesionales 13</v>
          </cell>
          <cell r="I177" t="str">
            <v>Ignacio Archain</v>
          </cell>
          <cell r="J177">
            <v>1151.48</v>
          </cell>
          <cell r="K177">
            <v>6385.48</v>
          </cell>
          <cell r="L177">
            <v>3317.7100000000119</v>
          </cell>
          <cell r="P177" t="str">
            <v/>
          </cell>
        </row>
        <row r="178">
          <cell r="F178">
            <v>45638</v>
          </cell>
          <cell r="H178" t="str">
            <v>Cambio</v>
          </cell>
          <cell r="K178">
            <v>16949.150000000001</v>
          </cell>
          <cell r="L178">
            <v>-13631.43999999999</v>
          </cell>
          <cell r="P178" t="str">
            <v/>
          </cell>
        </row>
        <row r="179">
          <cell r="F179">
            <v>45638</v>
          </cell>
          <cell r="L179">
            <v>36368.560000000012</v>
          </cell>
          <cell r="M179">
            <v>50000</v>
          </cell>
          <cell r="P179" t="str">
            <v/>
          </cell>
          <cell r="Q179" t="str">
            <v>Traspaso de rec a op</v>
          </cell>
        </row>
        <row r="180">
          <cell r="F180">
            <v>45644</v>
          </cell>
          <cell r="H180" t="str">
            <v>Cambio</v>
          </cell>
          <cell r="K180">
            <v>14179.599999999999</v>
          </cell>
          <cell r="L180">
            <v>22188.960000000014</v>
          </cell>
          <cell r="P180" t="str">
            <v/>
          </cell>
        </row>
        <row r="181">
          <cell r="F181">
            <v>45644</v>
          </cell>
          <cell r="K181">
            <v>0</v>
          </cell>
          <cell r="L181">
            <v>22188.960000000014</v>
          </cell>
          <cell r="P181" t="str">
            <v/>
          </cell>
        </row>
        <row r="182">
          <cell r="F182">
            <v>45644</v>
          </cell>
          <cell r="L182">
            <v>122188.96000000002</v>
          </cell>
          <cell r="M182">
            <v>100000</v>
          </cell>
          <cell r="P182" t="str">
            <v/>
          </cell>
          <cell r="Q182" t="str">
            <v>Traspaso de rec a op</v>
          </cell>
        </row>
        <row r="183">
          <cell r="F183">
            <v>45644</v>
          </cell>
          <cell r="G183" t="str">
            <v>Development fee por etapa 1 y 2</v>
          </cell>
          <cell r="H183" t="str">
            <v>Honorarios profesionales mes 7/24</v>
          </cell>
          <cell r="I183" t="str">
            <v>DDC</v>
          </cell>
          <cell r="J183">
            <v>16766.64</v>
          </cell>
          <cell r="K183">
            <v>92978.64</v>
          </cell>
          <cell r="L183">
            <v>29210.320000000022</v>
          </cell>
          <cell r="P183" t="str">
            <v/>
          </cell>
        </row>
        <row r="184">
          <cell r="F184">
            <v>45646</v>
          </cell>
          <cell r="H184" t="str">
            <v>Cambio</v>
          </cell>
          <cell r="K184">
            <v>63091.48</v>
          </cell>
          <cell r="L184">
            <v>-33881.159999999982</v>
          </cell>
          <cell r="P184" t="str">
            <v/>
          </cell>
        </row>
        <row r="185">
          <cell r="F185">
            <v>45646</v>
          </cell>
          <cell r="L185">
            <v>16118.840000000018</v>
          </cell>
          <cell r="M185">
            <v>50000</v>
          </cell>
          <cell r="P185" t="str">
            <v/>
          </cell>
        </row>
        <row r="186">
          <cell r="F186">
            <v>45646</v>
          </cell>
          <cell r="G186" t="str">
            <v>Publicidad por etapa 1 y 2</v>
          </cell>
          <cell r="H186" t="str">
            <v xml:space="preserve">Presencia evento navidad    </v>
          </cell>
          <cell r="I186" t="str">
            <v>Ana Elena Lenoble</v>
          </cell>
          <cell r="K186">
            <v>400</v>
          </cell>
          <cell r="L186">
            <v>15718.840000000018</v>
          </cell>
          <cell r="P186" t="str">
            <v/>
          </cell>
        </row>
        <row r="187">
          <cell r="F187">
            <v>45649</v>
          </cell>
          <cell r="G187" t="str">
            <v>Publicidad por etapa 1 y 2</v>
          </cell>
          <cell r="H187" t="str">
            <v>Presencia evento navidad (Sofia del Campo)</v>
          </cell>
          <cell r="I187" t="str">
            <v>Lussich Jiménez de Aréchaga</v>
          </cell>
          <cell r="J187">
            <v>99</v>
          </cell>
          <cell r="K187">
            <v>549</v>
          </cell>
          <cell r="L187">
            <v>15169.840000000018</v>
          </cell>
          <cell r="P187" t="str">
            <v/>
          </cell>
        </row>
        <row r="188">
          <cell r="F188">
            <v>45667</v>
          </cell>
          <cell r="H188" t="str">
            <v>Cambio</v>
          </cell>
          <cell r="K188">
            <v>4566.21</v>
          </cell>
          <cell r="L188">
            <v>10603.630000000019</v>
          </cell>
          <cell r="P188" t="str">
            <v/>
          </cell>
        </row>
        <row r="189">
          <cell r="F189">
            <v>45667</v>
          </cell>
          <cell r="G189" t="str">
            <v>Publicidad por etapa 1 y 2</v>
          </cell>
          <cell r="H189" t="str">
            <v>Cobertura evento Navidad</v>
          </cell>
          <cell r="I189" t="str">
            <v>Silvestre</v>
          </cell>
          <cell r="J189">
            <v>121</v>
          </cell>
          <cell r="K189">
            <v>671</v>
          </cell>
          <cell r="L189">
            <v>9932.6300000000192</v>
          </cell>
          <cell r="P189" t="str">
            <v/>
          </cell>
        </row>
        <row r="190">
          <cell r="F190">
            <v>45667</v>
          </cell>
          <cell r="G190" t="str">
            <v>Publicidad por etapa 1 y 2</v>
          </cell>
          <cell r="H190" t="str">
            <v>Pauta digital diciembre (tarjeta de crédito)</v>
          </cell>
          <cell r="I190" t="str">
            <v>Itaú</v>
          </cell>
          <cell r="K190">
            <v>841.97</v>
          </cell>
          <cell r="L190">
            <v>9090.6600000000199</v>
          </cell>
          <cell r="P190" t="str">
            <v/>
          </cell>
        </row>
        <row r="191">
          <cell r="F191">
            <v>45671</v>
          </cell>
          <cell r="H191" t="str">
            <v>Cambio</v>
          </cell>
          <cell r="K191">
            <v>1715.46</v>
          </cell>
          <cell r="L191">
            <v>7375.2000000000198</v>
          </cell>
          <cell r="P191" t="str">
            <v/>
          </cell>
        </row>
        <row r="192">
          <cell r="F192">
            <v>45672</v>
          </cell>
          <cell r="H192" t="str">
            <v>Cambio</v>
          </cell>
          <cell r="K192">
            <v>3199.26</v>
          </cell>
          <cell r="L192">
            <v>4175.9400000000196</v>
          </cell>
          <cell r="P192" t="str">
            <v/>
          </cell>
        </row>
        <row r="193">
          <cell r="F193">
            <v>45673</v>
          </cell>
          <cell r="H193" t="str">
            <v>Cambio</v>
          </cell>
          <cell r="K193">
            <v>1141.55</v>
          </cell>
          <cell r="L193">
            <v>3034.3900000000194</v>
          </cell>
          <cell r="P193" t="str">
            <v/>
          </cell>
        </row>
        <row r="194">
          <cell r="F194">
            <v>45681</v>
          </cell>
          <cell r="L194">
            <v>23034.390000000021</v>
          </cell>
          <cell r="M194">
            <v>20000</v>
          </cell>
          <cell r="P194" t="str">
            <v/>
          </cell>
          <cell r="Q194" t="str">
            <v>Prestamo Merinos</v>
          </cell>
        </row>
        <row r="195">
          <cell r="F195">
            <v>45681</v>
          </cell>
          <cell r="H195" t="str">
            <v>Cambio</v>
          </cell>
          <cell r="K195">
            <v>2088.16</v>
          </cell>
          <cell r="L195">
            <v>20946.230000000021</v>
          </cell>
          <cell r="P195" t="str">
            <v/>
          </cell>
        </row>
        <row r="196">
          <cell r="F196">
            <v>45684</v>
          </cell>
          <cell r="G196" t="str">
            <v>Publicidad por etapa 1 y 2</v>
          </cell>
          <cell r="H196" t="str">
            <v>Acopio 50% modificiaciones renders y presentación (ppto 2480)</v>
          </cell>
          <cell r="I196" t="str">
            <v>ARS</v>
          </cell>
          <cell r="J196">
            <v>433.84</v>
          </cell>
          <cell r="K196">
            <v>2404.84</v>
          </cell>
          <cell r="L196">
            <v>18541.390000000021</v>
          </cell>
          <cell r="P196" t="str">
            <v/>
          </cell>
        </row>
        <row r="197">
          <cell r="F197">
            <v>45684</v>
          </cell>
          <cell r="G197" t="str">
            <v>Publicidad por etapa 1 y 2</v>
          </cell>
          <cell r="H197" t="str">
            <v>Saldo 50% presentación interactivo (ppto 2440)</v>
          </cell>
          <cell r="I197" t="str">
            <v>ARS</v>
          </cell>
          <cell r="J197">
            <v>396</v>
          </cell>
          <cell r="K197">
            <v>2196</v>
          </cell>
          <cell r="L197">
            <v>16345.390000000021</v>
          </cell>
          <cell r="P197" t="str">
            <v/>
          </cell>
        </row>
        <row r="198">
          <cell r="F198">
            <v>45686</v>
          </cell>
          <cell r="H198" t="str">
            <v>Cambio</v>
          </cell>
          <cell r="K198">
            <v>1162.79</v>
          </cell>
          <cell r="L198">
            <v>15182.60000000002</v>
          </cell>
          <cell r="P198" t="str">
            <v/>
          </cell>
        </row>
        <row r="199">
          <cell r="F199">
            <v>45698</v>
          </cell>
          <cell r="H199" t="str">
            <v>Cambio</v>
          </cell>
          <cell r="K199">
            <v>54272.52</v>
          </cell>
          <cell r="L199">
            <v>-39089.919999999976</v>
          </cell>
          <cell r="P199" t="str">
            <v/>
          </cell>
        </row>
        <row r="200">
          <cell r="F200">
            <v>45698</v>
          </cell>
          <cell r="L200">
            <v>5910.0800000000236</v>
          </cell>
          <cell r="M200">
            <v>45000</v>
          </cell>
          <cell r="P200" t="str">
            <v/>
          </cell>
          <cell r="Q200" t="str">
            <v>Prestamo LR</v>
          </cell>
        </row>
        <row r="201">
          <cell r="F201">
            <v>45701</v>
          </cell>
          <cell r="G201" t="str">
            <v>Seguro de obra por etapa 1 y 2</v>
          </cell>
          <cell r="H201" t="str">
            <v>Seguro todo riesgo cuota 1/18</v>
          </cell>
          <cell r="I201" t="str">
            <v>Sura</v>
          </cell>
          <cell r="J201">
            <v>322.67</v>
          </cell>
          <cell r="K201">
            <v>1789.38</v>
          </cell>
          <cell r="L201">
            <v>4120.7000000000235</v>
          </cell>
          <cell r="P201" t="str">
            <v/>
          </cell>
        </row>
        <row r="202">
          <cell r="F202">
            <v>45714</v>
          </cell>
          <cell r="H202" t="str">
            <v>Cambio</v>
          </cell>
          <cell r="K202">
            <v>68203.3</v>
          </cell>
          <cell r="L202">
            <v>-64082.599999999977</v>
          </cell>
          <cell r="P202" t="str">
            <v/>
          </cell>
        </row>
        <row r="203">
          <cell r="F203">
            <v>45714</v>
          </cell>
          <cell r="L203">
            <v>135917.40000000002</v>
          </cell>
          <cell r="M203">
            <v>200000</v>
          </cell>
          <cell r="P203" t="str">
            <v/>
          </cell>
          <cell r="Q203" t="str">
            <v>Traspaso de rec a op</v>
          </cell>
        </row>
        <row r="204">
          <cell r="F204">
            <v>45714</v>
          </cell>
          <cell r="G204" t="str">
            <v>Imprevistos obra</v>
          </cell>
          <cell r="H204" t="str">
            <v xml:space="preserve">Instalación focos iluminación exterior </v>
          </cell>
          <cell r="I204" t="str">
            <v>Fernando Bassino</v>
          </cell>
          <cell r="J204">
            <v>295.06</v>
          </cell>
          <cell r="K204">
            <v>1636.28</v>
          </cell>
          <cell r="L204">
            <v>134281.12000000002</v>
          </cell>
          <cell r="P204" t="str">
            <v/>
          </cell>
        </row>
        <row r="205">
          <cell r="F205">
            <v>45714</v>
          </cell>
          <cell r="G205" t="str">
            <v>Imprevistos operativos</v>
          </cell>
          <cell r="H205" t="str">
            <v>Gastos bancarios</v>
          </cell>
          <cell r="I205" t="str">
            <v>Itaú</v>
          </cell>
          <cell r="K205">
            <v>1.9</v>
          </cell>
          <cell r="L205">
            <v>134279.22000000003</v>
          </cell>
          <cell r="P205" t="str">
            <v/>
          </cell>
        </row>
        <row r="206">
          <cell r="F206">
            <v>45714</v>
          </cell>
          <cell r="L206">
            <v>134279.22000000003</v>
          </cell>
          <cell r="P206" t="str">
            <v/>
          </cell>
        </row>
        <row r="207">
          <cell r="F207">
            <v>45714</v>
          </cell>
          <cell r="G207" t="str">
            <v>Consultoria Vedor</v>
          </cell>
          <cell r="H207" t="str">
            <v>Honorarios profesionales 14</v>
          </cell>
          <cell r="I207" t="str">
            <v>Ignacio Archain</v>
          </cell>
          <cell r="J207">
            <v>1204.28</v>
          </cell>
          <cell r="K207">
            <v>6678.28</v>
          </cell>
          <cell r="L207">
            <v>127600.94000000003</v>
          </cell>
          <cell r="P207" t="str">
            <v/>
          </cell>
        </row>
        <row r="208">
          <cell r="F208">
            <v>45714</v>
          </cell>
          <cell r="G208" t="str">
            <v>Publicidad por etapa 1 y 2</v>
          </cell>
          <cell r="H208" t="str">
            <v>Fumigación para evento Navidad</v>
          </cell>
          <cell r="I208" t="str">
            <v>Exterminex</v>
          </cell>
          <cell r="J208">
            <v>165</v>
          </cell>
          <cell r="K208">
            <v>915</v>
          </cell>
          <cell r="L208">
            <v>126685.94000000003</v>
          </cell>
          <cell r="P208" t="str">
            <v/>
          </cell>
        </row>
        <row r="209">
          <cell r="F209">
            <v>45714</v>
          </cell>
          <cell r="G209" t="str">
            <v>Publicidad por etapa 1 y 2</v>
          </cell>
          <cell r="H209" t="str">
            <v>Contenido campeonato de polo</v>
          </cell>
          <cell r="I209" t="str">
            <v>Arden</v>
          </cell>
          <cell r="K209">
            <v>450</v>
          </cell>
          <cell r="L209">
            <v>126235.94000000003</v>
          </cell>
          <cell r="P209" t="str">
            <v/>
          </cell>
        </row>
        <row r="210">
          <cell r="F210">
            <v>45714</v>
          </cell>
          <cell r="G210" t="str">
            <v>Publicidad por etapa 1 y 2</v>
          </cell>
          <cell r="H210" t="str">
            <v>Reintegro pauta digital enero 2025 (tarjeta de crédito)</v>
          </cell>
          <cell r="I210" t="str">
            <v>Delta</v>
          </cell>
          <cell r="K210">
            <v>689.39</v>
          </cell>
          <cell r="L210">
            <v>125546.55000000003</v>
          </cell>
          <cell r="P210" t="str">
            <v/>
          </cell>
        </row>
        <row r="211">
          <cell r="F211">
            <v>45714</v>
          </cell>
          <cell r="H211" t="str">
            <v>Reintegro prestamo LR</v>
          </cell>
          <cell r="I211" t="str">
            <v>La Reserva</v>
          </cell>
          <cell r="K211">
            <v>45000</v>
          </cell>
          <cell r="L211">
            <v>80546.550000000032</v>
          </cell>
          <cell r="P211" t="str">
            <v/>
          </cell>
        </row>
        <row r="212">
          <cell r="F212">
            <v>45714</v>
          </cell>
          <cell r="H212" t="str">
            <v>Reintegro prestamo Merinos</v>
          </cell>
          <cell r="I212" t="str">
            <v>Merinos</v>
          </cell>
          <cell r="K212">
            <v>20000</v>
          </cell>
          <cell r="L212">
            <v>60546.550000000032</v>
          </cell>
          <cell r="P212" t="str">
            <v/>
          </cell>
        </row>
        <row r="213">
          <cell r="F213">
            <v>45714</v>
          </cell>
          <cell r="G213" t="str">
            <v>Imprevistos operativos</v>
          </cell>
          <cell r="H213" t="str">
            <v>Presentación COMAP (LIV Residencial y 4 bloques bajos)</v>
          </cell>
          <cell r="I213" t="str">
            <v>Intrust</v>
          </cell>
          <cell r="J213">
            <v>880</v>
          </cell>
          <cell r="K213">
            <v>4880</v>
          </cell>
          <cell r="L213">
            <v>55666.550000000032</v>
          </cell>
          <cell r="P213" t="str">
            <v/>
          </cell>
        </row>
        <row r="214">
          <cell r="F214">
            <v>45716</v>
          </cell>
          <cell r="L214">
            <v>105666.55000000003</v>
          </cell>
          <cell r="M214">
            <v>50000</v>
          </cell>
          <cell r="P214" t="str">
            <v/>
          </cell>
          <cell r="Q214" t="str">
            <v>Traspaso de rec a op</v>
          </cell>
        </row>
        <row r="215">
          <cell r="F215">
            <v>45716</v>
          </cell>
          <cell r="G215" t="str">
            <v>Development fee por etapa 1 y 2</v>
          </cell>
          <cell r="H215" t="str">
            <v>Honorarios profesionales (8/24)</v>
          </cell>
          <cell r="I215" t="str">
            <v>DDC</v>
          </cell>
          <cell r="J215">
            <v>16766.64</v>
          </cell>
          <cell r="K215">
            <v>92978.64</v>
          </cell>
          <cell r="L215">
            <v>12687.910000000033</v>
          </cell>
          <cell r="P215" t="str">
            <v/>
          </cell>
        </row>
        <row r="216">
          <cell r="F216">
            <v>45723</v>
          </cell>
          <cell r="G216" t="str">
            <v>Leed</v>
          </cell>
          <cell r="H216" t="str">
            <v>Diagnóstico certificación EDGE (cuota 2/2 - 60%)</v>
          </cell>
          <cell r="I216" t="str">
            <v>Rafael Perolo</v>
          </cell>
          <cell r="J216">
            <v>246.84</v>
          </cell>
          <cell r="K216">
            <v>1368.84</v>
          </cell>
          <cell r="L216">
            <v>11319.070000000032</v>
          </cell>
          <cell r="P216" t="str">
            <v/>
          </cell>
        </row>
        <row r="217">
          <cell r="F217">
            <v>45723</v>
          </cell>
          <cell r="G217" t="str">
            <v>Imprevistos operativos</v>
          </cell>
          <cell r="H217" t="str">
            <v>Gastos bancarios</v>
          </cell>
          <cell r="I217" t="str">
            <v>Itaú</v>
          </cell>
          <cell r="K217">
            <v>1.9</v>
          </cell>
          <cell r="L217">
            <v>11317.170000000033</v>
          </cell>
          <cell r="P217" t="str">
            <v/>
          </cell>
        </row>
        <row r="218">
          <cell r="F218">
            <v>45727</v>
          </cell>
          <cell r="G218" t="str">
            <v>Imprevistos operativos</v>
          </cell>
          <cell r="H218" t="str">
            <v>Aporte</v>
          </cell>
          <cell r="I218" t="str">
            <v>Municipio E</v>
          </cell>
          <cell r="K218">
            <v>1000</v>
          </cell>
          <cell r="L218">
            <v>10317.170000000033</v>
          </cell>
          <cell r="P218" t="str">
            <v/>
          </cell>
        </row>
        <row r="219">
          <cell r="F219">
            <v>45736</v>
          </cell>
          <cell r="H219" t="str">
            <v>Cambio</v>
          </cell>
          <cell r="K219">
            <v>166270.78</v>
          </cell>
          <cell r="L219">
            <v>-155953.60999999996</v>
          </cell>
          <cell r="P219" t="str">
            <v/>
          </cell>
        </row>
        <row r="220">
          <cell r="F220">
            <v>45736</v>
          </cell>
          <cell r="L220">
            <v>44046.390000000043</v>
          </cell>
          <cell r="M220">
            <v>200000</v>
          </cell>
          <cell r="P220" t="str">
            <v/>
          </cell>
          <cell r="Q220" t="str">
            <v>Traspaso de rec a op</v>
          </cell>
        </row>
        <row r="221">
          <cell r="F221">
            <v>45737</v>
          </cell>
          <cell r="G221" t="str">
            <v>Imprevistos operativos</v>
          </cell>
          <cell r="H221" t="str">
            <v>Mobiliario obrador</v>
          </cell>
          <cell r="I221" t="str">
            <v>De Marco</v>
          </cell>
          <cell r="J221">
            <v>268.88147540983607</v>
          </cell>
          <cell r="K221">
            <v>1491.07</v>
          </cell>
          <cell r="L221">
            <v>42555.320000000043</v>
          </cell>
          <cell r="P221" t="str">
            <v/>
          </cell>
        </row>
        <row r="222">
          <cell r="F222">
            <v>45737</v>
          </cell>
          <cell r="G222" t="str">
            <v>Imprevistos operativos</v>
          </cell>
          <cell r="H222" t="str">
            <v>Mobiliario obrador</v>
          </cell>
          <cell r="I222" t="str">
            <v>De Marco</v>
          </cell>
          <cell r="J222">
            <v>55.901639344262293</v>
          </cell>
          <cell r="K222">
            <v>310</v>
          </cell>
          <cell r="L222">
            <v>42245.320000000043</v>
          </cell>
          <cell r="P222" t="str">
            <v/>
          </cell>
        </row>
        <row r="223">
          <cell r="F223">
            <v>45740</v>
          </cell>
          <cell r="H223" t="str">
            <v>Cambio</v>
          </cell>
          <cell r="K223">
            <v>35671.82</v>
          </cell>
          <cell r="L223">
            <v>6573.5000000000437</v>
          </cell>
          <cell r="P223" t="str">
            <v/>
          </cell>
        </row>
        <row r="224">
          <cell r="F224">
            <v>45741</v>
          </cell>
          <cell r="L224">
            <v>106573.50000000004</v>
          </cell>
          <cell r="M224">
            <v>100000</v>
          </cell>
          <cell r="P224" t="str">
            <v/>
          </cell>
          <cell r="Q224" t="str">
            <v>Traspaso de rec a op</v>
          </cell>
        </row>
        <row r="225">
          <cell r="F225">
            <v>45741</v>
          </cell>
          <cell r="G225" t="str">
            <v>Development fee por etapa 1 y 2</v>
          </cell>
          <cell r="H225" t="str">
            <v>Honorarios profesionales mes 9</v>
          </cell>
          <cell r="I225" t="str">
            <v>DDC</v>
          </cell>
          <cell r="J225">
            <v>16766.64</v>
          </cell>
          <cell r="K225">
            <v>92978.64</v>
          </cell>
          <cell r="L225">
            <v>13594.860000000044</v>
          </cell>
          <cell r="P225" t="str">
            <v/>
          </cell>
        </row>
        <row r="226">
          <cell r="F226">
            <v>45742</v>
          </cell>
          <cell r="G226" t="str">
            <v>Publicidad por etapa 1 y 2</v>
          </cell>
          <cell r="H226" t="str">
            <v>Seña 50% baños evento inicio de obras</v>
          </cell>
          <cell r="I226" t="str">
            <v>Grupo Lusso</v>
          </cell>
          <cell r="K226">
            <v>245</v>
          </cell>
          <cell r="L226">
            <v>13349.860000000044</v>
          </cell>
          <cell r="P226" t="str">
            <v/>
          </cell>
        </row>
        <row r="227">
          <cell r="F227">
            <v>45742</v>
          </cell>
          <cell r="G227" t="str">
            <v>Publicidad por etapa 1 y 2</v>
          </cell>
          <cell r="H227" t="str">
            <v>Reintegro pauta digital febrero (tarjeta de crédito)</v>
          </cell>
          <cell r="I227" t="str">
            <v>Delta</v>
          </cell>
          <cell r="K227">
            <v>885.93</v>
          </cell>
          <cell r="L227">
            <v>12463.930000000044</v>
          </cell>
          <cell r="P227" t="str">
            <v/>
          </cell>
        </row>
        <row r="228">
          <cell r="F228">
            <v>45744</v>
          </cell>
          <cell r="H228" t="str">
            <v>Cambio</v>
          </cell>
          <cell r="K228">
            <v>76190.48</v>
          </cell>
          <cell r="L228">
            <v>-63726.549999999952</v>
          </cell>
          <cell r="P228" t="str">
            <v/>
          </cell>
        </row>
        <row r="229">
          <cell r="F229">
            <v>45744</v>
          </cell>
          <cell r="L229">
            <v>36273.450000000048</v>
          </cell>
          <cell r="M229">
            <v>100000</v>
          </cell>
          <cell r="P229" t="str">
            <v/>
          </cell>
          <cell r="Q229" t="str">
            <v>Traspaso de rec a op</v>
          </cell>
        </row>
        <row r="230">
          <cell r="F230">
            <v>45747</v>
          </cell>
          <cell r="G230" t="str">
            <v>Publicidad por etapa 1 y 2</v>
          </cell>
          <cell r="H230" t="str">
            <v>Renovación hosting pagina web</v>
          </cell>
          <cell r="I230" t="str">
            <v>I+D Media</v>
          </cell>
          <cell r="J230">
            <v>44</v>
          </cell>
          <cell r="K230">
            <v>244</v>
          </cell>
          <cell r="L230">
            <v>36029.450000000048</v>
          </cell>
          <cell r="P230" t="str">
            <v/>
          </cell>
        </row>
        <row r="231">
          <cell r="F231">
            <v>45747</v>
          </cell>
          <cell r="G231" t="str">
            <v>Imprevistos operativos</v>
          </cell>
          <cell r="H231" t="str">
            <v>Gastos bancarios</v>
          </cell>
          <cell r="I231" t="str">
            <v>Itaú</v>
          </cell>
          <cell r="K231">
            <v>1.9</v>
          </cell>
          <cell r="L231">
            <v>36027.550000000047</v>
          </cell>
          <cell r="P231" t="str">
            <v/>
          </cell>
        </row>
        <row r="232">
          <cell r="F232">
            <v>45747</v>
          </cell>
          <cell r="H232" t="str">
            <v>Cambio</v>
          </cell>
          <cell r="K232">
            <v>1905.66</v>
          </cell>
          <cell r="L232">
            <v>34121.890000000043</v>
          </cell>
          <cell r="P232" t="str">
            <v/>
          </cell>
        </row>
        <row r="233">
          <cell r="F233">
            <v>45748</v>
          </cell>
          <cell r="G233" t="str">
            <v>Publicidad por etapa 1 y 2</v>
          </cell>
          <cell r="H233" t="str">
            <v>Tanque para evento inicio de obras</v>
          </cell>
          <cell r="I233" t="str">
            <v>Tankes</v>
          </cell>
          <cell r="K233">
            <v>25.62</v>
          </cell>
          <cell r="L233">
            <v>34096.27000000004</v>
          </cell>
          <cell r="P233" t="str">
            <v/>
          </cell>
        </row>
        <row r="234">
          <cell r="F234">
            <v>45748</v>
          </cell>
          <cell r="G234" t="str">
            <v>Imprevistos operativos</v>
          </cell>
          <cell r="H234" t="str">
            <v>Gastos bancarios</v>
          </cell>
          <cell r="I234" t="str">
            <v>Itaú</v>
          </cell>
          <cell r="K234">
            <v>1.9</v>
          </cell>
          <cell r="L234">
            <v>34094.370000000039</v>
          </cell>
          <cell r="P234" t="str">
            <v/>
          </cell>
        </row>
        <row r="235">
          <cell r="F235">
            <v>45748</v>
          </cell>
          <cell r="G235" t="str">
            <v>Imprevistos operativos</v>
          </cell>
          <cell r="H235" t="str">
            <v>Diferencia por tc (Reintegro luis pedro)</v>
          </cell>
          <cell r="I235" t="str">
            <v>Matices</v>
          </cell>
          <cell r="K235">
            <v>6</v>
          </cell>
          <cell r="L235">
            <v>34088.370000000039</v>
          </cell>
          <cell r="P235" t="str">
            <v/>
          </cell>
        </row>
        <row r="236">
          <cell r="F236">
            <v>45749</v>
          </cell>
          <cell r="G236" t="str">
            <v>Publicidad por etapa 1 y 2</v>
          </cell>
          <cell r="H236" t="str">
            <v>Seña 50% violinista evento inicio de obras</v>
          </cell>
          <cell r="I236" t="str">
            <v>Guillermo Welker</v>
          </cell>
          <cell r="K236">
            <v>125</v>
          </cell>
          <cell r="L236">
            <v>33963.370000000039</v>
          </cell>
          <cell r="P236" t="str">
            <v/>
          </cell>
        </row>
        <row r="237">
          <cell r="F237">
            <v>45750</v>
          </cell>
          <cell r="H237" t="str">
            <v>Cambio</v>
          </cell>
          <cell r="K237">
            <v>1431.29</v>
          </cell>
          <cell r="L237">
            <v>32532.080000000038</v>
          </cell>
          <cell r="P237" t="str">
            <v/>
          </cell>
        </row>
        <row r="238">
          <cell r="F238">
            <v>45751</v>
          </cell>
          <cell r="H238" t="str">
            <v>Cambio</v>
          </cell>
          <cell r="K238">
            <v>16292.8</v>
          </cell>
          <cell r="L238">
            <v>16239.280000000039</v>
          </cell>
          <cell r="P238" t="str">
            <v/>
          </cell>
        </row>
        <row r="239">
          <cell r="F239">
            <v>45751</v>
          </cell>
          <cell r="L239">
            <v>66239.280000000042</v>
          </cell>
          <cell r="M239">
            <v>50000</v>
          </cell>
          <cell r="P239" t="str">
            <v/>
          </cell>
          <cell r="Q239" t="str">
            <v>Traspaso de rec a op</v>
          </cell>
        </row>
        <row r="240">
          <cell r="F240">
            <v>45751</v>
          </cell>
          <cell r="G240" t="str">
            <v>Publicidad por etapa 1 y 2</v>
          </cell>
          <cell r="H240" t="str">
            <v xml:space="preserve">Reintegro pauta digital marzo 2025 </v>
          </cell>
          <cell r="I240" t="str">
            <v>Delta</v>
          </cell>
          <cell r="K240">
            <v>777.15</v>
          </cell>
          <cell r="L240">
            <v>65462.130000000041</v>
          </cell>
          <cell r="P240" t="str">
            <v/>
          </cell>
        </row>
        <row r="241">
          <cell r="F241">
            <v>45751</v>
          </cell>
          <cell r="G241" t="str">
            <v>Publicidad por etapa 1 y 2</v>
          </cell>
          <cell r="H241" t="str">
            <v>Saldo 50% violinista evento inicio de obras</v>
          </cell>
          <cell r="I241" t="str">
            <v>Guillermo Welker</v>
          </cell>
          <cell r="K241">
            <v>125</v>
          </cell>
          <cell r="L241">
            <v>65337.130000000041</v>
          </cell>
          <cell r="P241" t="str">
            <v/>
          </cell>
        </row>
        <row r="242">
          <cell r="F242">
            <v>45751</v>
          </cell>
          <cell r="G242" t="str">
            <v>Publicidad por etapa 1 y 2</v>
          </cell>
          <cell r="H242" t="str">
            <v>Contenido evento inicio de obras (Phillip Tatton)</v>
          </cell>
          <cell r="I242" t="str">
            <v>Espontaneo Productions</v>
          </cell>
          <cell r="J242">
            <v>143</v>
          </cell>
          <cell r="K242">
            <v>793</v>
          </cell>
          <cell r="L242">
            <v>64544.130000000041</v>
          </cell>
          <cell r="P242" t="str">
            <v/>
          </cell>
        </row>
        <row r="243">
          <cell r="F243">
            <v>45751</v>
          </cell>
          <cell r="G243" t="str">
            <v>Imprevistos operativos</v>
          </cell>
          <cell r="H243" t="str">
            <v>Instalación biobarda en arroyo</v>
          </cell>
          <cell r="I243" t="str">
            <v>Ciemsa</v>
          </cell>
          <cell r="J243">
            <v>4840</v>
          </cell>
          <cell r="K243">
            <v>26840</v>
          </cell>
          <cell r="L243">
            <v>37704.130000000041</v>
          </cell>
          <cell r="P243" t="str">
            <v/>
          </cell>
        </row>
        <row r="244">
          <cell r="F244">
            <v>45754</v>
          </cell>
          <cell r="G244" t="str">
            <v>Imprevistos operativos</v>
          </cell>
          <cell r="H244" t="str">
            <v>Honorarios profesionales modelo financiero BTR</v>
          </cell>
          <cell r="I244" t="str">
            <v>Grant Thornton</v>
          </cell>
          <cell r="J244">
            <v>1232</v>
          </cell>
          <cell r="K244">
            <v>6832</v>
          </cell>
          <cell r="L244">
            <v>30872.130000000041</v>
          </cell>
          <cell r="P244" t="str">
            <v/>
          </cell>
        </row>
        <row r="245">
          <cell r="F245">
            <v>45754</v>
          </cell>
          <cell r="G245" t="str">
            <v>Publicidad por etapa 1 y 2</v>
          </cell>
          <cell r="H245" t="str">
            <v>Saldo baños químicos evento inicio de obras</v>
          </cell>
          <cell r="I245" t="str">
            <v>Grupo Lusso</v>
          </cell>
          <cell r="J245">
            <v>107.8</v>
          </cell>
          <cell r="K245">
            <v>352.8</v>
          </cell>
          <cell r="L245">
            <v>30519.330000000042</v>
          </cell>
          <cell r="P245" t="str">
            <v/>
          </cell>
        </row>
        <row r="246">
          <cell r="F246">
            <v>45755</v>
          </cell>
          <cell r="H246" t="str">
            <v>Cambio</v>
          </cell>
          <cell r="K246">
            <v>5275.49</v>
          </cell>
          <cell r="L246">
            <v>25243.84000000004</v>
          </cell>
          <cell r="P246" t="str">
            <v/>
          </cell>
        </row>
        <row r="247">
          <cell r="F247">
            <v>45755</v>
          </cell>
          <cell r="L247">
            <v>32075.84000000004</v>
          </cell>
          <cell r="M247">
            <v>6832</v>
          </cell>
          <cell r="O247">
            <v>600</v>
          </cell>
          <cell r="P247" t="str">
            <v>Otros ingresos LIV</v>
          </cell>
          <cell r="Q247" t="str">
            <v xml:space="preserve">A10641 honorarios Grant Thornton modelo financiero </v>
          </cell>
        </row>
        <row r="248">
          <cell r="F248">
            <v>45756</v>
          </cell>
          <cell r="H248" t="str">
            <v>Cambio</v>
          </cell>
          <cell r="K248">
            <v>3139.53</v>
          </cell>
          <cell r="L248">
            <v>28936.310000000041</v>
          </cell>
          <cell r="P248" t="str">
            <v/>
          </cell>
        </row>
        <row r="249">
          <cell r="F249">
            <v>45757</v>
          </cell>
          <cell r="H249" t="str">
            <v>Cambio</v>
          </cell>
          <cell r="K249">
            <v>304428.90000000002</v>
          </cell>
          <cell r="L249">
            <v>-275492.58999999997</v>
          </cell>
          <cell r="P249" t="str">
            <v/>
          </cell>
        </row>
        <row r="250">
          <cell r="F250">
            <v>45757</v>
          </cell>
          <cell r="L250">
            <v>24507.410000000033</v>
          </cell>
          <cell r="M250">
            <v>300000</v>
          </cell>
          <cell r="P250" t="str">
            <v/>
          </cell>
          <cell r="Q250" t="str">
            <v>Traspaso de rec a op</v>
          </cell>
        </row>
        <row r="251">
          <cell r="F251">
            <v>45758</v>
          </cell>
          <cell r="G251" t="str">
            <v>Seguro de obra por etapa 1 y 2</v>
          </cell>
          <cell r="H251" t="str">
            <v>Seguro de obra LIV cuota 3/18</v>
          </cell>
          <cell r="I251" t="str">
            <v>Sura</v>
          </cell>
          <cell r="J251">
            <v>322.67</v>
          </cell>
          <cell r="K251">
            <v>1789.37</v>
          </cell>
          <cell r="L251">
            <v>22718.040000000034</v>
          </cell>
          <cell r="P251" t="str">
            <v/>
          </cell>
        </row>
        <row r="252">
          <cell r="F252">
            <v>45758</v>
          </cell>
          <cell r="G252" t="str">
            <v>Seguro de obra por etapa 1 y 2</v>
          </cell>
          <cell r="H252" t="str">
            <v>Seguro de obra LIV cuota 2/18</v>
          </cell>
          <cell r="I252" t="str">
            <v>Sura</v>
          </cell>
          <cell r="J252">
            <v>322.67</v>
          </cell>
          <cell r="K252">
            <v>1789.37</v>
          </cell>
          <cell r="L252">
            <v>20928.670000000035</v>
          </cell>
          <cell r="P252" t="str">
            <v/>
          </cell>
        </row>
        <row r="253">
          <cell r="F253">
            <v>45769</v>
          </cell>
          <cell r="H253" t="str">
            <v>Cambio</v>
          </cell>
          <cell r="K253">
            <v>1915.25</v>
          </cell>
          <cell r="L253">
            <v>19013.420000000035</v>
          </cell>
          <cell r="P253" t="str">
            <v/>
          </cell>
        </row>
        <row r="254">
          <cell r="F254">
            <v>45770</v>
          </cell>
          <cell r="H254" t="str">
            <v>Cambio</v>
          </cell>
          <cell r="K254">
            <v>2403.84</v>
          </cell>
          <cell r="L254">
            <v>16609.580000000034</v>
          </cell>
          <cell r="P254" t="str">
            <v/>
          </cell>
        </row>
        <row r="255">
          <cell r="F255">
            <v>45772</v>
          </cell>
          <cell r="H255" t="str">
            <v>Cambio</v>
          </cell>
          <cell r="K255">
            <v>52556.480000000003</v>
          </cell>
          <cell r="L255">
            <v>-35946.899999999965</v>
          </cell>
          <cell r="P255" t="str">
            <v/>
          </cell>
        </row>
        <row r="256">
          <cell r="F256">
            <v>45772</v>
          </cell>
          <cell r="L256">
            <v>14053.100000000035</v>
          </cell>
          <cell r="M256">
            <v>50000</v>
          </cell>
          <cell r="P256" t="str">
            <v/>
          </cell>
          <cell r="Q256" t="str">
            <v>Traspaso de rec a op</v>
          </cell>
        </row>
        <row r="257">
          <cell r="F257">
            <v>45775</v>
          </cell>
          <cell r="L257">
            <v>114053.10000000003</v>
          </cell>
          <cell r="M257">
            <v>100000</v>
          </cell>
          <cell r="P257" t="str">
            <v/>
          </cell>
          <cell r="Q257" t="str">
            <v>Traspaso de rec a op</v>
          </cell>
        </row>
        <row r="258">
          <cell r="F258">
            <v>45776</v>
          </cell>
          <cell r="G258" t="str">
            <v>Development fee por etapa 1 y 2</v>
          </cell>
          <cell r="H258" t="str">
            <v>Honorarios profesionales mes 10/24</v>
          </cell>
          <cell r="I258" t="str">
            <v>DDC</v>
          </cell>
          <cell r="J258">
            <v>16766.64</v>
          </cell>
          <cell r="K258">
            <v>92978.64</v>
          </cell>
          <cell r="L258">
            <v>21074.460000000036</v>
          </cell>
          <cell r="P258" t="str">
            <v/>
          </cell>
        </row>
        <row r="259">
          <cell r="F259">
            <v>45777</v>
          </cell>
          <cell r="H259" t="str">
            <v>Cambio</v>
          </cell>
          <cell r="K259">
            <v>1436.09</v>
          </cell>
          <cell r="L259">
            <v>19638.370000000035</v>
          </cell>
          <cell r="P259" t="str">
            <v/>
          </cell>
        </row>
        <row r="260">
          <cell r="F260">
            <v>45783</v>
          </cell>
          <cell r="H260" t="str">
            <v>Cambio</v>
          </cell>
          <cell r="K260">
            <v>2409.63</v>
          </cell>
          <cell r="L260">
            <v>17228.740000000034</v>
          </cell>
          <cell r="P260" t="str">
            <v/>
          </cell>
        </row>
        <row r="261">
          <cell r="F261">
            <v>45784</v>
          </cell>
          <cell r="H261" t="str">
            <v>Cambio</v>
          </cell>
          <cell r="K261">
            <v>2442</v>
          </cell>
          <cell r="L261">
            <v>14786.740000000034</v>
          </cell>
          <cell r="P261" t="str">
            <v/>
          </cell>
        </row>
        <row r="262">
          <cell r="F262">
            <v>45789</v>
          </cell>
          <cell r="G262" t="str">
            <v>Seguro de obra por etapa 1 y 2</v>
          </cell>
          <cell r="H262" t="str">
            <v>Seguro de obra LIV cuota 4/18</v>
          </cell>
          <cell r="I262" t="str">
            <v>Sura</v>
          </cell>
          <cell r="J262">
            <v>322.67</v>
          </cell>
          <cell r="K262">
            <v>1789.37</v>
          </cell>
          <cell r="L262">
            <v>12997.370000000035</v>
          </cell>
          <cell r="P262" t="str">
            <v/>
          </cell>
        </row>
        <row r="263">
          <cell r="F263">
            <v>45789</v>
          </cell>
          <cell r="G263" t="str">
            <v>Seguro de obra por etapa 1 y 2</v>
          </cell>
          <cell r="H263" t="str">
            <v>Envío seguro de obra cuota 4/18</v>
          </cell>
          <cell r="I263" t="str">
            <v>Sura</v>
          </cell>
          <cell r="K263">
            <v>2.5</v>
          </cell>
          <cell r="L263">
            <v>12994.870000000035</v>
          </cell>
          <cell r="P263" t="str">
            <v/>
          </cell>
        </row>
        <row r="264">
          <cell r="F264">
            <v>45793</v>
          </cell>
          <cell r="G264" t="str">
            <v>Imprevistos operativos</v>
          </cell>
          <cell r="H264" t="str">
            <v>Débitos línea de crédito Itau (Reintegro Urbanización)</v>
          </cell>
          <cell r="I264" t="str">
            <v>Itaú</v>
          </cell>
          <cell r="K264">
            <v>201.07</v>
          </cell>
          <cell r="L264">
            <v>12793.800000000036</v>
          </cell>
          <cell r="P264" t="str">
            <v/>
          </cell>
        </row>
        <row r="265">
          <cell r="F265">
            <v>45793</v>
          </cell>
          <cell r="H265" t="str">
            <v>Cambio</v>
          </cell>
          <cell r="K265">
            <v>26347.31</v>
          </cell>
          <cell r="L265">
            <v>-13553.509999999966</v>
          </cell>
          <cell r="P265" t="str">
            <v/>
          </cell>
        </row>
        <row r="266">
          <cell r="F266">
            <v>45793</v>
          </cell>
          <cell r="L266">
            <v>486446.49000000005</v>
          </cell>
          <cell r="M266">
            <v>500000</v>
          </cell>
          <cell r="P266" t="str">
            <v/>
          </cell>
          <cell r="Q266" t="str">
            <v>Traspaso de rec a op</v>
          </cell>
        </row>
        <row r="267">
          <cell r="F267">
            <v>45793</v>
          </cell>
          <cell r="G267" t="str">
            <v>Comision inmobiliaria Etapa 1 y 2</v>
          </cell>
          <cell r="H267" t="str">
            <v>Comisión inmobiliaria 404 LIV 2</v>
          </cell>
          <cell r="I267" t="str">
            <v>Delta</v>
          </cell>
          <cell r="J267">
            <v>2930.4</v>
          </cell>
          <cell r="K267">
            <v>16250</v>
          </cell>
          <cell r="L267">
            <v>470196.49000000005</v>
          </cell>
          <cell r="P267" t="str">
            <v/>
          </cell>
        </row>
        <row r="268">
          <cell r="F268">
            <v>45793</v>
          </cell>
          <cell r="G268" t="str">
            <v>Comision inmobiliaria Etapa 1 y 2</v>
          </cell>
          <cell r="H268" t="str">
            <v>Comisión inmobiliaria 401 LIV 2</v>
          </cell>
          <cell r="I268" t="str">
            <v>Delta</v>
          </cell>
          <cell r="J268">
            <v>1113.75</v>
          </cell>
          <cell r="K268">
            <v>6176</v>
          </cell>
          <cell r="L268">
            <v>464020.49000000005</v>
          </cell>
          <cell r="P268" t="str">
            <v/>
          </cell>
        </row>
        <row r="269">
          <cell r="F269">
            <v>45793</v>
          </cell>
          <cell r="G269" t="str">
            <v>Comision inmobiliaria Etapa 1 y 2</v>
          </cell>
          <cell r="H269" t="str">
            <v>Comisión inmobiliario 301 LIV 2</v>
          </cell>
          <cell r="I269" t="str">
            <v>Delta</v>
          </cell>
          <cell r="J269">
            <v>1103.8499999999999</v>
          </cell>
          <cell r="K269">
            <v>6121</v>
          </cell>
          <cell r="L269">
            <v>457899.49000000005</v>
          </cell>
          <cell r="P269" t="str">
            <v/>
          </cell>
        </row>
        <row r="270">
          <cell r="F270">
            <v>45793</v>
          </cell>
          <cell r="G270" t="str">
            <v>Comision inmobiliaria Etapa 1 y 2</v>
          </cell>
          <cell r="H270" t="str">
            <v>Comisión inmobiliario 205 LIV 2</v>
          </cell>
          <cell r="I270" t="str">
            <v>Delta</v>
          </cell>
          <cell r="J270">
            <v>1838.68</v>
          </cell>
          <cell r="K270">
            <v>10196</v>
          </cell>
          <cell r="L270">
            <v>447703.49000000005</v>
          </cell>
          <cell r="P270" t="str">
            <v/>
          </cell>
        </row>
        <row r="271">
          <cell r="F271">
            <v>45793</v>
          </cell>
          <cell r="G271" t="str">
            <v>Comision inmobiliaria Etapa 1 y 2</v>
          </cell>
          <cell r="H271" t="str">
            <v>Comisión inmobiliario 401 LIV 1</v>
          </cell>
          <cell r="I271" t="str">
            <v>Delta</v>
          </cell>
          <cell r="J271">
            <v>1138.5</v>
          </cell>
          <cell r="K271">
            <v>6313</v>
          </cell>
          <cell r="L271">
            <v>441390.49000000005</v>
          </cell>
          <cell r="P271" t="str">
            <v/>
          </cell>
        </row>
        <row r="272">
          <cell r="F272">
            <v>45793</v>
          </cell>
          <cell r="G272" t="str">
            <v>Comision inmobiliaria Etapa 1 y 2</v>
          </cell>
          <cell r="H272" t="str">
            <v>Comisión inmobiliaria 204 LIV 2</v>
          </cell>
          <cell r="I272" t="str">
            <v>Delta</v>
          </cell>
          <cell r="J272">
            <v>2277</v>
          </cell>
          <cell r="K272">
            <v>12627</v>
          </cell>
          <cell r="L272">
            <v>428763.49000000005</v>
          </cell>
          <cell r="P272" t="str">
            <v/>
          </cell>
        </row>
        <row r="273">
          <cell r="F273">
            <v>45793</v>
          </cell>
          <cell r="G273" t="str">
            <v>Comision inmobiliaria Etapa 1 y 2</v>
          </cell>
          <cell r="H273" t="str">
            <v>Comisión inmobiliaria 303 LIV 2</v>
          </cell>
          <cell r="I273" t="str">
            <v>Delta</v>
          </cell>
          <cell r="J273">
            <v>1838.68</v>
          </cell>
          <cell r="K273">
            <v>10196</v>
          </cell>
          <cell r="L273">
            <v>418567.49000000005</v>
          </cell>
          <cell r="P273" t="str">
            <v/>
          </cell>
        </row>
        <row r="274">
          <cell r="F274">
            <v>45793</v>
          </cell>
          <cell r="G274" t="str">
            <v>Comision inmobiliaria Etapa 1 y 2</v>
          </cell>
          <cell r="H274" t="str">
            <v>Comisión inmobiliaria 402 LIV 1</v>
          </cell>
          <cell r="I274" t="str">
            <v>Delta</v>
          </cell>
          <cell r="J274">
            <v>1935.45</v>
          </cell>
          <cell r="K274">
            <v>10733</v>
          </cell>
          <cell r="L274">
            <v>407834.49000000005</v>
          </cell>
          <cell r="P274" t="str">
            <v/>
          </cell>
        </row>
        <row r="275">
          <cell r="F275">
            <v>45793</v>
          </cell>
          <cell r="G275" t="str">
            <v>Comision inmobiliaria Etapa 1 y 2</v>
          </cell>
          <cell r="H275" t="str">
            <v>Comisión inmobiliaria 305 LIV 1</v>
          </cell>
          <cell r="I275" t="str">
            <v>Delta</v>
          </cell>
          <cell r="J275">
            <v>2031.48</v>
          </cell>
          <cell r="K275">
            <v>11265</v>
          </cell>
          <cell r="L275">
            <v>396569.49000000005</v>
          </cell>
          <cell r="P275" t="str">
            <v/>
          </cell>
        </row>
        <row r="276">
          <cell r="F276">
            <v>45793</v>
          </cell>
          <cell r="G276" t="str">
            <v>Comision inmobiliaria Etapa 1 y 2</v>
          </cell>
          <cell r="H276" t="str">
            <v>Comisión inmobiliaria 303 LIV 1</v>
          </cell>
          <cell r="I276" t="str">
            <v>Delta</v>
          </cell>
          <cell r="J276">
            <v>2900.7</v>
          </cell>
          <cell r="K276">
            <v>16086</v>
          </cell>
          <cell r="L276">
            <v>380483.49000000005</v>
          </cell>
          <cell r="P276" t="str">
            <v/>
          </cell>
        </row>
        <row r="277">
          <cell r="F277">
            <v>45793</v>
          </cell>
          <cell r="G277" t="str">
            <v>Comision inmobiliaria Etapa 1 y 2</v>
          </cell>
          <cell r="H277" t="str">
            <v>Comisión inmobiliaria 204 LIV 1</v>
          </cell>
          <cell r="I277" t="str">
            <v>Delta</v>
          </cell>
          <cell r="J277">
            <v>2153.25</v>
          </cell>
          <cell r="K277">
            <v>11941</v>
          </cell>
          <cell r="L277">
            <v>368542.49000000005</v>
          </cell>
          <cell r="P277" t="str">
            <v/>
          </cell>
        </row>
        <row r="278">
          <cell r="F278">
            <v>45793</v>
          </cell>
          <cell r="G278" t="str">
            <v>Comision inmobiliaria Etapa 1 y 2</v>
          </cell>
          <cell r="H278" t="str">
            <v>Comisión inmobiliaria 202 LIV 1</v>
          </cell>
          <cell r="I278" t="str">
            <v>Delta</v>
          </cell>
          <cell r="J278">
            <v>2014.65</v>
          </cell>
          <cell r="K278">
            <v>11172</v>
          </cell>
          <cell r="L278">
            <v>357370.49000000005</v>
          </cell>
          <cell r="P278" t="str">
            <v/>
          </cell>
        </row>
        <row r="279">
          <cell r="F279">
            <v>45793</v>
          </cell>
          <cell r="G279" t="str">
            <v>Comision inmobiliaria Etapa 1 y 2</v>
          </cell>
          <cell r="H279" t="str">
            <v>Comisión inmobiliaria 006 LIV 1</v>
          </cell>
          <cell r="I279" t="str">
            <v>Delta</v>
          </cell>
          <cell r="J279">
            <v>2257.1999999999998</v>
          </cell>
          <cell r="K279">
            <v>12517</v>
          </cell>
          <cell r="L279">
            <v>344853.49000000005</v>
          </cell>
          <cell r="P279" t="str">
            <v/>
          </cell>
        </row>
        <row r="280">
          <cell r="F280">
            <v>45793</v>
          </cell>
          <cell r="G280" t="str">
            <v>Comision inmobiliaria Etapa 1 y 2</v>
          </cell>
          <cell r="H280" t="str">
            <v>Comisión inmobiliaria 003 LIV 1</v>
          </cell>
          <cell r="I280" t="str">
            <v>Delta</v>
          </cell>
          <cell r="J280">
            <v>1862.78</v>
          </cell>
          <cell r="K280">
            <v>10330</v>
          </cell>
          <cell r="L280">
            <v>334523.49000000005</v>
          </cell>
          <cell r="P280" t="str">
            <v/>
          </cell>
        </row>
        <row r="281">
          <cell r="F281">
            <v>45793</v>
          </cell>
          <cell r="G281" t="str">
            <v>Development fee por etapa 1 y 2</v>
          </cell>
          <cell r="H281" t="str">
            <v>Honorarios profesionales mes 11</v>
          </cell>
          <cell r="I281" t="str">
            <v>DDC</v>
          </cell>
          <cell r="J281">
            <v>16766.64</v>
          </cell>
          <cell r="K281">
            <v>92978.64</v>
          </cell>
          <cell r="L281">
            <v>241544.85000000003</v>
          </cell>
          <cell r="P281" t="str">
            <v/>
          </cell>
        </row>
        <row r="282">
          <cell r="F282">
            <v>45796</v>
          </cell>
          <cell r="H282" t="str">
            <v>Cambio</v>
          </cell>
          <cell r="K282">
            <v>174488.57</v>
          </cell>
          <cell r="L282">
            <v>67056.280000000028</v>
          </cell>
          <cell r="P282" t="str">
            <v/>
          </cell>
        </row>
        <row r="283">
          <cell r="F283">
            <v>45799</v>
          </cell>
          <cell r="H283" t="str">
            <v>Cambio</v>
          </cell>
          <cell r="K283">
            <v>40289.51</v>
          </cell>
          <cell r="L283">
            <v>26766.770000000026</v>
          </cell>
          <cell r="P283" t="str">
            <v/>
          </cell>
        </row>
        <row r="284">
          <cell r="F284">
            <v>45799</v>
          </cell>
          <cell r="G284" t="str">
            <v>Publicidad por etapa 1 y 2</v>
          </cell>
          <cell r="H284" t="str">
            <v>Reintegro pauta digital abril 2025 (tarjeta de crédito)</v>
          </cell>
          <cell r="I284" t="str">
            <v>Delta</v>
          </cell>
          <cell r="K284">
            <v>710.48</v>
          </cell>
          <cell r="L284">
            <v>26056.290000000026</v>
          </cell>
          <cell r="P284" t="str">
            <v/>
          </cell>
        </row>
        <row r="285">
          <cell r="F285">
            <v>45800</v>
          </cell>
          <cell r="G285" t="str">
            <v>Imprevistos operativos</v>
          </cell>
          <cell r="H285" t="str">
            <v>Ajuste de proyecto lumínico barbacoas</v>
          </cell>
          <cell r="I285" t="str">
            <v>Hofstadter Fregosi</v>
          </cell>
          <cell r="K285">
            <v>1250</v>
          </cell>
          <cell r="L285">
            <v>24806.290000000026</v>
          </cell>
          <cell r="P285" t="str">
            <v/>
          </cell>
        </row>
        <row r="286">
          <cell r="F286">
            <v>45804</v>
          </cell>
          <cell r="G286" t="str">
            <v>Comision inmobiliaria Etapa 1 y 2</v>
          </cell>
          <cell r="H286" t="str">
            <v>Comisión inmobiliaria LIV 2 303</v>
          </cell>
          <cell r="I286" t="str">
            <v>Meikle</v>
          </cell>
          <cell r="J286">
            <v>2900.7</v>
          </cell>
          <cell r="K286">
            <v>16085.7</v>
          </cell>
          <cell r="L286">
            <v>8720.5900000000256</v>
          </cell>
          <cell r="P286" t="str">
            <v/>
          </cell>
        </row>
        <row r="287">
          <cell r="F287">
            <v>45804</v>
          </cell>
          <cell r="G287" t="str">
            <v>Imprevistos operativos</v>
          </cell>
          <cell r="H287" t="str">
            <v>Gastos bancarios</v>
          </cell>
          <cell r="I287" t="str">
            <v>Itaú</v>
          </cell>
          <cell r="K287">
            <v>10</v>
          </cell>
          <cell r="L287">
            <v>8710.5900000000256</v>
          </cell>
          <cell r="P287" t="str">
            <v/>
          </cell>
        </row>
        <row r="288">
          <cell r="F288">
            <v>45804</v>
          </cell>
          <cell r="H288" t="str">
            <v>Cambio</v>
          </cell>
          <cell r="K288">
            <v>216525.93</v>
          </cell>
          <cell r="L288">
            <v>-207815.33999999997</v>
          </cell>
          <cell r="P288" t="str">
            <v/>
          </cell>
        </row>
        <row r="289">
          <cell r="F289">
            <v>45804</v>
          </cell>
          <cell r="L289">
            <v>42184.660000000033</v>
          </cell>
          <cell r="M289">
            <v>250000</v>
          </cell>
          <cell r="P289" t="str">
            <v/>
          </cell>
          <cell r="Q289" t="str">
            <v>Traspaso de rec a op</v>
          </cell>
        </row>
        <row r="290">
          <cell r="F290">
            <v>45805</v>
          </cell>
          <cell r="G290" t="str">
            <v>Obra constructora USD</v>
          </cell>
          <cell r="H290" t="str">
            <v>Anticipo financiero 2% obra USD CIF</v>
          </cell>
          <cell r="I290" t="str">
            <v>Ceaosa</v>
          </cell>
          <cell r="K290">
            <v>9026.06</v>
          </cell>
          <cell r="L290">
            <v>33158.600000000035</v>
          </cell>
          <cell r="P290" t="str">
            <v/>
          </cell>
        </row>
        <row r="291">
          <cell r="F291">
            <v>45805</v>
          </cell>
          <cell r="G291" t="str">
            <v>Imprevistos operativos</v>
          </cell>
          <cell r="H291" t="str">
            <v>Gastos bancarios</v>
          </cell>
          <cell r="I291" t="str">
            <v>Itaú</v>
          </cell>
          <cell r="K291">
            <v>1.9</v>
          </cell>
          <cell r="L291">
            <v>33156.700000000033</v>
          </cell>
          <cell r="P291" t="str">
            <v/>
          </cell>
        </row>
        <row r="292">
          <cell r="F292">
            <v>45805</v>
          </cell>
          <cell r="G292" t="str">
            <v>Obra constructora USD</v>
          </cell>
          <cell r="H292" t="str">
            <v>Anticipo financiero 2% obra USD</v>
          </cell>
          <cell r="I292" t="str">
            <v>Ceaosa</v>
          </cell>
          <cell r="K292">
            <v>12748.08</v>
          </cell>
          <cell r="L292">
            <v>20408.620000000032</v>
          </cell>
          <cell r="P292" t="str">
            <v/>
          </cell>
        </row>
        <row r="293">
          <cell r="F293">
            <v>45805</v>
          </cell>
          <cell r="G293" t="str">
            <v>Imprevistos operativos</v>
          </cell>
          <cell r="H293" t="str">
            <v>Gastos bancarios</v>
          </cell>
          <cell r="I293" t="str">
            <v>Itaú</v>
          </cell>
          <cell r="K293">
            <v>10</v>
          </cell>
          <cell r="L293">
            <v>20398.620000000032</v>
          </cell>
          <cell r="P293" t="str">
            <v/>
          </cell>
        </row>
        <row r="294">
          <cell r="F294">
            <v>45806</v>
          </cell>
          <cell r="L294">
            <v>120398.62000000002</v>
          </cell>
          <cell r="M294">
            <v>100000</v>
          </cell>
          <cell r="P294" t="str">
            <v/>
          </cell>
          <cell r="Q294" t="str">
            <v>Traspaso de rec a op</v>
          </cell>
        </row>
        <row r="295">
          <cell r="F295">
            <v>45806</v>
          </cell>
          <cell r="G295" t="str">
            <v>Development fee por etapa 1 y 2</v>
          </cell>
          <cell r="H295" t="str">
            <v>Honorarios profesionales mes 12</v>
          </cell>
          <cell r="I295" t="str">
            <v>DDC</v>
          </cell>
          <cell r="J295">
            <v>16766.64</v>
          </cell>
          <cell r="K295">
            <v>92978.64</v>
          </cell>
          <cell r="L295">
            <v>27419.980000000025</v>
          </cell>
          <cell r="P295" t="str">
            <v/>
          </cell>
        </row>
        <row r="296">
          <cell r="F296">
            <v>45807</v>
          </cell>
          <cell r="G296" t="str">
            <v>Suministros</v>
          </cell>
          <cell r="H296" t="str">
            <v>200 m2 adicionales Well 3 precio CIF</v>
          </cell>
          <cell r="I296" t="str">
            <v>Tilo</v>
          </cell>
          <cell r="K296">
            <v>8400</v>
          </cell>
          <cell r="L296">
            <v>19019.980000000025</v>
          </cell>
          <cell r="P296" t="str">
            <v/>
          </cell>
        </row>
        <row r="297">
          <cell r="F297">
            <v>45807</v>
          </cell>
          <cell r="G297" t="str">
            <v>Imprevistos operativos</v>
          </cell>
          <cell r="H297" t="str">
            <v>Gastos bancarios</v>
          </cell>
          <cell r="I297" t="str">
            <v>Itaú</v>
          </cell>
          <cell r="K297">
            <v>1.9</v>
          </cell>
          <cell r="L297">
            <v>19018.080000000024</v>
          </cell>
          <cell r="P297" t="str">
            <v/>
          </cell>
        </row>
        <row r="298">
          <cell r="F298">
            <v>45807</v>
          </cell>
          <cell r="H298" t="str">
            <v>Cambio</v>
          </cell>
          <cell r="K298">
            <v>3617.07</v>
          </cell>
          <cell r="L298">
            <v>15401.010000000024</v>
          </cell>
          <cell r="P298" t="str">
            <v/>
          </cell>
        </row>
        <row r="299">
          <cell r="F299">
            <v>45812</v>
          </cell>
          <cell r="H299" t="str">
            <v>Cambio</v>
          </cell>
          <cell r="K299">
            <v>3690.03</v>
          </cell>
          <cell r="L299">
            <v>11710.980000000023</v>
          </cell>
          <cell r="P299" t="str">
            <v/>
          </cell>
        </row>
        <row r="300">
          <cell r="F300">
            <v>45812</v>
          </cell>
          <cell r="L300">
            <v>36710.980000000025</v>
          </cell>
          <cell r="M300">
            <v>25000</v>
          </cell>
          <cell r="P300" t="str">
            <v/>
          </cell>
          <cell r="Q300" t="str">
            <v>Traspaso de rec a op</v>
          </cell>
        </row>
        <row r="301">
          <cell r="F301">
            <v>45813</v>
          </cell>
          <cell r="H301" t="str">
            <v>Cambio</v>
          </cell>
          <cell r="K301">
            <v>6782.51</v>
          </cell>
          <cell r="L301">
            <v>29928.470000000023</v>
          </cell>
          <cell r="P301" t="str">
            <v/>
          </cell>
        </row>
        <row r="302">
          <cell r="F302">
            <v>45814</v>
          </cell>
          <cell r="H302" t="str">
            <v>Cambio</v>
          </cell>
          <cell r="K302">
            <v>2908.38</v>
          </cell>
          <cell r="L302">
            <v>27020.090000000022</v>
          </cell>
          <cell r="P302" t="str">
            <v/>
          </cell>
        </row>
        <row r="303">
          <cell r="F303">
            <v>45814</v>
          </cell>
          <cell r="G303" t="str">
            <v>Suministros</v>
          </cell>
          <cell r="H303" t="str">
            <v>50% anticipo paisajismo</v>
          </cell>
          <cell r="I303" t="str">
            <v>Identidad Paisajismo</v>
          </cell>
          <cell r="J303">
            <v>2200</v>
          </cell>
          <cell r="K303">
            <v>12200</v>
          </cell>
          <cell r="L303">
            <v>14820.090000000022</v>
          </cell>
          <cell r="P303" t="str">
            <v/>
          </cell>
        </row>
        <row r="304">
          <cell r="F304">
            <v>45819</v>
          </cell>
          <cell r="G304" t="str">
            <v>Seguro de obra por etapa 1 y 2</v>
          </cell>
          <cell r="H304" t="str">
            <v>Seguro de obra LIV cuota 5/18</v>
          </cell>
          <cell r="I304" t="str">
            <v>Sura</v>
          </cell>
          <cell r="J304">
            <v>322.67</v>
          </cell>
          <cell r="K304">
            <v>1789.37</v>
          </cell>
          <cell r="L304">
            <v>13030.720000000023</v>
          </cell>
          <cell r="P304" t="str">
            <v/>
          </cell>
        </row>
        <row r="305">
          <cell r="F305">
            <v>45819</v>
          </cell>
          <cell r="G305" t="str">
            <v>Imprevistos operativos</v>
          </cell>
          <cell r="H305" t="str">
            <v>Envío seguro de obra cuota 5/18 (cancelado)</v>
          </cell>
          <cell r="I305" t="str">
            <v>Sura</v>
          </cell>
          <cell r="J305">
            <v>0.45</v>
          </cell>
          <cell r="K305">
            <v>2.5</v>
          </cell>
          <cell r="L305">
            <v>13028.220000000023</v>
          </cell>
          <cell r="P305" t="str">
            <v/>
          </cell>
        </row>
        <row r="306">
          <cell r="F306">
            <v>45828</v>
          </cell>
          <cell r="G306" t="str">
            <v>Publicidad por etapa 1 y 2</v>
          </cell>
          <cell r="H306" t="str">
            <v>Sponsor evento Summit</v>
          </cell>
          <cell r="I306" t="str">
            <v>Cacique group</v>
          </cell>
          <cell r="J306">
            <v>1320</v>
          </cell>
          <cell r="K306">
            <v>7320</v>
          </cell>
          <cell r="L306">
            <v>5708.220000000023</v>
          </cell>
          <cell r="P306" t="str">
            <v/>
          </cell>
        </row>
        <row r="307">
          <cell r="F307">
            <v>45828</v>
          </cell>
          <cell r="G307" t="str">
            <v>Imprevistos operativos</v>
          </cell>
          <cell r="H307" t="str">
            <v>Gastos bancarios</v>
          </cell>
          <cell r="I307" t="str">
            <v>Itaú</v>
          </cell>
          <cell r="K307">
            <v>1.9</v>
          </cell>
          <cell r="L307">
            <v>5706.3200000000234</v>
          </cell>
          <cell r="P307" t="str">
            <v/>
          </cell>
        </row>
        <row r="308">
          <cell r="F308">
            <v>45831</v>
          </cell>
          <cell r="H308" t="str">
            <v>Cambio</v>
          </cell>
          <cell r="K308">
            <v>62189.05</v>
          </cell>
          <cell r="L308">
            <v>-56482.729999999981</v>
          </cell>
          <cell r="P308" t="str">
            <v/>
          </cell>
        </row>
        <row r="309">
          <cell r="F309">
            <v>45831</v>
          </cell>
          <cell r="L309">
            <v>443517.27</v>
          </cell>
          <cell r="M309">
            <v>500000</v>
          </cell>
          <cell r="P309" t="str">
            <v/>
          </cell>
          <cell r="Q309" t="str">
            <v>Traspaso de rec a op</v>
          </cell>
        </row>
        <row r="310">
          <cell r="F310">
            <v>45834</v>
          </cell>
          <cell r="G310" t="str">
            <v>Publicidad por etapa 1 y 2</v>
          </cell>
          <cell r="H310" t="str">
            <v>Pantalla touch event Summit</v>
          </cell>
          <cell r="I310" t="str">
            <v>Integrals</v>
          </cell>
          <cell r="J310">
            <v>149.6</v>
          </cell>
          <cell r="K310">
            <v>829.6</v>
          </cell>
          <cell r="L310">
            <v>442687.67000000004</v>
          </cell>
          <cell r="P310" t="str">
            <v/>
          </cell>
        </row>
        <row r="311">
          <cell r="F311">
            <v>45834</v>
          </cell>
          <cell r="G311" t="str">
            <v>Development fee por etapa 1 y 2</v>
          </cell>
          <cell r="H311" t="str">
            <v>Honorarios profesionales mes 13</v>
          </cell>
          <cell r="I311" t="str">
            <v>DDC</v>
          </cell>
          <cell r="J311">
            <v>16766.64</v>
          </cell>
          <cell r="K311">
            <v>92978.64</v>
          </cell>
          <cell r="L311">
            <v>349709.03</v>
          </cell>
          <cell r="P311" t="str">
            <v/>
          </cell>
        </row>
        <row r="312">
          <cell r="F312">
            <v>45835</v>
          </cell>
          <cell r="G312" t="str">
            <v>Publicidad por etapa 1 y 2</v>
          </cell>
          <cell r="H312" t="str">
            <v>Adelanto 30% video evento Summit</v>
          </cell>
          <cell r="I312" t="str">
            <v>I+D Media</v>
          </cell>
          <cell r="J312">
            <v>118.8</v>
          </cell>
          <cell r="K312">
            <v>658.8</v>
          </cell>
          <cell r="L312">
            <v>349050.23000000004</v>
          </cell>
          <cell r="P312" t="str">
            <v/>
          </cell>
        </row>
        <row r="313">
          <cell r="F313">
            <v>45835</v>
          </cell>
          <cell r="G313" t="str">
            <v>Imprevistos operativos</v>
          </cell>
          <cell r="H313" t="str">
            <v>Gastos bancarios</v>
          </cell>
          <cell r="I313" t="str">
            <v>Itaú</v>
          </cell>
          <cell r="K313">
            <v>1.9</v>
          </cell>
          <cell r="L313">
            <v>349048.33</v>
          </cell>
          <cell r="P313" t="str">
            <v/>
          </cell>
        </row>
        <row r="314">
          <cell r="F314">
            <v>45835</v>
          </cell>
          <cell r="H314" t="str">
            <v>Cambio</v>
          </cell>
          <cell r="K314">
            <v>325786.15999999997</v>
          </cell>
          <cell r="L314">
            <v>23262.170000000042</v>
          </cell>
          <cell r="P314" t="str">
            <v/>
          </cell>
        </row>
        <row r="315">
          <cell r="F315">
            <v>45841</v>
          </cell>
          <cell r="L315">
            <v>48262.170000000042</v>
          </cell>
          <cell r="M315">
            <v>25000</v>
          </cell>
          <cell r="P315" t="str">
            <v/>
          </cell>
          <cell r="Q315" t="str">
            <v>Traspaso de rec a op</v>
          </cell>
        </row>
        <row r="316">
          <cell r="F316">
            <v>45845</v>
          </cell>
          <cell r="H316" t="str">
            <v>Cambio</v>
          </cell>
          <cell r="K316">
            <v>15644.4</v>
          </cell>
          <cell r="L316">
            <v>32617.77000000004</v>
          </cell>
          <cell r="P316" t="str">
            <v/>
          </cell>
        </row>
        <row r="317">
          <cell r="F317">
            <v>45845</v>
          </cell>
          <cell r="L317">
            <v>112617.77000000005</v>
          </cell>
          <cell r="M317">
            <v>80000</v>
          </cell>
          <cell r="P317" t="str">
            <v/>
          </cell>
          <cell r="Q317" t="str">
            <v>Traspaso de rec a op</v>
          </cell>
        </row>
        <row r="318">
          <cell r="F318">
            <v>45845</v>
          </cell>
          <cell r="G318" t="str">
            <v>Dirección de obra</v>
          </cell>
          <cell r="H318" t="str">
            <v>Dirección de obra mayo</v>
          </cell>
          <cell r="I318" t="str">
            <v>Gómez Platero</v>
          </cell>
          <cell r="K318">
            <v>392</v>
          </cell>
          <cell r="L318">
            <v>112225.77000000005</v>
          </cell>
          <cell r="P318" t="str">
            <v/>
          </cell>
        </row>
        <row r="319">
          <cell r="F319">
            <v>45845</v>
          </cell>
          <cell r="G319" t="str">
            <v>Publicidad por etapa 1 y 2</v>
          </cell>
          <cell r="H319" t="str">
            <v>Saldo 50% modificiaciones renders y presentación interactiva</v>
          </cell>
          <cell r="I319" t="str">
            <v>ARS</v>
          </cell>
          <cell r="J319">
            <v>433.84</v>
          </cell>
          <cell r="K319">
            <v>2405.84</v>
          </cell>
          <cell r="L319">
            <v>109819.93000000005</v>
          </cell>
          <cell r="P319" t="str">
            <v/>
          </cell>
        </row>
        <row r="320">
          <cell r="F320">
            <v>45845</v>
          </cell>
          <cell r="G320" t="str">
            <v>Consultoria Vedor</v>
          </cell>
          <cell r="H320" t="str">
            <v>Honorarios profesionales 15, 16, 17 y 18</v>
          </cell>
          <cell r="I320" t="str">
            <v>Ignacio Archain</v>
          </cell>
          <cell r="J320">
            <v>4872.8100000000004</v>
          </cell>
          <cell r="K320">
            <v>27021.95</v>
          </cell>
          <cell r="L320">
            <v>82797.980000000054</v>
          </cell>
          <cell r="P320" t="str">
            <v/>
          </cell>
        </row>
        <row r="321">
          <cell r="F321">
            <v>45845</v>
          </cell>
          <cell r="G321" t="str">
            <v>Imprevistos operativos</v>
          </cell>
          <cell r="H321" t="str">
            <v>Honorarios abogado para contrato Ceaosa</v>
          </cell>
          <cell r="I321" t="str">
            <v>Ignacio Alonso</v>
          </cell>
          <cell r="J321">
            <v>176</v>
          </cell>
          <cell r="K321">
            <v>976</v>
          </cell>
          <cell r="L321">
            <v>81821.980000000054</v>
          </cell>
          <cell r="P321" t="str">
            <v/>
          </cell>
        </row>
        <row r="322">
          <cell r="F322">
            <v>45845</v>
          </cell>
          <cell r="G322" t="str">
            <v>Publicidad por etapa 1 y 2</v>
          </cell>
          <cell r="H322" t="str">
            <v>Reintegro pauta digital mayo 2025 (tarjeta de crédito)</v>
          </cell>
          <cell r="I322" t="str">
            <v>Delta</v>
          </cell>
          <cell r="K322">
            <v>888.84</v>
          </cell>
          <cell r="L322">
            <v>80933.140000000058</v>
          </cell>
          <cell r="P322" t="str">
            <v/>
          </cell>
        </row>
        <row r="323">
          <cell r="F323">
            <v>45845</v>
          </cell>
          <cell r="G323" t="str">
            <v>Seguro de obra por etapa 1 y 2</v>
          </cell>
          <cell r="H323" t="str">
            <v>Seguro de obra LIV cuota 6/18</v>
          </cell>
          <cell r="I323" t="str">
            <v>Sura</v>
          </cell>
          <cell r="J323">
            <v>322.67</v>
          </cell>
          <cell r="K323">
            <v>1789.37</v>
          </cell>
          <cell r="L323">
            <v>79143.770000000062</v>
          </cell>
          <cell r="P323" t="str">
            <v/>
          </cell>
        </row>
        <row r="324">
          <cell r="F324">
            <v>45847</v>
          </cell>
          <cell r="H324" t="str">
            <v>Cambio</v>
          </cell>
          <cell r="K324">
            <v>7080.74</v>
          </cell>
          <cell r="L324">
            <v>72063.030000000057</v>
          </cell>
          <cell r="P324" t="str">
            <v/>
          </cell>
        </row>
        <row r="325">
          <cell r="F325">
            <v>45853</v>
          </cell>
          <cell r="G325" t="str">
            <v>Publicidad por etapa 1 y 2</v>
          </cell>
          <cell r="H325" t="str">
            <v>Saldo 70% video evento Summit</v>
          </cell>
          <cell r="I325" t="str">
            <v>I+D Media</v>
          </cell>
          <cell r="J325">
            <v>277.2</v>
          </cell>
          <cell r="K325">
            <v>1537.2</v>
          </cell>
          <cell r="L325">
            <v>70525.83000000006</v>
          </cell>
          <cell r="P325" t="str">
            <v/>
          </cell>
        </row>
        <row r="326">
          <cell r="F326">
            <v>45853</v>
          </cell>
          <cell r="G326" t="str">
            <v>Imprevistos operativos</v>
          </cell>
          <cell r="H326" t="str">
            <v>Gastos bancarios</v>
          </cell>
          <cell r="I326" t="str">
            <v>Itaú</v>
          </cell>
          <cell r="K326">
            <v>1.9</v>
          </cell>
          <cell r="L326">
            <v>70523.930000000066</v>
          </cell>
          <cell r="P326" t="str">
            <v/>
          </cell>
        </row>
        <row r="327">
          <cell r="F327">
            <v>45853</v>
          </cell>
          <cell r="G327" t="str">
            <v>Publicidad por etapa 1 y 2</v>
          </cell>
          <cell r="H327" t="str">
            <v>Reintegro pauta digital abril 2025 (tarjeta de crédito)</v>
          </cell>
          <cell r="I327" t="str">
            <v>Delta</v>
          </cell>
          <cell r="K327">
            <v>800.4</v>
          </cell>
          <cell r="L327">
            <v>69723.530000000072</v>
          </cell>
          <cell r="P327" t="str">
            <v/>
          </cell>
        </row>
        <row r="328">
          <cell r="F328">
            <v>45859</v>
          </cell>
          <cell r="H328" t="str">
            <v>Cambio</v>
          </cell>
          <cell r="K328">
            <v>336579.28</v>
          </cell>
          <cell r="L328">
            <v>-266855.74999999994</v>
          </cell>
          <cell r="P328" t="str">
            <v/>
          </cell>
        </row>
        <row r="329">
          <cell r="F329">
            <v>45859</v>
          </cell>
          <cell r="L329">
            <v>83144.250000000058</v>
          </cell>
          <cell r="M329">
            <v>350000</v>
          </cell>
          <cell r="P329" t="str">
            <v/>
          </cell>
          <cell r="Q329" t="str">
            <v>Traspaso de rec a op</v>
          </cell>
        </row>
        <row r="330">
          <cell r="F330">
            <v>45860</v>
          </cell>
          <cell r="H330" t="str">
            <v>Cambio</v>
          </cell>
          <cell r="K330">
            <v>69563.03</v>
          </cell>
          <cell r="L330">
            <v>13581.220000000059</v>
          </cell>
          <cell r="P330" t="str">
            <v/>
          </cell>
        </row>
        <row r="331">
          <cell r="F331">
            <v>45867</v>
          </cell>
          <cell r="L331">
            <v>148581.22000000006</v>
          </cell>
          <cell r="M331">
            <v>135000</v>
          </cell>
          <cell r="P331" t="str">
            <v/>
          </cell>
          <cell r="Q331" t="str">
            <v>Traspaso de rec a op</v>
          </cell>
        </row>
        <row r="332">
          <cell r="F332">
            <v>45867</v>
          </cell>
          <cell r="G332" t="str">
            <v>Estructura</v>
          </cell>
          <cell r="H332" t="str">
            <v>Saldo 75% estructura etapa 1</v>
          </cell>
          <cell r="I332" t="str">
            <v>Magnone Pollio</v>
          </cell>
          <cell r="K332">
            <v>21000</v>
          </cell>
          <cell r="L332">
            <v>127581.22000000006</v>
          </cell>
          <cell r="P332" t="str">
            <v/>
          </cell>
        </row>
        <row r="333">
          <cell r="F333">
            <v>45867</v>
          </cell>
          <cell r="G333" t="str">
            <v>Development fee por etapa 1 y 2</v>
          </cell>
          <cell r="H333" t="str">
            <v>Honorarios profesionales mes 14</v>
          </cell>
          <cell r="I333" t="str">
            <v>DDC</v>
          </cell>
          <cell r="J333">
            <v>16766.64</v>
          </cell>
          <cell r="K333">
            <v>92978.64</v>
          </cell>
          <cell r="L333">
            <v>34602.58000000006</v>
          </cell>
          <cell r="P333" t="str">
            <v/>
          </cell>
        </row>
        <row r="334">
          <cell r="F334">
            <v>45868</v>
          </cell>
          <cell r="H334" t="str">
            <v>Cambio</v>
          </cell>
          <cell r="K334">
            <v>45386.57</v>
          </cell>
          <cell r="L334">
            <v>-10783.98999999994</v>
          </cell>
          <cell r="P334" t="str">
            <v/>
          </cell>
        </row>
        <row r="335">
          <cell r="F335">
            <v>45868</v>
          </cell>
          <cell r="L335">
            <v>19216.01000000006</v>
          </cell>
          <cell r="M335">
            <v>30000</v>
          </cell>
          <cell r="P335" t="str">
            <v/>
          </cell>
          <cell r="Q335" t="str">
            <v>Traspaso de rec a op</v>
          </cell>
        </row>
        <row r="336">
          <cell r="F336">
            <v>45868</v>
          </cell>
          <cell r="G336" t="str">
            <v>Consultoria Vedor</v>
          </cell>
          <cell r="H336" t="str">
            <v>Honorarios profesionales 19</v>
          </cell>
          <cell r="I336" t="str">
            <v>Ignacio Archain</v>
          </cell>
          <cell r="J336">
            <v>1233.98</v>
          </cell>
          <cell r="K336">
            <v>6843</v>
          </cell>
          <cell r="L336">
            <v>12373.01000000006</v>
          </cell>
          <cell r="P336" t="str">
            <v/>
          </cell>
        </row>
        <row r="337">
          <cell r="F337">
            <v>45868</v>
          </cell>
          <cell r="G337" t="str">
            <v>Consultoria Vedor</v>
          </cell>
          <cell r="H337" t="str">
            <v>Honorarios profesionales 20</v>
          </cell>
          <cell r="I337" t="str">
            <v>Ignacio Archain</v>
          </cell>
          <cell r="J337">
            <v>1234.1600000000001</v>
          </cell>
          <cell r="K337">
            <v>6844</v>
          </cell>
          <cell r="L337">
            <v>5529.0100000000602</v>
          </cell>
          <cell r="P337" t="str">
            <v/>
          </cell>
        </row>
        <row r="338">
          <cell r="F338">
            <v>45874</v>
          </cell>
          <cell r="G338" t="str">
            <v>Seguro de obra por etapa 1 y 2</v>
          </cell>
          <cell r="H338" t="str">
            <v>Seguro de obra LIV cuota 7/18</v>
          </cell>
          <cell r="I338" t="str">
            <v>Sura</v>
          </cell>
          <cell r="J338">
            <v>322.67</v>
          </cell>
          <cell r="K338">
            <v>1789.37</v>
          </cell>
          <cell r="L338">
            <v>3739.6400000000604</v>
          </cell>
          <cell r="P338" t="str">
            <v/>
          </cell>
        </row>
        <row r="339">
          <cell r="F339">
            <v>45876</v>
          </cell>
          <cell r="H339" t="str">
            <v>Cambio</v>
          </cell>
          <cell r="K339">
            <v>2006.01</v>
          </cell>
          <cell r="L339">
            <v>1733.6300000000604</v>
          </cell>
          <cell r="P339" t="str">
            <v/>
          </cell>
        </row>
        <row r="340">
          <cell r="F340">
            <v>45890</v>
          </cell>
          <cell r="H340" t="str">
            <v>Cambio</v>
          </cell>
          <cell r="K340">
            <v>69709.119999999995</v>
          </cell>
          <cell r="L340">
            <v>-67975.489999999932</v>
          </cell>
          <cell r="P340" t="str">
            <v/>
          </cell>
        </row>
        <row r="341">
          <cell r="F341">
            <v>45890</v>
          </cell>
          <cell r="L341">
            <v>7024.5100000000675</v>
          </cell>
          <cell r="M341">
            <v>75000</v>
          </cell>
          <cell r="P341" t="str">
            <v/>
          </cell>
          <cell r="Q341" t="str">
            <v>Traspaso de rec a op</v>
          </cell>
        </row>
        <row r="342">
          <cell r="F342">
            <v>45891</v>
          </cell>
          <cell r="H342" t="str">
            <v>Cambio</v>
          </cell>
          <cell r="K342">
            <v>5403.36</v>
          </cell>
          <cell r="L342">
            <v>1621.1500000000678</v>
          </cell>
          <cell r="P342" t="str">
            <v/>
          </cell>
        </row>
        <row r="343">
          <cell r="F343">
            <v>45891</v>
          </cell>
          <cell r="L343">
            <v>26621.150000000067</v>
          </cell>
          <cell r="M343">
            <v>25000</v>
          </cell>
          <cell r="P343" t="str">
            <v/>
          </cell>
          <cell r="Q343" t="str">
            <v>Traspaso de rec a op</v>
          </cell>
        </row>
        <row r="344">
          <cell r="F344">
            <v>45891</v>
          </cell>
          <cell r="G344" t="str">
            <v>Imprevistos operativos</v>
          </cell>
          <cell r="H344" t="str">
            <v>Honorarios modelo financiero BTR 12/24 - 06/25 (13,92 horas)</v>
          </cell>
          <cell r="I344" t="str">
            <v>Grant Thornton</v>
          </cell>
          <cell r="J344">
            <v>367.4</v>
          </cell>
          <cell r="K344">
            <v>2037.4</v>
          </cell>
          <cell r="L344">
            <v>24583.750000000065</v>
          </cell>
          <cell r="P344" t="str">
            <v/>
          </cell>
        </row>
        <row r="345">
          <cell r="F345">
            <v>45895</v>
          </cell>
          <cell r="L345">
            <v>474583.75000000006</v>
          </cell>
          <cell r="M345">
            <v>450000</v>
          </cell>
          <cell r="O345">
            <v>602</v>
          </cell>
          <cell r="P345" t="str">
            <v>Vales ITAU</v>
          </cell>
          <cell r="Q345" t="str">
            <v>Vale Itaú 3</v>
          </cell>
        </row>
        <row r="346">
          <cell r="F346">
            <v>45896</v>
          </cell>
          <cell r="H346" t="str">
            <v>Cambio</v>
          </cell>
          <cell r="K346">
            <v>351337.74000000005</v>
          </cell>
          <cell r="L346">
            <v>123246.01000000001</v>
          </cell>
          <cell r="P346" t="str">
            <v/>
          </cell>
        </row>
        <row r="347">
          <cell r="F347">
            <v>45896</v>
          </cell>
          <cell r="L347">
            <v>123246.01000000001</v>
          </cell>
          <cell r="P347" t="str">
            <v/>
          </cell>
        </row>
        <row r="348">
          <cell r="F348">
            <v>45896</v>
          </cell>
          <cell r="G348" t="str">
            <v>Imprevistos operativos</v>
          </cell>
          <cell r="H348" t="str">
            <v>Honorarios profesioanles por certificación de avance para hipoteca</v>
          </cell>
          <cell r="I348" t="str">
            <v>Valora (Estudio Cersosimo)</v>
          </cell>
          <cell r="J348">
            <v>281.60000000000002</v>
          </cell>
          <cell r="K348">
            <v>1561.6</v>
          </cell>
          <cell r="L348">
            <v>121684.41</v>
          </cell>
          <cell r="P348" t="str">
            <v/>
          </cell>
        </row>
        <row r="349">
          <cell r="F349">
            <v>45898</v>
          </cell>
          <cell r="H349" t="str">
            <v>Cambio</v>
          </cell>
          <cell r="K349">
            <v>15471.69</v>
          </cell>
          <cell r="L349">
            <v>106212.72</v>
          </cell>
          <cell r="P349" t="str">
            <v/>
          </cell>
        </row>
        <row r="350">
          <cell r="F350">
            <v>45898</v>
          </cell>
          <cell r="L350">
            <v>196212.72</v>
          </cell>
          <cell r="M350">
            <v>90000</v>
          </cell>
          <cell r="P350" t="str">
            <v/>
          </cell>
          <cell r="Q350" t="str">
            <v>Traspaso de rec a op</v>
          </cell>
        </row>
        <row r="351">
          <cell r="F351">
            <v>45898</v>
          </cell>
          <cell r="G351" t="str">
            <v>Development fee por etapa 1 y 2</v>
          </cell>
          <cell r="H351" t="str">
            <v>Honorarios profesionales mes 15</v>
          </cell>
          <cell r="I351" t="str">
            <v>DDC</v>
          </cell>
          <cell r="J351">
            <v>16766.64</v>
          </cell>
          <cell r="K351">
            <v>92978.64</v>
          </cell>
          <cell r="L351">
            <v>103234.08</v>
          </cell>
          <cell r="P351" t="str">
            <v/>
          </cell>
        </row>
        <row r="352">
          <cell r="F352">
            <v>45898</v>
          </cell>
          <cell r="G352" t="str">
            <v>Comision inmobiliaria Etapa 1 y 2</v>
          </cell>
          <cell r="H352" t="str">
            <v>Comisión inmobiliaria LIV 1 301</v>
          </cell>
          <cell r="I352" t="str">
            <v>Veiren</v>
          </cell>
          <cell r="J352">
            <v>1232.55</v>
          </cell>
          <cell r="K352">
            <v>6835.05</v>
          </cell>
          <cell r="L352">
            <v>96399.03</v>
          </cell>
          <cell r="P352" t="str">
            <v/>
          </cell>
        </row>
        <row r="353">
          <cell r="F353">
            <v>45898</v>
          </cell>
          <cell r="G353" t="str">
            <v>Comision inmobiliaria Etapa 1 y 2</v>
          </cell>
          <cell r="H353" t="str">
            <v>Comisión inmobiliaria LIV 1 302</v>
          </cell>
          <cell r="I353" t="str">
            <v>Veiren</v>
          </cell>
          <cell r="J353">
            <v>2108.6999999999998</v>
          </cell>
          <cell r="K353">
            <v>11693.7</v>
          </cell>
          <cell r="L353">
            <v>84705.33</v>
          </cell>
          <cell r="P353" t="str">
            <v/>
          </cell>
        </row>
        <row r="354">
          <cell r="F354">
            <v>45898</v>
          </cell>
          <cell r="G354" t="str">
            <v>Comision inmobiliaria Etapa 1 y 2</v>
          </cell>
          <cell r="H354" t="str">
            <v>Comisión inmobiliaria LIV 1 007</v>
          </cell>
          <cell r="I354" t="str">
            <v>Veiren</v>
          </cell>
          <cell r="J354">
            <v>1237.5</v>
          </cell>
          <cell r="K354">
            <v>6862.5</v>
          </cell>
          <cell r="L354">
            <v>77842.83</v>
          </cell>
          <cell r="P354" t="str">
            <v/>
          </cell>
        </row>
        <row r="355">
          <cell r="F355">
            <v>45898</v>
          </cell>
          <cell r="G355" t="str">
            <v>Comision inmobiliaria Etapa 1 y 2</v>
          </cell>
          <cell r="H355" t="str">
            <v>Comisión inmobiliaria LIV 1 405</v>
          </cell>
          <cell r="I355" t="str">
            <v>Veiren</v>
          </cell>
          <cell r="J355">
            <v>2217.6</v>
          </cell>
          <cell r="K355">
            <v>12297.6</v>
          </cell>
          <cell r="L355">
            <v>65545.23</v>
          </cell>
          <cell r="P355" t="str">
            <v/>
          </cell>
        </row>
        <row r="356">
          <cell r="F356">
            <v>45898</v>
          </cell>
          <cell r="G356" t="str">
            <v>Comision inmobiliaria Etapa 1 y 2</v>
          </cell>
          <cell r="H356" t="str">
            <v>Comisión inmobiliaria LIV 1 501</v>
          </cell>
          <cell r="I356" t="str">
            <v>Veiren</v>
          </cell>
          <cell r="J356">
            <v>4491.1400000000003</v>
          </cell>
          <cell r="K356">
            <v>24905.39</v>
          </cell>
          <cell r="L356">
            <v>40639.839999999997</v>
          </cell>
          <cell r="P356" t="str">
            <v/>
          </cell>
        </row>
        <row r="357">
          <cell r="F357">
            <v>45898</v>
          </cell>
          <cell r="G357" t="str">
            <v>Consultoria Vedor</v>
          </cell>
          <cell r="H357" t="str">
            <v>Honorarios profesionales 21</v>
          </cell>
          <cell r="I357" t="str">
            <v>Ignacio Archain</v>
          </cell>
          <cell r="J357">
            <v>1154.28</v>
          </cell>
          <cell r="K357">
            <v>6401</v>
          </cell>
          <cell r="L357">
            <v>34238.839999999997</v>
          </cell>
          <cell r="P357" t="str">
            <v/>
          </cell>
        </row>
        <row r="358">
          <cell r="F358">
            <v>45898</v>
          </cell>
          <cell r="G358" t="str">
            <v>Publicidad por etapa 1 y 2</v>
          </cell>
          <cell r="H358" t="str">
            <v>Reintegro pauta digital julio 2025 (tarjeta de crédito)</v>
          </cell>
          <cell r="I358" t="str">
            <v>Delta</v>
          </cell>
          <cell r="K358">
            <v>794.64</v>
          </cell>
          <cell r="L358">
            <v>33444.199999999997</v>
          </cell>
          <cell r="P358" t="str">
            <v/>
          </cell>
        </row>
        <row r="359">
          <cell r="F359">
            <v>45912</v>
          </cell>
          <cell r="G359" t="str">
            <v>Seguro de obra por etapa 1 y 2</v>
          </cell>
          <cell r="H359" t="str">
            <v>Seguro de obra LIV cuota 8/18</v>
          </cell>
          <cell r="I359" t="str">
            <v>Sura</v>
          </cell>
          <cell r="J359">
            <v>322.67</v>
          </cell>
          <cell r="K359">
            <v>1789.37</v>
          </cell>
          <cell r="L359">
            <v>31654.829999999998</v>
          </cell>
          <cell r="P359" t="str">
            <v/>
          </cell>
        </row>
        <row r="360">
          <cell r="F360">
            <v>45915</v>
          </cell>
          <cell r="G360" t="str">
            <v>Consultoria Vedor</v>
          </cell>
          <cell r="H360" t="str">
            <v>Honorarios profesionales 21</v>
          </cell>
          <cell r="I360" t="str">
            <v>Ignacio Archain</v>
          </cell>
          <cell r="J360">
            <v>1154.28</v>
          </cell>
          <cell r="K360">
            <v>6401</v>
          </cell>
          <cell r="L360">
            <v>25253.829999999998</v>
          </cell>
          <cell r="P360" t="str">
            <v/>
          </cell>
        </row>
        <row r="361">
          <cell r="F361">
            <v>45915</v>
          </cell>
          <cell r="G361" t="str">
            <v>Consultoria Vedor</v>
          </cell>
          <cell r="H361" t="str">
            <v>Honorarios profesionales 22</v>
          </cell>
          <cell r="I361" t="str">
            <v>Ignacio Archain</v>
          </cell>
          <cell r="J361">
            <v>1153.92</v>
          </cell>
          <cell r="K361">
            <v>6399</v>
          </cell>
          <cell r="L361">
            <v>18854.829999999998</v>
          </cell>
          <cell r="P361" t="str">
            <v/>
          </cell>
        </row>
        <row r="362">
          <cell r="F362">
            <v>45918</v>
          </cell>
          <cell r="L362">
            <v>648854.82999999996</v>
          </cell>
          <cell r="M362">
            <v>630000</v>
          </cell>
          <cell r="O362">
            <v>602</v>
          </cell>
          <cell r="P362" t="str">
            <v>Vales ITAU</v>
          </cell>
          <cell r="Q362" t="str">
            <v>Vale Itaú 4</v>
          </cell>
        </row>
        <row r="363">
          <cell r="F363">
            <v>45919</v>
          </cell>
          <cell r="H363" t="str">
            <v>Cambio</v>
          </cell>
          <cell r="K363">
            <v>595921.44999999995</v>
          </cell>
          <cell r="L363">
            <v>52933.380000000005</v>
          </cell>
          <cell r="P363" t="str">
            <v/>
          </cell>
        </row>
        <row r="364">
          <cell r="F364">
            <v>45919</v>
          </cell>
          <cell r="L364">
            <v>102933.38</v>
          </cell>
          <cell r="M364">
            <v>50000</v>
          </cell>
          <cell r="P364" t="str">
            <v/>
          </cell>
          <cell r="Q364" t="str">
            <v>Traspaso de rec a op</v>
          </cell>
        </row>
        <row r="365">
          <cell r="F365">
            <v>45919</v>
          </cell>
          <cell r="G365" t="str">
            <v>Publicidad por etapa 1 y 2</v>
          </cell>
          <cell r="H365" t="str">
            <v>Reintegro pauta digital agosto (tarjeta de crédito)</v>
          </cell>
          <cell r="I365" t="str">
            <v>Delta</v>
          </cell>
          <cell r="K365">
            <v>800.73</v>
          </cell>
          <cell r="L365">
            <v>102132.65000000001</v>
          </cell>
          <cell r="P365" t="str">
            <v/>
          </cell>
        </row>
        <row r="366">
          <cell r="F366">
            <v>45919</v>
          </cell>
          <cell r="G366" t="str">
            <v>Publicidad por etapa 1 y 2</v>
          </cell>
          <cell r="H366" t="str">
            <v>Donación por Cena Rostand</v>
          </cell>
          <cell r="I366" t="str">
            <v>Mola</v>
          </cell>
          <cell r="K366">
            <v>300</v>
          </cell>
          <cell r="L366">
            <v>101832.65000000001</v>
          </cell>
          <cell r="P366" t="str">
            <v/>
          </cell>
        </row>
        <row r="367">
          <cell r="F367">
            <v>45919</v>
          </cell>
          <cell r="G367" t="str">
            <v>Development fee por etapa 1 y 2</v>
          </cell>
          <cell r="H367" t="str">
            <v>Honorarios profesionales mes 16</v>
          </cell>
          <cell r="I367" t="str">
            <v>DDC</v>
          </cell>
          <cell r="J367">
            <v>16766.64</v>
          </cell>
          <cell r="K367">
            <v>92978.64</v>
          </cell>
          <cell r="L367">
            <v>8854.0100000000093</v>
          </cell>
          <cell r="P367" t="str">
            <v/>
          </cell>
        </row>
        <row r="368">
          <cell r="F368">
            <v>45922</v>
          </cell>
          <cell r="G368" t="str">
            <v>Imprevistos operativos</v>
          </cell>
          <cell r="H368" t="str">
            <v>Honorarios saldo 50% tasación BTR</v>
          </cell>
          <cell r="I368" t="str">
            <v>Vanoli Brun</v>
          </cell>
          <cell r="J368">
            <v>825</v>
          </cell>
          <cell r="K368">
            <v>4575</v>
          </cell>
          <cell r="L368">
            <v>4279.0100000000093</v>
          </cell>
          <cell r="P368" t="str">
            <v/>
          </cell>
        </row>
        <row r="369">
          <cell r="F369">
            <v>45922</v>
          </cell>
          <cell r="G369" t="str">
            <v>Imprevistos operativos</v>
          </cell>
          <cell r="H369" t="str">
            <v>Gastos bancarios</v>
          </cell>
          <cell r="I369" t="str">
            <v>Itaú</v>
          </cell>
          <cell r="K369">
            <v>1.9</v>
          </cell>
          <cell r="L369">
            <v>4277.1100000000097</v>
          </cell>
          <cell r="P369" t="str">
            <v/>
          </cell>
        </row>
        <row r="370">
          <cell r="F370">
            <v>45922</v>
          </cell>
          <cell r="G370" t="str">
            <v>Imprevistos obra</v>
          </cell>
          <cell r="H370" t="str">
            <v>Trabajos eléctricos plaza</v>
          </cell>
          <cell r="I370" t="str">
            <v>Fernando Bassino</v>
          </cell>
          <cell r="J370">
            <v>128.37</v>
          </cell>
          <cell r="K370">
            <v>711.87</v>
          </cell>
          <cell r="L370">
            <v>3565.2400000000098</v>
          </cell>
          <cell r="P370" t="str">
            <v/>
          </cell>
        </row>
        <row r="371">
          <cell r="F371">
            <v>45922</v>
          </cell>
          <cell r="G371" t="str">
            <v>Imprevistos operativos</v>
          </cell>
          <cell r="H371" t="str">
            <v>Gastos bancarios</v>
          </cell>
          <cell r="I371" t="str">
            <v>Itaú</v>
          </cell>
          <cell r="K371">
            <v>1.9</v>
          </cell>
          <cell r="L371">
            <v>3563.3400000000097</v>
          </cell>
          <cell r="P371" t="str">
            <v/>
          </cell>
        </row>
        <row r="372">
          <cell r="F372">
            <v>45922</v>
          </cell>
          <cell r="G372" t="str">
            <v>Imprevistos operativos</v>
          </cell>
          <cell r="H372" t="str">
            <v>Honorarios saldo 50% tasación BTR</v>
          </cell>
          <cell r="I372" t="str">
            <v>Iocco</v>
          </cell>
          <cell r="J372">
            <v>825</v>
          </cell>
          <cell r="K372">
            <v>4575</v>
          </cell>
          <cell r="L372">
            <v>-1011.6599999999903</v>
          </cell>
          <cell r="P372" t="str">
            <v/>
          </cell>
        </row>
        <row r="373">
          <cell r="F373">
            <v>45922</v>
          </cell>
          <cell r="G373" t="str">
            <v>Imprevistos operativos</v>
          </cell>
          <cell r="H373" t="str">
            <v>Gastos bancarios</v>
          </cell>
          <cell r="I373" t="str">
            <v>Itaú</v>
          </cell>
          <cell r="K373">
            <v>1.9</v>
          </cell>
          <cell r="L373">
            <v>-1013.5599999999903</v>
          </cell>
          <cell r="P373" t="str">
            <v/>
          </cell>
        </row>
        <row r="374">
          <cell r="F374">
            <v>45922</v>
          </cell>
          <cell r="L374">
            <v>8.440000000009718</v>
          </cell>
          <cell r="M374">
            <v>1022</v>
          </cell>
          <cell r="P374" t="str">
            <v/>
          </cell>
          <cell r="Q374" t="str">
            <v>Traspaso por sobregiro</v>
          </cell>
        </row>
        <row r="375">
          <cell r="F375">
            <v>45925</v>
          </cell>
          <cell r="L375">
            <v>25008.44000000001</v>
          </cell>
          <cell r="M375">
            <v>25000</v>
          </cell>
          <cell r="P375" t="str">
            <v/>
          </cell>
          <cell r="Q375" t="str">
            <v>Traspaso de rec a op</v>
          </cell>
        </row>
        <row r="376">
          <cell r="F376">
            <v>45925</v>
          </cell>
          <cell r="G376" t="str">
            <v>Publicidad por etapa 1 y 2</v>
          </cell>
          <cell r="H376" t="str">
            <v>Seña 50% baños químicos evento Charlie´s</v>
          </cell>
          <cell r="I376" t="str">
            <v>Grupo Lusso</v>
          </cell>
          <cell r="K376">
            <v>245</v>
          </cell>
          <cell r="L376">
            <v>24763.44000000001</v>
          </cell>
          <cell r="P376" t="str">
            <v/>
          </cell>
        </row>
        <row r="377">
          <cell r="F377">
            <v>45929</v>
          </cell>
          <cell r="H377" t="str">
            <v>Cambio</v>
          </cell>
          <cell r="K377">
            <v>1889.16</v>
          </cell>
          <cell r="L377">
            <v>22874.28000000001</v>
          </cell>
          <cell r="P377" t="str">
            <v/>
          </cell>
        </row>
        <row r="378">
          <cell r="F378">
            <v>45932</v>
          </cell>
          <cell r="G378" t="str">
            <v>Publicidad por etapa 1 y 2</v>
          </cell>
          <cell r="H378" t="str">
            <v>Renovación dominio livdristrict.com</v>
          </cell>
          <cell r="I378" t="str">
            <v>I+D Media</v>
          </cell>
          <cell r="J378">
            <v>5.5</v>
          </cell>
          <cell r="K378">
            <v>30.5</v>
          </cell>
          <cell r="L378">
            <v>22843.78000000001</v>
          </cell>
          <cell r="P378" t="str">
            <v/>
          </cell>
        </row>
        <row r="379">
          <cell r="F379">
            <v>45932</v>
          </cell>
          <cell r="G379" t="str">
            <v>Imprevistos operativos</v>
          </cell>
          <cell r="H379" t="str">
            <v>Gastos bancarios</v>
          </cell>
          <cell r="I379" t="str">
            <v>Itaú</v>
          </cell>
          <cell r="K379">
            <v>1.9</v>
          </cell>
          <cell r="L379">
            <v>22841.880000000008</v>
          </cell>
          <cell r="P379" t="str">
            <v/>
          </cell>
        </row>
        <row r="380">
          <cell r="F380">
            <v>45932</v>
          </cell>
          <cell r="H380" t="str">
            <v>Cambio</v>
          </cell>
          <cell r="K380">
            <v>4530.58</v>
          </cell>
          <cell r="L380">
            <v>18311.30000000001</v>
          </cell>
          <cell r="P380" t="str">
            <v/>
          </cell>
        </row>
        <row r="381">
          <cell r="F381">
            <v>45932</v>
          </cell>
          <cell r="L381">
            <v>103311.30000000002</v>
          </cell>
          <cell r="M381">
            <v>85000</v>
          </cell>
          <cell r="P381" t="str">
            <v/>
          </cell>
          <cell r="Q381" t="str">
            <v>Traspaso de rec a op</v>
          </cell>
        </row>
        <row r="382">
          <cell r="F382">
            <v>45932</v>
          </cell>
          <cell r="G382" t="str">
            <v>Development fee por etapa 1 y 2</v>
          </cell>
          <cell r="H382" t="str">
            <v>Honorarios profesionales 17/24</v>
          </cell>
          <cell r="I382" t="str">
            <v>DDC</v>
          </cell>
          <cell r="J382">
            <v>16766.64</v>
          </cell>
          <cell r="K382">
            <v>92978.64</v>
          </cell>
          <cell r="L382">
            <v>10332.660000000018</v>
          </cell>
          <cell r="P382" t="str">
            <v/>
          </cell>
        </row>
        <row r="383">
          <cell r="F383">
            <v>45936</v>
          </cell>
          <cell r="H383" t="str">
            <v>Cambio</v>
          </cell>
          <cell r="K383">
            <v>15601.4</v>
          </cell>
          <cell r="L383">
            <v>-5268.7399999999816</v>
          </cell>
          <cell r="P383" t="str">
            <v/>
          </cell>
        </row>
        <row r="384">
          <cell r="F384">
            <v>45936</v>
          </cell>
          <cell r="L384">
            <v>44731.260000000017</v>
          </cell>
          <cell r="M384">
            <v>50000</v>
          </cell>
          <cell r="P384" t="str">
            <v/>
          </cell>
          <cell r="Q384" t="str">
            <v>Traspaso de rec a op</v>
          </cell>
        </row>
        <row r="385">
          <cell r="F385">
            <v>45936</v>
          </cell>
          <cell r="G385" t="str">
            <v>Publicidad por etapa 1 y 2</v>
          </cell>
          <cell r="H385" t="str">
            <v>Saldo 50% + IVA baños vip evento Charlies</v>
          </cell>
          <cell r="I385" t="str">
            <v>Grupo Lusso</v>
          </cell>
          <cell r="J385">
            <v>107.8</v>
          </cell>
          <cell r="K385">
            <v>352.8</v>
          </cell>
          <cell r="L385">
            <v>44378.460000000014</v>
          </cell>
          <cell r="P385" t="str">
            <v/>
          </cell>
        </row>
        <row r="386">
          <cell r="F386">
            <v>45943</v>
          </cell>
          <cell r="G386" t="str">
            <v>Seguro de obra por etapa 1 y 2</v>
          </cell>
          <cell r="H386" t="str">
            <v>Seguro de obra LIV cuota 9/18</v>
          </cell>
          <cell r="I386" t="str">
            <v>Sura</v>
          </cell>
          <cell r="J386">
            <v>322.67</v>
          </cell>
          <cell r="K386">
            <v>1789.37</v>
          </cell>
          <cell r="L386">
            <v>42589.090000000011</v>
          </cell>
          <cell r="P386" t="str">
            <v/>
          </cell>
        </row>
        <row r="387">
          <cell r="F387">
            <v>45944</v>
          </cell>
          <cell r="G387" t="str">
            <v>Publicidad por etapa 1 y 2</v>
          </cell>
          <cell r="H387" t="str">
            <v>Video pantallas stand evento AyD</v>
          </cell>
          <cell r="I387" t="str">
            <v>I+D Media</v>
          </cell>
          <cell r="J387">
            <v>352</v>
          </cell>
          <cell r="K387">
            <v>1952</v>
          </cell>
          <cell r="L387">
            <v>40637.090000000011</v>
          </cell>
          <cell r="P387" t="str">
            <v/>
          </cell>
        </row>
        <row r="388">
          <cell r="F388">
            <v>45944</v>
          </cell>
          <cell r="G388" t="str">
            <v>Imprevistos operativos</v>
          </cell>
          <cell r="H388" t="str">
            <v>Gastos bancarios</v>
          </cell>
          <cell r="I388" t="str">
            <v>Itaú</v>
          </cell>
          <cell r="K388">
            <v>1.9</v>
          </cell>
          <cell r="L388">
            <v>40635.19000000001</v>
          </cell>
          <cell r="P388" t="str">
            <v/>
          </cell>
        </row>
        <row r="389">
          <cell r="F389">
            <v>45944</v>
          </cell>
          <cell r="L389">
            <v>140635.19</v>
          </cell>
          <cell r="M389">
            <v>100000</v>
          </cell>
          <cell r="P389" t="str">
            <v/>
          </cell>
          <cell r="Q389" t="str">
            <v>Traspaso de rec a op</v>
          </cell>
        </row>
        <row r="390">
          <cell r="F390">
            <v>45944</v>
          </cell>
          <cell r="G390" t="str">
            <v>Comision inmobiliaria Etapa 1 y 2</v>
          </cell>
          <cell r="H390" t="str">
            <v>Comisión inmobiliaria LIV 1 205</v>
          </cell>
          <cell r="I390" t="str">
            <v>Delta</v>
          </cell>
          <cell r="J390">
            <v>1887.06</v>
          </cell>
          <cell r="K390">
            <v>10465</v>
          </cell>
          <cell r="L390">
            <v>130170.19</v>
          </cell>
          <cell r="P390" t="str">
            <v/>
          </cell>
        </row>
        <row r="391">
          <cell r="F391">
            <v>45944</v>
          </cell>
          <cell r="G391" t="str">
            <v>Consultoria Vedor</v>
          </cell>
          <cell r="H391" t="str">
            <v>Honorarios profesionales 23</v>
          </cell>
          <cell r="I391" t="str">
            <v>Ignacio Archain</v>
          </cell>
          <cell r="J391">
            <v>1153.92</v>
          </cell>
          <cell r="K391">
            <v>6399</v>
          </cell>
          <cell r="L391">
            <v>123771.19</v>
          </cell>
          <cell r="P391" t="str">
            <v/>
          </cell>
        </row>
        <row r="392">
          <cell r="F392">
            <v>45944</v>
          </cell>
          <cell r="G392" t="str">
            <v>Publicidad por etapa 1 y 2</v>
          </cell>
          <cell r="H392" t="str">
            <v>Reintegro pauta digital septiembre (tarjeta de crédito)</v>
          </cell>
          <cell r="I392" t="str">
            <v>Delta</v>
          </cell>
          <cell r="K392">
            <v>800.1</v>
          </cell>
          <cell r="L392">
            <v>122971.09</v>
          </cell>
          <cell r="P392" t="str">
            <v/>
          </cell>
        </row>
        <row r="393">
          <cell r="F393">
            <v>45944</v>
          </cell>
          <cell r="G393" t="str">
            <v>Publicidad por etapa 1 y 2</v>
          </cell>
          <cell r="H393" t="str">
            <v>Sponsor competencia Endurox</v>
          </cell>
          <cell r="I393" t="str">
            <v xml:space="preserve">Charlie´s </v>
          </cell>
          <cell r="J393">
            <v>0</v>
          </cell>
          <cell r="K393">
            <v>5000</v>
          </cell>
          <cell r="L393">
            <v>117971.09</v>
          </cell>
          <cell r="P393" t="str">
            <v/>
          </cell>
        </row>
        <row r="394">
          <cell r="F394">
            <v>45944</v>
          </cell>
          <cell r="G394" t="str">
            <v>Suministros</v>
          </cell>
          <cell r="H394" t="str">
            <v>Acopio 50% luminarias LIV (CIF)</v>
          </cell>
          <cell r="I394" t="str">
            <v>Darko</v>
          </cell>
          <cell r="K394">
            <v>87771.05</v>
          </cell>
          <cell r="L394">
            <v>30200.039999999994</v>
          </cell>
          <cell r="P394" t="str">
            <v/>
          </cell>
        </row>
        <row r="395">
          <cell r="F395">
            <v>45951</v>
          </cell>
          <cell r="L395">
            <v>410200.04</v>
          </cell>
          <cell r="M395">
            <v>380000</v>
          </cell>
          <cell r="O395">
            <v>602</v>
          </cell>
          <cell r="P395" t="str">
            <v>Vales ITAU</v>
          </cell>
          <cell r="Q395" t="str">
            <v>Vale Itaú 5</v>
          </cell>
        </row>
        <row r="396">
          <cell r="F396">
            <v>45951</v>
          </cell>
          <cell r="G396" t="str">
            <v>Imprevistos operativos</v>
          </cell>
          <cell r="H396" t="str">
            <v>Traspaso a Urbanización por sobregiro</v>
          </cell>
          <cell r="I396" t="str">
            <v>Itaú</v>
          </cell>
          <cell r="K396">
            <v>41.38</v>
          </cell>
          <cell r="L396">
            <v>410158.66</v>
          </cell>
          <cell r="P396" t="str">
            <v/>
          </cell>
        </row>
        <row r="397">
          <cell r="F397">
            <v>45951</v>
          </cell>
          <cell r="H397" t="str">
            <v>Cambio</v>
          </cell>
          <cell r="K397">
            <v>120186.26</v>
          </cell>
          <cell r="L397">
            <v>289972.39999999997</v>
          </cell>
          <cell r="P397" t="str">
            <v/>
          </cell>
        </row>
        <row r="398">
          <cell r="F398">
            <v>45951</v>
          </cell>
          <cell r="L398">
            <v>389972.39999999997</v>
          </cell>
          <cell r="M398">
            <v>100000</v>
          </cell>
          <cell r="P398" t="str">
            <v/>
          </cell>
          <cell r="Q398" t="str">
            <v>Traspaso de rec a op</v>
          </cell>
        </row>
        <row r="399">
          <cell r="F399">
            <v>45952</v>
          </cell>
          <cell r="H399" t="str">
            <v>Cambio</v>
          </cell>
          <cell r="K399">
            <v>475753.77</v>
          </cell>
          <cell r="L399">
            <v>-85781.370000000054</v>
          </cell>
          <cell r="P399" t="str">
            <v/>
          </cell>
        </row>
        <row r="400">
          <cell r="F400">
            <v>45952</v>
          </cell>
          <cell r="L400">
            <v>24218.629999999946</v>
          </cell>
          <cell r="M400">
            <v>110000</v>
          </cell>
          <cell r="P400" t="str">
            <v/>
          </cell>
          <cell r="Q400" t="str">
            <v>Traspaso de rec a op</v>
          </cell>
        </row>
        <row r="401">
          <cell r="F401">
            <v>45953</v>
          </cell>
          <cell r="H401" t="str">
            <v>Cambio</v>
          </cell>
          <cell r="K401">
            <v>2022.24</v>
          </cell>
          <cell r="L401">
            <v>22196.389999999945</v>
          </cell>
          <cell r="P401" t="str">
            <v/>
          </cell>
        </row>
        <row r="402">
          <cell r="F402">
            <v>45957</v>
          </cell>
          <cell r="G402" t="str">
            <v>Suministros</v>
          </cell>
          <cell r="H402" t="str">
            <v>Luminarias fachada edificios</v>
          </cell>
          <cell r="I402" t="str">
            <v>Fivisa</v>
          </cell>
          <cell r="J402">
            <v>318.23</v>
          </cell>
          <cell r="K402">
            <v>1764.74</v>
          </cell>
          <cell r="L402">
            <v>20431.649999999943</v>
          </cell>
          <cell r="P402" t="str">
            <v/>
          </cell>
        </row>
        <row r="403">
          <cell r="F403">
            <v>45960</v>
          </cell>
          <cell r="H403" t="str">
            <v>Cambio</v>
          </cell>
          <cell r="K403">
            <v>4664.6400000000003</v>
          </cell>
          <cell r="L403">
            <v>15767.009999999944</v>
          </cell>
          <cell r="P403" t="str">
            <v/>
          </cell>
        </row>
        <row r="404">
          <cell r="F404">
            <v>45960</v>
          </cell>
          <cell r="L404">
            <v>315767.00999999995</v>
          </cell>
          <cell r="M404">
            <v>300000</v>
          </cell>
          <cell r="P404" t="str">
            <v/>
          </cell>
          <cell r="Q404" t="str">
            <v>Traspaso de rec a op</v>
          </cell>
        </row>
        <row r="405">
          <cell r="F405">
            <v>45960</v>
          </cell>
          <cell r="G405" t="str">
            <v>Publicidad por etapa 1 y 2</v>
          </cell>
          <cell r="H405" t="str">
            <v>Participación evento AyD</v>
          </cell>
          <cell r="I405" t="str">
            <v>AyD</v>
          </cell>
          <cell r="J405">
            <v>440</v>
          </cell>
          <cell r="K405">
            <v>2440</v>
          </cell>
          <cell r="L405">
            <v>313327.00999999995</v>
          </cell>
          <cell r="P405" t="str">
            <v/>
          </cell>
        </row>
        <row r="406">
          <cell r="F406">
            <v>45960</v>
          </cell>
          <cell r="G406" t="str">
            <v>Development fee por etapa 1 y 2</v>
          </cell>
          <cell r="H406" t="str">
            <v>Honorarios profesionales mes 18</v>
          </cell>
          <cell r="I406" t="str">
            <v>DDC</v>
          </cell>
          <cell r="J406">
            <v>16766.64</v>
          </cell>
          <cell r="K406">
            <v>92978.64</v>
          </cell>
          <cell r="L406">
            <v>220348.36999999994</v>
          </cell>
          <cell r="P406" t="str">
            <v/>
          </cell>
        </row>
        <row r="407">
          <cell r="F407">
            <v>45960</v>
          </cell>
          <cell r="G407" t="str">
            <v>Publicidad por etapa 1 y 2</v>
          </cell>
          <cell r="H407" t="str">
            <v>Folletos para salida Intercountries</v>
          </cell>
          <cell r="I407" t="str">
            <v>PAM</v>
          </cell>
          <cell r="J407">
            <v>167.2</v>
          </cell>
          <cell r="K407">
            <v>927.2</v>
          </cell>
          <cell r="L407">
            <v>219421.16999999993</v>
          </cell>
          <cell r="P407" t="str">
            <v/>
          </cell>
        </row>
        <row r="408">
          <cell r="F408">
            <v>45960</v>
          </cell>
          <cell r="G408" t="str">
            <v>Suministros</v>
          </cell>
          <cell r="H408" t="str">
            <v>Luminarias de piscina</v>
          </cell>
          <cell r="I408" t="str">
            <v>Fivisa</v>
          </cell>
          <cell r="J408">
            <v>59.59</v>
          </cell>
          <cell r="K408">
            <v>330.48</v>
          </cell>
          <cell r="L408">
            <v>219090.68999999992</v>
          </cell>
          <cell r="P408" t="str">
            <v/>
          </cell>
        </row>
        <row r="409">
          <cell r="F409">
            <v>45960</v>
          </cell>
          <cell r="G409" t="str">
            <v>Consultoria Vedor</v>
          </cell>
          <cell r="H409" t="str">
            <v>Honorarios profesionales 24</v>
          </cell>
          <cell r="I409" t="str">
            <v>Ignacio Archain</v>
          </cell>
          <cell r="J409">
            <v>1153.56</v>
          </cell>
          <cell r="K409">
            <v>6397</v>
          </cell>
          <cell r="L409">
            <v>212693.68999999992</v>
          </cell>
          <cell r="P409" t="str">
            <v/>
          </cell>
        </row>
        <row r="410">
          <cell r="F410">
            <v>45960</v>
          </cell>
          <cell r="G410" t="str">
            <v>Suministros</v>
          </cell>
          <cell r="H410" t="str">
            <v>Revestimientos y pavimentos (Cerámicas) Acopio 30%</v>
          </cell>
          <cell r="I410" t="str">
            <v>Bosch</v>
          </cell>
          <cell r="K410">
            <v>39001.46</v>
          </cell>
          <cell r="L410">
            <v>173692.22999999992</v>
          </cell>
          <cell r="P410" t="str">
            <v/>
          </cell>
        </row>
        <row r="411">
          <cell r="F411">
            <v>45960</v>
          </cell>
          <cell r="G411" t="str">
            <v>Suministros</v>
          </cell>
          <cell r="H411" t="str">
            <v>Pavimento de terrazas (empalomado) Acopio 30%</v>
          </cell>
          <cell r="I411" t="str">
            <v>Bosch</v>
          </cell>
          <cell r="K411">
            <v>23482.02</v>
          </cell>
          <cell r="L411">
            <v>150210.20999999993</v>
          </cell>
          <cell r="P411" t="str">
            <v/>
          </cell>
        </row>
        <row r="412">
          <cell r="F412">
            <v>45960</v>
          </cell>
          <cell r="G412" t="str">
            <v>Suministros</v>
          </cell>
          <cell r="H412" t="str">
            <v>Aparatos sanitarios CIF USD Acopio 30%</v>
          </cell>
          <cell r="I412" t="str">
            <v>Bosch</v>
          </cell>
          <cell r="K412">
            <v>35381.78</v>
          </cell>
          <cell r="L412">
            <v>114828.42999999993</v>
          </cell>
          <cell r="P412" t="str">
            <v/>
          </cell>
        </row>
        <row r="413">
          <cell r="F413">
            <v>45960</v>
          </cell>
          <cell r="G413" t="str">
            <v>Suministros</v>
          </cell>
          <cell r="H413" t="str">
            <v>Aparatos sanitarios CIF EUR en USD acopio 30%</v>
          </cell>
          <cell r="I413" t="str">
            <v>Bosch</v>
          </cell>
          <cell r="K413">
            <v>28415.3</v>
          </cell>
          <cell r="L413">
            <v>86413.129999999932</v>
          </cell>
          <cell r="P413" t="str">
            <v/>
          </cell>
        </row>
        <row r="414">
          <cell r="F414">
            <v>45960</v>
          </cell>
          <cell r="G414" t="str">
            <v>Suministros</v>
          </cell>
          <cell r="H414" t="str">
            <v>Aparatos sanitarios plaza Acopio 30%</v>
          </cell>
          <cell r="I414" t="str">
            <v>Bosch</v>
          </cell>
          <cell r="K414">
            <v>1674.59</v>
          </cell>
          <cell r="L414">
            <v>84738.539999999935</v>
          </cell>
          <cell r="P414" t="str">
            <v/>
          </cell>
        </row>
        <row r="415">
          <cell r="F415">
            <v>45961</v>
          </cell>
          <cell r="G415" t="str">
            <v>Comision inmobiliaria Etapa 1 y 2</v>
          </cell>
          <cell r="H415" t="str">
            <v>Comisión inmobiliaria unidad 501 LIV 2</v>
          </cell>
          <cell r="I415" t="str">
            <v>Meikle</v>
          </cell>
          <cell r="J415">
            <v>4257</v>
          </cell>
          <cell r="K415">
            <v>23607</v>
          </cell>
          <cell r="L415">
            <v>61131.539999999935</v>
          </cell>
          <cell r="P415" t="str">
            <v/>
          </cell>
        </row>
        <row r="416">
          <cell r="F416">
            <v>45961</v>
          </cell>
          <cell r="G416" t="str">
            <v>Imprevistos operativos</v>
          </cell>
          <cell r="H416" t="str">
            <v>Gastos bancarios</v>
          </cell>
          <cell r="I416" t="str">
            <v>Itaú</v>
          </cell>
          <cell r="K416">
            <v>10</v>
          </cell>
          <cell r="L416">
            <v>61121.539999999935</v>
          </cell>
          <cell r="P416" t="str">
            <v/>
          </cell>
        </row>
        <row r="417">
          <cell r="F417">
            <v>45964</v>
          </cell>
          <cell r="H417" t="str">
            <v>Cambio</v>
          </cell>
          <cell r="K417">
            <v>21349.16</v>
          </cell>
          <cell r="L417">
            <v>39772.379999999932</v>
          </cell>
          <cell r="P417" t="str">
            <v/>
          </cell>
        </row>
        <row r="418">
          <cell r="F418">
            <v>45968</v>
          </cell>
          <cell r="H418" t="str">
            <v>Cambio</v>
          </cell>
          <cell r="K418">
            <v>1514.38</v>
          </cell>
          <cell r="L418">
            <v>38257.999999999935</v>
          </cell>
          <cell r="P418" t="str">
            <v/>
          </cell>
        </row>
        <row r="419">
          <cell r="F419">
            <v>45968</v>
          </cell>
          <cell r="G419" t="str">
            <v>Publicidad por etapa 1 y 2</v>
          </cell>
          <cell r="H419" t="str">
            <v>Baños químicos evento cine acopio 50%</v>
          </cell>
          <cell r="I419" t="str">
            <v>Grupo Lusso</v>
          </cell>
          <cell r="K419">
            <v>245</v>
          </cell>
          <cell r="L419">
            <v>38012.999999999935</v>
          </cell>
          <cell r="P419" t="str">
            <v/>
          </cell>
        </row>
        <row r="420">
          <cell r="F420">
            <v>45971</v>
          </cell>
          <cell r="G420" t="str">
            <v>Obra constructora USD</v>
          </cell>
          <cell r="H420" t="str">
            <v>Anticipo ascensores etapa 2 (40%)</v>
          </cell>
          <cell r="I420" t="str">
            <v>Ceaosa</v>
          </cell>
          <cell r="K420">
            <v>22293.599999999999</v>
          </cell>
          <cell r="L420">
            <v>15719.399999999936</v>
          </cell>
          <cell r="P420" t="str">
            <v/>
          </cell>
        </row>
        <row r="421">
          <cell r="F421">
            <v>45971</v>
          </cell>
          <cell r="G421" t="str">
            <v>Imprevistos operativos</v>
          </cell>
          <cell r="H421" t="str">
            <v>Gastos bancarios</v>
          </cell>
          <cell r="I421" t="str">
            <v>Itaú</v>
          </cell>
          <cell r="K421">
            <v>10</v>
          </cell>
          <cell r="L421">
            <v>15709.399999999936</v>
          </cell>
          <cell r="P421" t="str">
            <v/>
          </cell>
        </row>
        <row r="422">
          <cell r="F422">
            <v>45972</v>
          </cell>
          <cell r="G422" t="str">
            <v>Seguro de obra por etapa 1 y 2</v>
          </cell>
          <cell r="H422" t="str">
            <v>Seguro de obra LIV cuota 10/18</v>
          </cell>
          <cell r="I422" t="str">
            <v>Sura</v>
          </cell>
          <cell r="J422">
            <v>322.67</v>
          </cell>
          <cell r="K422">
            <v>1789.37</v>
          </cell>
          <cell r="L422">
            <v>13920.029999999937</v>
          </cell>
          <cell r="P422" t="str">
            <v/>
          </cell>
        </row>
        <row r="423">
          <cell r="F423">
            <v>45975</v>
          </cell>
          <cell r="G423" t="str">
            <v>Obra constructora USD</v>
          </cell>
          <cell r="H423" t="str">
            <v>Anticipo financiero 2 etapa 1 (1,5%)</v>
          </cell>
          <cell r="I423" t="str">
            <v>Ceaosa</v>
          </cell>
          <cell r="K423">
            <v>16330.61</v>
          </cell>
          <cell r="L423">
            <v>-2410.5800000000636</v>
          </cell>
          <cell r="P423" t="str">
            <v/>
          </cell>
        </row>
        <row r="424">
          <cell r="F424">
            <v>45975</v>
          </cell>
          <cell r="G424" t="str">
            <v>Imprevistos operativos</v>
          </cell>
          <cell r="H424" t="str">
            <v>Gastos bancarios</v>
          </cell>
          <cell r="I424" t="str">
            <v>Itaú</v>
          </cell>
          <cell r="K424">
            <v>10</v>
          </cell>
          <cell r="L424">
            <v>-2420.5800000000636</v>
          </cell>
          <cell r="P424" t="str">
            <v/>
          </cell>
        </row>
        <row r="425">
          <cell r="F425">
            <v>45975</v>
          </cell>
          <cell r="H425" t="str">
            <v>Cambio</v>
          </cell>
          <cell r="K425">
            <v>179722.92</v>
          </cell>
          <cell r="L425">
            <v>-182143.50000000009</v>
          </cell>
          <cell r="P425" t="str">
            <v/>
          </cell>
        </row>
        <row r="426">
          <cell r="F426">
            <v>45975</v>
          </cell>
          <cell r="L426">
            <v>17856.499999999913</v>
          </cell>
          <cell r="M426">
            <v>200000</v>
          </cell>
          <cell r="P426" t="str">
            <v/>
          </cell>
          <cell r="Q426" t="str">
            <v>Traspaso de rec a op</v>
          </cell>
        </row>
        <row r="427">
          <cell r="F427">
            <v>45975</v>
          </cell>
          <cell r="G427" t="str">
            <v>Publicidad por etapa 1 y 2</v>
          </cell>
          <cell r="H427" t="str">
            <v>Contenido evento cine</v>
          </cell>
          <cell r="I427" t="str">
            <v>Paulina Newland</v>
          </cell>
          <cell r="K427">
            <v>250</v>
          </cell>
          <cell r="L427">
            <v>17606.499999999913</v>
          </cell>
          <cell r="P427" t="str">
            <v/>
          </cell>
        </row>
        <row r="428">
          <cell r="F428">
            <v>45975</v>
          </cell>
          <cell r="G428" t="str">
            <v>Publicidad por etapa 1 y 2</v>
          </cell>
          <cell r="H428" t="str">
            <v>Contenido evento cine</v>
          </cell>
          <cell r="I428" t="str">
            <v>Ana Elena Lenoble</v>
          </cell>
          <cell r="K428">
            <v>250</v>
          </cell>
          <cell r="L428">
            <v>17356.499999999913</v>
          </cell>
          <cell r="P428" t="str">
            <v/>
          </cell>
        </row>
        <row r="429">
          <cell r="F429">
            <v>45978</v>
          </cell>
          <cell r="G429" t="str">
            <v>Imprevistos operativos</v>
          </cell>
          <cell r="H429" t="str">
            <v>Traspaso a Urbanización por sobregiro (gastos vale)</v>
          </cell>
          <cell r="I429" t="str">
            <v>Urbanización</v>
          </cell>
          <cell r="K429">
            <v>550</v>
          </cell>
          <cell r="L429">
            <v>16806.499999999913</v>
          </cell>
          <cell r="P429" t="str">
            <v/>
          </cell>
        </row>
        <row r="430">
          <cell r="F430">
            <v>45978</v>
          </cell>
          <cell r="G430" t="str">
            <v>Publicidad por etapa 1 y 2</v>
          </cell>
          <cell r="H430" t="str">
            <v xml:space="preserve">Saldo 50% alquiler baños químicos evento Cine </v>
          </cell>
          <cell r="I430" t="str">
            <v>Grupo Lusso</v>
          </cell>
          <cell r="J430">
            <v>107.8</v>
          </cell>
          <cell r="K430">
            <v>352.8</v>
          </cell>
          <cell r="L430">
            <v>16453.699999999913</v>
          </cell>
          <cell r="P430" t="str">
            <v/>
          </cell>
        </row>
        <row r="431">
          <cell r="F431">
            <v>45978</v>
          </cell>
          <cell r="G431" t="str">
            <v>Imprevistos obra</v>
          </cell>
          <cell r="H431" t="str">
            <v>Cable para iluminación edificios (Reintegro LP)</v>
          </cell>
          <cell r="I431" t="str">
            <v>Fivisa</v>
          </cell>
          <cell r="J431">
            <v>37.81</v>
          </cell>
          <cell r="K431">
            <v>209.63</v>
          </cell>
          <cell r="L431">
            <v>16244.069999999914</v>
          </cell>
          <cell r="P431" t="str">
            <v/>
          </cell>
        </row>
        <row r="432">
          <cell r="F432">
            <v>45982</v>
          </cell>
          <cell r="H432" t="str">
            <v>Cambio</v>
          </cell>
          <cell r="K432">
            <v>663450.62000000011</v>
          </cell>
          <cell r="L432">
            <v>-647206.55000000016</v>
          </cell>
          <cell r="P432" t="str">
            <v/>
          </cell>
        </row>
        <row r="433">
          <cell r="F433">
            <v>45982</v>
          </cell>
          <cell r="L433">
            <v>-527206.55000000016</v>
          </cell>
          <cell r="M433">
            <v>120000</v>
          </cell>
          <cell r="P433" t="str">
            <v/>
          </cell>
          <cell r="Q433" t="str">
            <v>Traspaso de rec a op</v>
          </cell>
        </row>
        <row r="434">
          <cell r="F434">
            <v>45982</v>
          </cell>
          <cell r="L434">
            <v>-77206.550000000163</v>
          </cell>
          <cell r="M434">
            <v>450000</v>
          </cell>
          <cell r="Q434" t="str">
            <v>Renovación Vale 3 Itaú (dos veces por error)</v>
          </cell>
        </row>
        <row r="435">
          <cell r="F435">
            <v>45982</v>
          </cell>
          <cell r="L435">
            <v>592793.44999999984</v>
          </cell>
          <cell r="M435">
            <v>670000</v>
          </cell>
          <cell r="O435">
            <v>602</v>
          </cell>
          <cell r="P435" t="str">
            <v>Vales ITAU</v>
          </cell>
          <cell r="Q435" t="str">
            <v>Vale Itaú 6</v>
          </cell>
        </row>
        <row r="436">
          <cell r="F436">
            <v>45982</v>
          </cell>
          <cell r="L436">
            <v>592793.44999999984</v>
          </cell>
          <cell r="P436" t="str">
            <v/>
          </cell>
        </row>
        <row r="437">
          <cell r="F437">
            <v>45982</v>
          </cell>
          <cell r="H437" t="str">
            <v>Renovación Vale 3 Itaú (dos veces por error)</v>
          </cell>
          <cell r="K437">
            <v>450000</v>
          </cell>
          <cell r="L437">
            <v>142793.44999999984</v>
          </cell>
          <cell r="P437" t="str">
            <v/>
          </cell>
        </row>
        <row r="438">
          <cell r="F438">
            <v>45982</v>
          </cell>
          <cell r="L438">
            <v>592793.44999999984</v>
          </cell>
          <cell r="M438">
            <v>450000</v>
          </cell>
          <cell r="Q438" t="str">
            <v>Renovación Vale 3 Itaú (dos veces por error)</v>
          </cell>
        </row>
        <row r="439">
          <cell r="F439">
            <v>45982</v>
          </cell>
          <cell r="H439" t="str">
            <v>Renovación Vale 3 Itaú (dos veces por error)</v>
          </cell>
          <cell r="I439" t="str">
            <v>Itaú</v>
          </cell>
          <cell r="K439">
            <v>450000</v>
          </cell>
          <cell r="L439">
            <v>142793.44999999984</v>
          </cell>
        </row>
        <row r="440">
          <cell r="F440">
            <v>45982</v>
          </cell>
          <cell r="G440" t="str">
            <v>Intereses perdidos</v>
          </cell>
          <cell r="H440" t="str">
            <v>Intereses vale 3 Itaú</v>
          </cell>
          <cell r="I440" t="str">
            <v>Itaú</v>
          </cell>
          <cell r="K440">
            <v>6328.36</v>
          </cell>
          <cell r="L440">
            <v>136465.08999999985</v>
          </cell>
          <cell r="P440" t="str">
            <v/>
          </cell>
        </row>
        <row r="441">
          <cell r="F441">
            <v>45985</v>
          </cell>
          <cell r="G441" t="str">
            <v>Development fee por etapa 1 y 2</v>
          </cell>
          <cell r="H441" t="str">
            <v>Honorarios profesionales mes 19</v>
          </cell>
          <cell r="I441" t="str">
            <v>DDC</v>
          </cell>
          <cell r="J441">
            <v>16766.64</v>
          </cell>
          <cell r="K441">
            <v>92978.64</v>
          </cell>
          <cell r="L441">
            <v>43486.449999999852</v>
          </cell>
          <cell r="P441" t="str">
            <v/>
          </cell>
        </row>
        <row r="442">
          <cell r="F442">
            <v>45987</v>
          </cell>
          <cell r="H442" t="str">
            <v>Cambio</v>
          </cell>
          <cell r="K442">
            <v>3293.63</v>
          </cell>
          <cell r="L442">
            <v>40192.819999999854</v>
          </cell>
          <cell r="P442" t="str">
            <v/>
          </cell>
        </row>
        <row r="443">
          <cell r="F443">
            <v>45988</v>
          </cell>
          <cell r="G443" t="str">
            <v>Imprevistos obra</v>
          </cell>
          <cell r="H443" t="str">
            <v>Trabajos eléctricos mantenimiento plaza</v>
          </cell>
          <cell r="I443" t="str">
            <v>Fernando Bassino</v>
          </cell>
          <cell r="J443">
            <v>92.62</v>
          </cell>
          <cell r="K443">
            <v>513.62</v>
          </cell>
          <cell r="L443">
            <v>39679.199999999852</v>
          </cell>
          <cell r="P443" t="str">
            <v/>
          </cell>
        </row>
        <row r="444">
          <cell r="F444">
            <v>45988</v>
          </cell>
          <cell r="G444" t="str">
            <v>Imprevistos operativos</v>
          </cell>
          <cell r="H444" t="str">
            <v>Gastos bancarios</v>
          </cell>
          <cell r="I444" t="str">
            <v>Itaú</v>
          </cell>
          <cell r="K444">
            <v>1.9</v>
          </cell>
          <cell r="L444">
            <v>39677.29999999985</v>
          </cell>
          <cell r="P444" t="str">
            <v/>
          </cell>
        </row>
        <row r="445">
          <cell r="F445">
            <v>45988</v>
          </cell>
          <cell r="L445">
            <v>279677.29999999987</v>
          </cell>
          <cell r="M445">
            <v>240000</v>
          </cell>
          <cell r="P445" t="str">
            <v/>
          </cell>
          <cell r="Q445" t="str">
            <v>Traspaso de rec a op</v>
          </cell>
        </row>
        <row r="446">
          <cell r="F446">
            <v>45988</v>
          </cell>
          <cell r="G446" t="str">
            <v>Honorarios escribania por etapa 1 y 2</v>
          </cell>
          <cell r="H446" t="str">
            <v>Escritura hipoteca E1 y E2</v>
          </cell>
          <cell r="I446" t="str">
            <v>Consultores</v>
          </cell>
          <cell r="J446">
            <v>13147.704918032787</v>
          </cell>
          <cell r="K446">
            <v>73200</v>
          </cell>
          <cell r="L446">
            <v>206477.29999999987</v>
          </cell>
          <cell r="P446" t="str">
            <v/>
          </cell>
        </row>
        <row r="447">
          <cell r="F447">
            <v>45988</v>
          </cell>
          <cell r="G447" t="str">
            <v>Reglamento de copropiedad por etapa 1 y 2</v>
          </cell>
          <cell r="H447" t="str">
            <v>Escritura hipoteca (parte a Reglamento)</v>
          </cell>
          <cell r="I447" t="str">
            <v>Consultores</v>
          </cell>
          <cell r="J447">
            <v>9127.0750819672139</v>
          </cell>
          <cell r="K447">
            <v>50613.78</v>
          </cell>
          <cell r="L447">
            <v>155863.51999999987</v>
          </cell>
        </row>
        <row r="448">
          <cell r="F448">
            <v>45988</v>
          </cell>
          <cell r="G448" t="str">
            <v>Reglamento de copropiedad por etapa 1 y 2</v>
          </cell>
          <cell r="H448" t="str">
            <v>Reglamento de copriopedad E1</v>
          </cell>
          <cell r="I448" t="str">
            <v>Consultores</v>
          </cell>
          <cell r="J448">
            <v>6225.34</v>
          </cell>
          <cell r="K448">
            <v>34812</v>
          </cell>
          <cell r="L448">
            <v>121051.51999999987</v>
          </cell>
          <cell r="P448" t="str">
            <v/>
          </cell>
        </row>
        <row r="449">
          <cell r="F449">
            <v>45988</v>
          </cell>
          <cell r="G449" t="str">
            <v>Publicidad por etapa 1 y 2</v>
          </cell>
          <cell r="H449" t="str">
            <v>Contenido evento Cine</v>
          </cell>
          <cell r="I449" t="str">
            <v>Sofia del Campo</v>
          </cell>
          <cell r="J449">
            <v>88</v>
          </cell>
          <cell r="K449">
            <v>488</v>
          </cell>
          <cell r="L449">
            <v>120563.51999999987</v>
          </cell>
          <cell r="P449" t="str">
            <v/>
          </cell>
        </row>
        <row r="450">
          <cell r="F450">
            <v>45988</v>
          </cell>
          <cell r="G450" t="str">
            <v>Imprevistos operativos</v>
          </cell>
          <cell r="H450" t="str">
            <v>Fichas de venta</v>
          </cell>
          <cell r="I450" t="str">
            <v>Gastón Molinelli</v>
          </cell>
          <cell r="J450">
            <v>658.24</v>
          </cell>
          <cell r="K450">
            <v>3650.24</v>
          </cell>
          <cell r="L450">
            <v>116913.27999999987</v>
          </cell>
          <cell r="P450" t="str">
            <v/>
          </cell>
        </row>
        <row r="451">
          <cell r="F451">
            <v>45988</v>
          </cell>
          <cell r="G451" t="str">
            <v>Publicidad por etapa 1 y 2</v>
          </cell>
          <cell r="H451" t="str">
            <v>Reintegro pauta digital octubre (tarjeta de crédito)</v>
          </cell>
          <cell r="I451" t="str">
            <v>Delta</v>
          </cell>
          <cell r="K451">
            <v>623.66999999999996</v>
          </cell>
          <cell r="L451">
            <v>116289.60999999987</v>
          </cell>
          <cell r="P451" t="str">
            <v/>
          </cell>
        </row>
        <row r="452">
          <cell r="F452">
            <v>45988</v>
          </cell>
          <cell r="G452" t="str">
            <v>Suministros</v>
          </cell>
          <cell r="H452" t="str">
            <v xml:space="preserve">Seña 40% interiorismo </v>
          </cell>
          <cell r="I452" t="str">
            <v>Hassen Balut</v>
          </cell>
          <cell r="K452">
            <v>39600</v>
          </cell>
          <cell r="L452">
            <v>76689.60999999987</v>
          </cell>
          <cell r="P452" t="str">
            <v/>
          </cell>
        </row>
        <row r="453">
          <cell r="F453">
            <v>45994</v>
          </cell>
          <cell r="H453" t="str">
            <v>Cambio</v>
          </cell>
          <cell r="K453">
            <v>49935.98</v>
          </cell>
          <cell r="L453">
            <v>26753.629999999866</v>
          </cell>
          <cell r="P453" t="str">
            <v/>
          </cell>
        </row>
        <row r="454">
          <cell r="F454">
            <v>45994</v>
          </cell>
          <cell r="G454" t="str">
            <v>Dirección de obra</v>
          </cell>
          <cell r="H454" t="str">
            <v>Dirección de obra octubre-noviembre 2025</v>
          </cell>
          <cell r="I454" t="str">
            <v>Gómez Platero</v>
          </cell>
          <cell r="K454">
            <v>695</v>
          </cell>
          <cell r="L454">
            <v>26058.629999999866</v>
          </cell>
          <cell r="P454" t="str">
            <v/>
          </cell>
        </row>
        <row r="455">
          <cell r="F455">
            <v>45994</v>
          </cell>
          <cell r="G455" t="str">
            <v>Publicidad por etapa 1 y 2</v>
          </cell>
          <cell r="H455" t="str">
            <v>Cobertura evento Cine</v>
          </cell>
          <cell r="I455" t="str">
            <v>Silvestre</v>
          </cell>
          <cell r="J455">
            <v>154</v>
          </cell>
          <cell r="K455">
            <v>854</v>
          </cell>
          <cell r="L455">
            <v>25204.629999999866</v>
          </cell>
          <cell r="P455" t="str">
            <v/>
          </cell>
        </row>
        <row r="456">
          <cell r="F456">
            <v>46002</v>
          </cell>
          <cell r="G456" t="str">
            <v>Seguro de obra por etapa 1 y 2</v>
          </cell>
          <cell r="H456" t="str">
            <v>Seguro de obra LIV cuota 11/18</v>
          </cell>
          <cell r="I456" t="str">
            <v>Sura</v>
          </cell>
          <cell r="J456">
            <v>322.67</v>
          </cell>
          <cell r="K456">
            <v>1789.37</v>
          </cell>
          <cell r="L456">
            <v>23415.259999999867</v>
          </cell>
          <cell r="P456" t="str">
            <v/>
          </cell>
        </row>
        <row r="457">
          <cell r="F457">
            <v>46006</v>
          </cell>
          <cell r="L457">
            <v>173415.25999999986</v>
          </cell>
          <cell r="M457">
            <v>150000</v>
          </cell>
          <cell r="P457" t="str">
            <v/>
          </cell>
          <cell r="Q457" t="str">
            <v>Traspaso de rec a op</v>
          </cell>
        </row>
        <row r="458">
          <cell r="F458">
            <v>46006</v>
          </cell>
          <cell r="G458" t="str">
            <v>Consultoria Vedor</v>
          </cell>
          <cell r="H458" t="str">
            <v>Honorarios profesionales 25</v>
          </cell>
          <cell r="I458" t="str">
            <v>Ignacio Archain</v>
          </cell>
          <cell r="J458">
            <v>1153.56</v>
          </cell>
          <cell r="K458">
            <v>6397</v>
          </cell>
          <cell r="L458">
            <v>167018.25999999986</v>
          </cell>
          <cell r="P458" t="str">
            <v/>
          </cell>
        </row>
        <row r="459">
          <cell r="F459">
            <v>46006</v>
          </cell>
          <cell r="G459" t="str">
            <v>Development fee por etapa 1 y 2</v>
          </cell>
          <cell r="H459" t="str">
            <v>Honorarios profesionales mes 20</v>
          </cell>
          <cell r="I459" t="str">
            <v>DDC</v>
          </cell>
          <cell r="J459">
            <v>16766.64</v>
          </cell>
          <cell r="K459">
            <v>92978.64</v>
          </cell>
          <cell r="L459">
            <v>74039.619999999864</v>
          </cell>
          <cell r="P459" t="str">
            <v/>
          </cell>
        </row>
        <row r="460">
          <cell r="F460">
            <v>46007</v>
          </cell>
          <cell r="G460" t="str">
            <v>Imprevistos operativos</v>
          </cell>
          <cell r="H460" t="str">
            <v>Traspaso ubranización para gastos bancarios</v>
          </cell>
          <cell r="I460" t="str">
            <v>Itaú</v>
          </cell>
          <cell r="K460">
            <v>759</v>
          </cell>
          <cell r="L460">
            <v>73280.619999999864</v>
          </cell>
          <cell r="P460" t="str">
            <v/>
          </cell>
        </row>
        <row r="461">
          <cell r="F461">
            <v>46010</v>
          </cell>
          <cell r="H461" t="str">
            <v>Cambio</v>
          </cell>
          <cell r="K461">
            <v>661378.23</v>
          </cell>
          <cell r="L461">
            <v>-588097.6100000001</v>
          </cell>
          <cell r="P461" t="str">
            <v/>
          </cell>
        </row>
        <row r="462">
          <cell r="F462">
            <v>46010</v>
          </cell>
          <cell r="L462">
            <v>-98097.610000000102</v>
          </cell>
          <cell r="M462">
            <v>490000</v>
          </cell>
          <cell r="P462" t="str">
            <v/>
          </cell>
          <cell r="Q462" t="str">
            <v>Traspaso de rec a op</v>
          </cell>
        </row>
        <row r="463">
          <cell r="F463">
            <v>46010</v>
          </cell>
          <cell r="L463">
            <v>-98097.610000000102</v>
          </cell>
          <cell r="P463" t="str">
            <v/>
          </cell>
        </row>
        <row r="464">
          <cell r="F464">
            <v>46010</v>
          </cell>
          <cell r="L464">
            <v>-85897.610000000102</v>
          </cell>
          <cell r="M464">
            <v>12200</v>
          </cell>
          <cell r="P464" t="str">
            <v/>
          </cell>
          <cell r="Q464" t="str">
            <v>Traspaso de rec a op</v>
          </cell>
        </row>
        <row r="465">
          <cell r="F465">
            <v>46010</v>
          </cell>
          <cell r="L465">
            <v>-45897.610000000102</v>
          </cell>
          <cell r="M465">
            <v>40000</v>
          </cell>
          <cell r="P465" t="str">
            <v/>
          </cell>
          <cell r="Q465" t="str">
            <v>Traspaso de rec a op</v>
          </cell>
        </row>
        <row r="466">
          <cell r="F466">
            <v>46010</v>
          </cell>
          <cell r="L466">
            <v>44102.389999999898</v>
          </cell>
          <cell r="M466">
            <v>90000</v>
          </cell>
          <cell r="P466" t="str">
            <v/>
          </cell>
          <cell r="Q466" t="str">
            <v>Winding LR a reintegrar</v>
          </cell>
        </row>
        <row r="467">
          <cell r="F467">
            <v>46010</v>
          </cell>
          <cell r="H467" t="str">
            <v>Reintegro Winding LR 1/2</v>
          </cell>
          <cell r="K467">
            <v>40000</v>
          </cell>
          <cell r="L467">
            <v>4102.3899999998976</v>
          </cell>
          <cell r="P467" t="str">
            <v/>
          </cell>
        </row>
        <row r="468">
          <cell r="F468">
            <v>46013</v>
          </cell>
          <cell r="G468" t="str">
            <v>Imprevistos obra</v>
          </cell>
          <cell r="H468" t="str">
            <v>Muestras llave de paso y rejilla (Reintegro LP)</v>
          </cell>
          <cell r="I468" t="str">
            <v>Arho</v>
          </cell>
          <cell r="J468">
            <v>10.36</v>
          </cell>
          <cell r="K468">
            <v>57.43</v>
          </cell>
          <cell r="L468">
            <v>4044.9599999998977</v>
          </cell>
          <cell r="P468" t="str">
            <v/>
          </cell>
        </row>
        <row r="469">
          <cell r="F469">
            <v>46014</v>
          </cell>
          <cell r="L469">
            <v>104009.9599999999</v>
          </cell>
          <cell r="M469">
            <v>99965</v>
          </cell>
          <cell r="P469" t="str">
            <v/>
          </cell>
          <cell r="Q469" t="str">
            <v>Devolución error Faynbloch</v>
          </cell>
        </row>
        <row r="470">
          <cell r="F470">
            <v>46014</v>
          </cell>
          <cell r="L470">
            <v>204009.9599999999</v>
          </cell>
          <cell r="M470">
            <v>100000</v>
          </cell>
          <cell r="P470" t="str">
            <v/>
          </cell>
          <cell r="Q470" t="str">
            <v>Traspaso de rec a op</v>
          </cell>
        </row>
        <row r="471">
          <cell r="F471">
            <v>46014</v>
          </cell>
          <cell r="G471" t="str">
            <v>Comision inmobiliaria Etapa 1 y 2</v>
          </cell>
          <cell r="H471" t="str">
            <v>Comisión inmobiliaria LIV 1 005</v>
          </cell>
          <cell r="I471" t="str">
            <v>Delta</v>
          </cell>
          <cell r="J471">
            <v>1159.3399999999999</v>
          </cell>
          <cell r="K471">
            <v>6429.06</v>
          </cell>
          <cell r="L471">
            <v>197580.89999999991</v>
          </cell>
          <cell r="P471" t="str">
            <v/>
          </cell>
        </row>
        <row r="472">
          <cell r="F472">
            <v>46014</v>
          </cell>
          <cell r="G472" t="str">
            <v>Comision inmobiliaria Etapa 1 y 2</v>
          </cell>
          <cell r="H472" t="str">
            <v>Comisión inmobiliaria LIV 1 104</v>
          </cell>
          <cell r="I472" t="str">
            <v>Delta</v>
          </cell>
          <cell r="J472">
            <v>2455.1999999999998</v>
          </cell>
          <cell r="K472">
            <v>13615.2</v>
          </cell>
          <cell r="L472">
            <v>183965.6999999999</v>
          </cell>
          <cell r="P472" t="str">
            <v/>
          </cell>
        </row>
        <row r="473">
          <cell r="F473">
            <v>46014</v>
          </cell>
          <cell r="G473" t="str">
            <v>Comision inmobiliaria Etapa 1 y 2</v>
          </cell>
          <cell r="H473" t="str">
            <v>Comisión inmobiliaria LIV 1 105</v>
          </cell>
          <cell r="I473" t="str">
            <v>Delta</v>
          </cell>
          <cell r="J473">
            <v>2202.75</v>
          </cell>
          <cell r="K473">
            <v>12215.25</v>
          </cell>
          <cell r="L473">
            <v>171750.4499999999</v>
          </cell>
          <cell r="P473" t="str">
            <v/>
          </cell>
        </row>
        <row r="474">
          <cell r="F474">
            <v>46014</v>
          </cell>
          <cell r="G474" t="str">
            <v>Comision inmobiliaria Etapa 1 y 2</v>
          </cell>
          <cell r="H474" t="str">
            <v>Comisión inmobiliaria LIV 1 304</v>
          </cell>
          <cell r="I474" t="str">
            <v>Delta</v>
          </cell>
          <cell r="J474">
            <v>3019.5</v>
          </cell>
          <cell r="K474">
            <v>16744.5</v>
          </cell>
          <cell r="L474">
            <v>155005.9499999999</v>
          </cell>
          <cell r="P474" t="str">
            <v/>
          </cell>
        </row>
        <row r="475">
          <cell r="F475">
            <v>46014</v>
          </cell>
          <cell r="G475" t="str">
            <v>Comision inmobiliaria Etapa 1 y 2</v>
          </cell>
          <cell r="H475" t="str">
            <v>Comisión inmobiliaria LIV 1 206</v>
          </cell>
          <cell r="I475" t="str">
            <v>Delta</v>
          </cell>
          <cell r="J475">
            <v>2445.3000000000002</v>
          </cell>
          <cell r="K475">
            <v>13560.3</v>
          </cell>
          <cell r="L475">
            <v>141445.64999999991</v>
          </cell>
          <cell r="P475" t="str">
            <v/>
          </cell>
        </row>
        <row r="476">
          <cell r="F476">
            <v>46014</v>
          </cell>
          <cell r="H476" t="str">
            <v>Cambio</v>
          </cell>
          <cell r="K476">
            <v>1536.09</v>
          </cell>
          <cell r="L476">
            <v>139909.55999999991</v>
          </cell>
          <cell r="P476" t="str">
            <v/>
          </cell>
        </row>
        <row r="477">
          <cell r="F477">
            <v>46014</v>
          </cell>
          <cell r="L477">
            <v>154909.55999999991</v>
          </cell>
          <cell r="M477">
            <v>15000</v>
          </cell>
          <cell r="P477" t="str">
            <v/>
          </cell>
          <cell r="Q477" t="str">
            <v>Traspaso de rec a op</v>
          </cell>
        </row>
        <row r="478">
          <cell r="F478">
            <v>46014</v>
          </cell>
          <cell r="H478" t="str">
            <v>Reintegro Winding LR 2/2</v>
          </cell>
          <cell r="K478">
            <v>50000</v>
          </cell>
          <cell r="L478">
            <v>104909.55999999991</v>
          </cell>
          <cell r="P478" t="str">
            <v/>
          </cell>
        </row>
        <row r="479">
          <cell r="F479">
            <v>46015</v>
          </cell>
          <cell r="H479" t="str">
            <v>Devolución error Faynbloch</v>
          </cell>
          <cell r="K479">
            <v>99965</v>
          </cell>
          <cell r="L479">
            <v>4944.5599999999104</v>
          </cell>
          <cell r="P479" t="str">
            <v/>
          </cell>
        </row>
        <row r="480">
          <cell r="F480">
            <v>46015</v>
          </cell>
          <cell r="G480" t="str">
            <v>Imprevistos operativos</v>
          </cell>
          <cell r="H480" t="str">
            <v>Gastos bancarios</v>
          </cell>
          <cell r="I480" t="str">
            <v>Itaú</v>
          </cell>
          <cell r="K480">
            <v>209.93</v>
          </cell>
          <cell r="L480">
            <v>4734.6299999999101</v>
          </cell>
          <cell r="P480" t="str">
            <v/>
          </cell>
        </row>
        <row r="481">
          <cell r="F481">
            <v>46030</v>
          </cell>
          <cell r="H481" t="str">
            <v>Cambio</v>
          </cell>
          <cell r="K481">
            <v>20592.02</v>
          </cell>
          <cell r="L481">
            <v>-15857.39000000009</v>
          </cell>
          <cell r="P481" t="str">
            <v/>
          </cell>
        </row>
        <row r="482">
          <cell r="F482">
            <v>46030</v>
          </cell>
          <cell r="L482">
            <v>84142.609999999913</v>
          </cell>
          <cell r="M482">
            <v>100000</v>
          </cell>
          <cell r="P482" t="str">
            <v/>
          </cell>
          <cell r="Q482" t="str">
            <v>Traspaso de rec a op</v>
          </cell>
        </row>
        <row r="483">
          <cell r="F483">
            <v>46030</v>
          </cell>
          <cell r="G483" t="str">
            <v>Seguro de obra por etapa 1 y 2</v>
          </cell>
          <cell r="H483" t="str">
            <v>Seguro de obra cuota 12/18</v>
          </cell>
          <cell r="I483" t="str">
            <v>Sura</v>
          </cell>
          <cell r="J483">
            <v>322.67</v>
          </cell>
          <cell r="K483">
            <v>1789.37</v>
          </cell>
          <cell r="L483">
            <v>82353.239999999918</v>
          </cell>
          <cell r="P483" t="str">
            <v/>
          </cell>
        </row>
        <row r="484">
          <cell r="F484">
            <v>46031</v>
          </cell>
          <cell r="G484" t="str">
            <v>Publicidad por etapa 1 y 2</v>
          </cell>
          <cell r="H484" t="str">
            <v>Producción evento Navidad</v>
          </cell>
          <cell r="I484" t="str">
            <v>Silvestre</v>
          </cell>
          <cell r="J484">
            <v>154</v>
          </cell>
          <cell r="K484">
            <v>854</v>
          </cell>
          <cell r="L484">
            <v>81499.239999999918</v>
          </cell>
          <cell r="P484" t="str">
            <v/>
          </cell>
        </row>
        <row r="485">
          <cell r="F485">
            <v>46034</v>
          </cell>
          <cell r="L485">
            <v>131499.23999999993</v>
          </cell>
          <cell r="M485">
            <v>50000</v>
          </cell>
          <cell r="P485" t="str">
            <v/>
          </cell>
          <cell r="Q485" t="str">
            <v>Traspaso de rec a op</v>
          </cell>
        </row>
        <row r="486">
          <cell r="F486">
            <v>46035</v>
          </cell>
          <cell r="G486" t="str">
            <v>Publicidad por etapa 1 y 2</v>
          </cell>
          <cell r="H486" t="str">
            <v>Participación evento Forbes (Reintegro DDC)</v>
          </cell>
          <cell r="I486" t="str">
            <v>Forbes</v>
          </cell>
          <cell r="K486">
            <v>3000</v>
          </cell>
          <cell r="L486">
            <v>128499.23999999993</v>
          </cell>
          <cell r="P486" t="str">
            <v/>
          </cell>
        </row>
        <row r="487">
          <cell r="F487">
            <v>46035</v>
          </cell>
          <cell r="G487" t="str">
            <v>Development fee por etapa 1 y 2</v>
          </cell>
          <cell r="H487" t="str">
            <v>Honorarios profesionales mes 21</v>
          </cell>
          <cell r="I487" t="str">
            <v>DDC</v>
          </cell>
          <cell r="J487">
            <v>16766.64</v>
          </cell>
          <cell r="K487">
            <v>92978.64</v>
          </cell>
          <cell r="L487">
            <v>35520.599999999933</v>
          </cell>
          <cell r="P487" t="str">
            <v/>
          </cell>
        </row>
        <row r="488">
          <cell r="F488">
            <v>46035</v>
          </cell>
          <cell r="G488" t="str">
            <v>Suministros</v>
          </cell>
          <cell r="H488" t="str">
            <v>Suministro llaves de paso</v>
          </cell>
          <cell r="I488" t="str">
            <v>Arho</v>
          </cell>
          <cell r="J488">
            <v>478.4</v>
          </cell>
          <cell r="K488">
            <v>2653</v>
          </cell>
          <cell r="L488">
            <v>32867.599999999933</v>
          </cell>
          <cell r="P488" t="str">
            <v/>
          </cell>
        </row>
        <row r="489">
          <cell r="F489">
            <v>46035</v>
          </cell>
          <cell r="G489" t="str">
            <v>Publicidad por etapa 1 y 2</v>
          </cell>
          <cell r="H489" t="str">
            <v>Contenido evento navidad</v>
          </cell>
          <cell r="I489" t="str">
            <v>Florencia Dougall</v>
          </cell>
          <cell r="K489">
            <v>450</v>
          </cell>
          <cell r="L489">
            <v>32417.599999999933</v>
          </cell>
          <cell r="P489" t="str">
            <v/>
          </cell>
        </row>
        <row r="490">
          <cell r="F490">
            <v>46035</v>
          </cell>
          <cell r="G490" t="str">
            <v>Publicidad por etapa 1 y 2</v>
          </cell>
          <cell r="H490" t="str">
            <v>Contenido evento navidad</v>
          </cell>
          <cell r="I490" t="str">
            <v>Ana Elena Lenoble</v>
          </cell>
          <cell r="K490">
            <v>400</v>
          </cell>
          <cell r="L490">
            <v>32017.599999999933</v>
          </cell>
          <cell r="P490" t="str">
            <v/>
          </cell>
        </row>
        <row r="491">
          <cell r="F491">
            <v>46038</v>
          </cell>
          <cell r="H491" t="str">
            <v>Cambio</v>
          </cell>
          <cell r="K491">
            <v>2090.9499999999998</v>
          </cell>
          <cell r="L491">
            <v>29926.649999999932</v>
          </cell>
          <cell r="P491" t="str">
            <v/>
          </cell>
        </row>
        <row r="492">
          <cell r="F492">
            <v>46041</v>
          </cell>
          <cell r="G492" t="str">
            <v>Leed</v>
          </cell>
          <cell r="H492" t="str">
            <v>Anticipo costos asociados despacho pavimento de terrazas</v>
          </cell>
          <cell r="I492" t="str">
            <v>Rodríguez despachantes</v>
          </cell>
          <cell r="J492">
            <v>8.36</v>
          </cell>
          <cell r="K492">
            <v>3166</v>
          </cell>
          <cell r="L492">
            <v>26760.649999999932</v>
          </cell>
          <cell r="P492" t="str">
            <v/>
          </cell>
        </row>
        <row r="493">
          <cell r="F493">
            <v>46045</v>
          </cell>
          <cell r="H493" t="str">
            <v>Cambio</v>
          </cell>
          <cell r="K493">
            <v>137433.85999999999</v>
          </cell>
          <cell r="L493">
            <v>-110673.21000000005</v>
          </cell>
          <cell r="P493" t="str">
            <v/>
          </cell>
        </row>
        <row r="494">
          <cell r="F494">
            <v>46045</v>
          </cell>
          <cell r="L494">
            <v>-10673.21000000005</v>
          </cell>
          <cell r="M494">
            <v>100000</v>
          </cell>
          <cell r="P494" t="str">
            <v/>
          </cell>
          <cell r="Q494" t="str">
            <v>Traspaso de rec a op</v>
          </cell>
        </row>
        <row r="495">
          <cell r="F495">
            <v>46045</v>
          </cell>
          <cell r="L495">
            <v>89326.78999999995</v>
          </cell>
          <cell r="M495">
            <v>100000</v>
          </cell>
          <cell r="P495" t="str">
            <v/>
          </cell>
          <cell r="Q495" t="str">
            <v>Traspaso de rec a op</v>
          </cell>
        </row>
        <row r="496">
          <cell r="F496">
            <v>46048</v>
          </cell>
          <cell r="L496">
            <v>569326.78999999992</v>
          </cell>
          <cell r="M496">
            <v>480000</v>
          </cell>
          <cell r="O496">
            <v>602</v>
          </cell>
          <cell r="P496" t="str">
            <v>Vales ITAU</v>
          </cell>
          <cell r="Q496" t="str">
            <v>Vale Itaú 8</v>
          </cell>
        </row>
        <row r="497">
          <cell r="F497">
            <v>46048</v>
          </cell>
          <cell r="H497" t="str">
            <v>Cambio</v>
          </cell>
          <cell r="K497">
            <v>414741.04</v>
          </cell>
          <cell r="L497">
            <v>154585.74999999994</v>
          </cell>
          <cell r="P497" t="str">
            <v/>
          </cell>
        </row>
        <row r="498">
          <cell r="F498">
            <v>46048</v>
          </cell>
          <cell r="G498" t="str">
            <v>Consultoria Vedor</v>
          </cell>
          <cell r="H498" t="str">
            <v>Honorarios profesionales 26</v>
          </cell>
          <cell r="I498" t="str">
            <v>Ignacio Archain</v>
          </cell>
          <cell r="J498">
            <v>1151.93</v>
          </cell>
          <cell r="K498">
            <v>6338</v>
          </cell>
          <cell r="L498">
            <v>148247.74999999994</v>
          </cell>
          <cell r="P498" t="str">
            <v/>
          </cell>
        </row>
        <row r="499">
          <cell r="F499">
            <v>46048</v>
          </cell>
          <cell r="L499">
            <v>528247.75</v>
          </cell>
          <cell r="M499">
            <v>380000</v>
          </cell>
          <cell r="P499" t="str">
            <v/>
          </cell>
          <cell r="Q499" t="str">
            <v>Renovación vale 5</v>
          </cell>
        </row>
        <row r="500">
          <cell r="F500">
            <v>46048</v>
          </cell>
          <cell r="G500" t="str">
            <v>Intereses perdidos</v>
          </cell>
          <cell r="H500" t="str">
            <v>Intereses pérdidos renovación vale 5</v>
          </cell>
          <cell r="I500" t="str">
            <v>Itaú</v>
          </cell>
          <cell r="K500">
            <v>5643.28</v>
          </cell>
          <cell r="L500">
            <v>522604.47</v>
          </cell>
        </row>
        <row r="501">
          <cell r="F501">
            <v>46048</v>
          </cell>
          <cell r="H501" t="str">
            <v>Renovación vale 5</v>
          </cell>
          <cell r="I501" t="str">
            <v>Itaú</v>
          </cell>
          <cell r="K501">
            <v>380000</v>
          </cell>
          <cell r="L501">
            <v>142604.46999999997</v>
          </cell>
          <cell r="P501" t="str">
            <v/>
          </cell>
        </row>
        <row r="502">
          <cell r="F502">
            <v>46049</v>
          </cell>
          <cell r="G502" t="str">
            <v>Imprevistos obra</v>
          </cell>
          <cell r="H502" t="str">
            <v>Estudio hormigón fresco</v>
          </cell>
          <cell r="I502" t="str">
            <v>Linsu</v>
          </cell>
          <cell r="J502">
            <v>696.3</v>
          </cell>
          <cell r="K502">
            <v>3861.3</v>
          </cell>
          <cell r="L502">
            <v>138743.16999999998</v>
          </cell>
          <cell r="P502" t="str">
            <v/>
          </cell>
        </row>
        <row r="503">
          <cell r="F503">
            <v>46049</v>
          </cell>
          <cell r="G503" t="str">
            <v>Imprevistos operativos</v>
          </cell>
          <cell r="H503" t="str">
            <v>Gastos bancarios</v>
          </cell>
          <cell r="I503" t="str">
            <v>Itaú</v>
          </cell>
          <cell r="K503">
            <v>1.9</v>
          </cell>
          <cell r="L503">
            <v>138741.26999999999</v>
          </cell>
          <cell r="P503" t="str">
            <v/>
          </cell>
        </row>
        <row r="504">
          <cell r="F504">
            <v>46049</v>
          </cell>
          <cell r="G504" t="str">
            <v>Imprevistos operativos</v>
          </cell>
          <cell r="H504" t="str">
            <v>Honorarios segunda certificación avance de obra</v>
          </cell>
          <cell r="I504" t="str">
            <v>Valora (Estudio Cersosimo)</v>
          </cell>
          <cell r="J504">
            <v>281.60000000000002</v>
          </cell>
          <cell r="K504">
            <v>1561.6</v>
          </cell>
          <cell r="L504">
            <v>137179.66999999998</v>
          </cell>
          <cell r="P504" t="str">
            <v/>
          </cell>
        </row>
        <row r="505">
          <cell r="F505">
            <v>46049</v>
          </cell>
          <cell r="H505" t="str">
            <v>Cambio</v>
          </cell>
          <cell r="K505">
            <v>10526.32</v>
          </cell>
          <cell r="L505">
            <v>126653.34999999998</v>
          </cell>
          <cell r="P505" t="str">
            <v/>
          </cell>
        </row>
        <row r="506">
          <cell r="F506">
            <v>46049</v>
          </cell>
          <cell r="G506" t="str">
            <v>Imprevistos obra</v>
          </cell>
          <cell r="H506" t="str">
            <v>Honorarios ajuste PE</v>
          </cell>
          <cell r="I506" t="str">
            <v>Gómez Platero</v>
          </cell>
          <cell r="K506">
            <v>2100</v>
          </cell>
          <cell r="L506">
            <v>124553.34999999998</v>
          </cell>
          <cell r="P506" t="str">
            <v/>
          </cell>
        </row>
        <row r="507">
          <cell r="F507">
            <v>46051</v>
          </cell>
          <cell r="G507" t="str">
            <v>Development fee por etapa 1 y 2</v>
          </cell>
          <cell r="H507" t="str">
            <v>Honorarios profesionales (22/24)</v>
          </cell>
          <cell r="I507" t="str">
            <v>DDC</v>
          </cell>
          <cell r="J507">
            <v>16766.64</v>
          </cell>
          <cell r="K507">
            <v>92978.64</v>
          </cell>
          <cell r="L507">
            <v>31574.709999999977</v>
          </cell>
          <cell r="P507" t="str">
            <v/>
          </cell>
        </row>
        <row r="508">
          <cell r="F508">
            <v>46057</v>
          </cell>
          <cell r="H508" t="str">
            <v>Cambio</v>
          </cell>
          <cell r="K508">
            <v>7786.14</v>
          </cell>
          <cell r="L508">
            <v>23788.569999999978</v>
          </cell>
          <cell r="P508" t="str">
            <v/>
          </cell>
        </row>
        <row r="509">
          <cell r="F509">
            <v>46057</v>
          </cell>
          <cell r="G509" t="str">
            <v>Publicidad por etapa 1 y 2</v>
          </cell>
          <cell r="H509" t="str">
            <v>Baños químicos evento navidad</v>
          </cell>
          <cell r="I509" t="str">
            <v>Grupo Lusso</v>
          </cell>
          <cell r="J509">
            <v>107.8</v>
          </cell>
          <cell r="K509">
            <v>597.79999999999995</v>
          </cell>
          <cell r="L509">
            <v>23190.769999999979</v>
          </cell>
          <cell r="P509" t="str">
            <v/>
          </cell>
        </row>
        <row r="510">
          <cell r="F510">
            <v>46063</v>
          </cell>
          <cell r="G510" t="str">
            <v>Seguro de obra por etapa 1 y 2</v>
          </cell>
          <cell r="H510" t="str">
            <v>Seguro de obra cuota 13/18</v>
          </cell>
          <cell r="I510" t="str">
            <v>Sura</v>
          </cell>
          <cell r="J510">
            <v>322.67</v>
          </cell>
          <cell r="K510">
            <v>1789.37</v>
          </cell>
          <cell r="L510">
            <v>21401.39999999998</v>
          </cell>
          <cell r="P510" t="str">
            <v/>
          </cell>
        </row>
        <row r="511">
          <cell r="F511">
            <v>46064</v>
          </cell>
          <cell r="G511" t="str">
            <v>Publicidad por etapa 1 y 2</v>
          </cell>
          <cell r="H511" t="str">
            <v>Reintegro pauta digital noviembre 2025 (tarjeta de crédito)</v>
          </cell>
          <cell r="I511" t="str">
            <v>Delta</v>
          </cell>
          <cell r="K511">
            <v>917.46</v>
          </cell>
          <cell r="L511">
            <v>20483.939999999981</v>
          </cell>
          <cell r="P511" t="str">
            <v/>
          </cell>
        </row>
        <row r="512">
          <cell r="F512">
            <v>46064</v>
          </cell>
          <cell r="G512" t="str">
            <v>Publicidad por etapa 1 y 2</v>
          </cell>
          <cell r="H512" t="str">
            <v>Reintegro pauta digital enero 2026 (tarjeta de crédito)</v>
          </cell>
          <cell r="I512" t="str">
            <v>Delta</v>
          </cell>
          <cell r="K512">
            <v>500.11</v>
          </cell>
          <cell r="L512">
            <v>19983.82999999998</v>
          </cell>
          <cell r="P512" t="str">
            <v/>
          </cell>
        </row>
        <row r="513">
          <cell r="F513">
            <v>46064</v>
          </cell>
          <cell r="G513" t="str">
            <v>Publicidad por etapa 1 y 2</v>
          </cell>
          <cell r="H513" t="str">
            <v>Contenido evento Navidad</v>
          </cell>
          <cell r="I513" t="str">
            <v>Sofía Montes de Oca</v>
          </cell>
          <cell r="K513">
            <v>200</v>
          </cell>
          <cell r="L513">
            <v>19783.82999999998</v>
          </cell>
          <cell r="P513" t="str">
            <v/>
          </cell>
        </row>
        <row r="514">
          <cell r="F514">
            <v>46064</v>
          </cell>
          <cell r="G514" t="str">
            <v>Publicidad por etapa 1 y 2</v>
          </cell>
          <cell r="H514" t="str">
            <v>Reintegro pauta digital diciembre 2025 (tarjeta de crédito)</v>
          </cell>
          <cell r="I514" t="str">
            <v>Delta</v>
          </cell>
          <cell r="K514">
            <v>990.61</v>
          </cell>
          <cell r="L514">
            <v>18793.219999999979</v>
          </cell>
          <cell r="P514" t="str">
            <v/>
          </cell>
        </row>
        <row r="515">
          <cell r="F515">
            <v>46064</v>
          </cell>
          <cell r="H515" t="str">
            <v>Cambio</v>
          </cell>
          <cell r="K515">
            <v>4669.26</v>
          </cell>
          <cell r="L515">
            <v>14123.959999999979</v>
          </cell>
          <cell r="P515" t="str">
            <v/>
          </cell>
        </row>
        <row r="516">
          <cell r="F516">
            <v>46071</v>
          </cell>
          <cell r="G516" t="str">
            <v>Imprevistos operativos</v>
          </cell>
          <cell r="H516" t="str">
            <v>Traspaso ubranización para gastos bancarios</v>
          </cell>
          <cell r="I516" t="str">
            <v>Itaú</v>
          </cell>
          <cell r="K516">
            <v>1123.8499999999999</v>
          </cell>
          <cell r="L516">
            <v>13000.109999999979</v>
          </cell>
          <cell r="P516" t="str">
            <v/>
          </cell>
        </row>
        <row r="517">
          <cell r="F517">
            <v>46073</v>
          </cell>
          <cell r="H517" t="str">
            <v>Renovación Vale 6</v>
          </cell>
          <cell r="I517" t="str">
            <v>Itaú</v>
          </cell>
          <cell r="K517">
            <v>670000</v>
          </cell>
          <cell r="L517">
            <v>-656999.89</v>
          </cell>
          <cell r="P517" t="str">
            <v/>
          </cell>
        </row>
        <row r="518">
          <cell r="F518">
            <v>46073</v>
          </cell>
          <cell r="G518" t="str">
            <v>Intereses perdidos</v>
          </cell>
          <cell r="H518" t="str">
            <v>Intereses Vale 6</v>
          </cell>
          <cell r="I518" t="str">
            <v>Itaú</v>
          </cell>
          <cell r="K518">
            <v>9320.89</v>
          </cell>
          <cell r="L518">
            <v>-666320.78</v>
          </cell>
        </row>
        <row r="519">
          <cell r="F519">
            <v>46073</v>
          </cell>
          <cell r="H519" t="str">
            <v>Renovación Vale 3</v>
          </cell>
          <cell r="I519" t="str">
            <v>Itaú</v>
          </cell>
          <cell r="K519">
            <v>450000</v>
          </cell>
          <cell r="L519">
            <v>-1116320.78</v>
          </cell>
          <cell r="P519" t="str">
            <v/>
          </cell>
        </row>
        <row r="520">
          <cell r="F520">
            <v>46073</v>
          </cell>
          <cell r="G520" t="str">
            <v>Intereses perdidos</v>
          </cell>
          <cell r="H520" t="str">
            <v>Intereses Vale 3</v>
          </cell>
          <cell r="I520" t="str">
            <v>Itaú</v>
          </cell>
          <cell r="K520">
            <v>6260.3</v>
          </cell>
          <cell r="L520">
            <v>-1122581.08</v>
          </cell>
        </row>
        <row r="521">
          <cell r="F521">
            <v>46073</v>
          </cell>
          <cell r="L521">
            <v>-452581.08000000007</v>
          </cell>
          <cell r="M521">
            <v>670000</v>
          </cell>
          <cell r="P521" t="str">
            <v/>
          </cell>
          <cell r="Q521" t="str">
            <v>Renovación vale 6</v>
          </cell>
        </row>
        <row r="522">
          <cell r="F522">
            <v>46073</v>
          </cell>
          <cell r="L522">
            <v>-2581.0800000000745</v>
          </cell>
          <cell r="M522">
            <v>450000</v>
          </cell>
          <cell r="Q522" t="str">
            <v>Renovación vale 3</v>
          </cell>
        </row>
        <row r="523">
          <cell r="F523">
            <v>46073</v>
          </cell>
          <cell r="L523">
            <v>282418.91999999993</v>
          </cell>
          <cell r="M523">
            <v>285000</v>
          </cell>
          <cell r="O523">
            <v>602</v>
          </cell>
          <cell r="P523" t="str">
            <v>Vales ITAU</v>
          </cell>
          <cell r="Q523" t="str">
            <v>Vale Itaú 9</v>
          </cell>
        </row>
        <row r="524">
          <cell r="F524">
            <v>46076</v>
          </cell>
          <cell r="H524" t="str">
            <v>Cambio</v>
          </cell>
          <cell r="K524">
            <v>343080.93</v>
          </cell>
          <cell r="L524">
            <v>-60662.010000000068</v>
          </cell>
          <cell r="P524" t="str">
            <v/>
          </cell>
        </row>
        <row r="525">
          <cell r="F525">
            <v>46076</v>
          </cell>
          <cell r="L525">
            <v>89337.989999999932</v>
          </cell>
          <cell r="M525">
            <v>150000</v>
          </cell>
          <cell r="P525" t="str">
            <v/>
          </cell>
          <cell r="Q525" t="str">
            <v>Traspaso de rec a op</v>
          </cell>
        </row>
        <row r="526">
          <cell r="F526">
            <v>46077</v>
          </cell>
          <cell r="H526" t="str">
            <v>Cambio</v>
          </cell>
          <cell r="K526">
            <v>2608.2399999999998</v>
          </cell>
          <cell r="L526">
            <v>86729.749999999927</v>
          </cell>
          <cell r="P526" t="str">
            <v/>
          </cell>
        </row>
        <row r="527">
          <cell r="F527">
            <v>46077</v>
          </cell>
          <cell r="G527" t="str">
            <v>Publicidad por etapa 1 y 2</v>
          </cell>
          <cell r="H527" t="str">
            <v>Fumigación evento Navidad</v>
          </cell>
          <cell r="I527" t="str">
            <v>Exterminex</v>
          </cell>
          <cell r="J527">
            <v>165</v>
          </cell>
          <cell r="K527">
            <v>915</v>
          </cell>
          <cell r="L527">
            <v>85814.749999999927</v>
          </cell>
          <cell r="P527" t="str">
            <v/>
          </cell>
        </row>
        <row r="528">
          <cell r="F528">
            <v>46077</v>
          </cell>
          <cell r="G528" t="str">
            <v>Suministros</v>
          </cell>
          <cell r="H528" t="str">
            <v>Llaves de paso edificios 2 y 3</v>
          </cell>
          <cell r="I528" t="str">
            <v>Arho</v>
          </cell>
          <cell r="J528">
            <v>956.8</v>
          </cell>
          <cell r="K528">
            <v>5305.89</v>
          </cell>
          <cell r="L528">
            <v>80508.859999999928</v>
          </cell>
          <cell r="P528" t="str">
            <v/>
          </cell>
        </row>
        <row r="529">
          <cell r="F529">
            <v>46080</v>
          </cell>
          <cell r="L529">
            <v>165508.85999999993</v>
          </cell>
          <cell r="M529">
            <v>85000</v>
          </cell>
          <cell r="P529" t="str">
            <v/>
          </cell>
          <cell r="Q529" t="str">
            <v>Traspaso de rec a op</v>
          </cell>
        </row>
        <row r="530">
          <cell r="F530">
            <v>46080</v>
          </cell>
          <cell r="G530" t="str">
            <v>Development fee por etapa 1 y 2</v>
          </cell>
          <cell r="H530" t="str">
            <v>Honorarios profesionales (23/24)</v>
          </cell>
          <cell r="I530" t="str">
            <v>DDC</v>
          </cell>
          <cell r="J530">
            <v>16766.64</v>
          </cell>
          <cell r="K530">
            <v>92978.64</v>
          </cell>
          <cell r="L530">
            <v>72530.219999999928</v>
          </cell>
          <cell r="P530" t="str">
            <v/>
          </cell>
        </row>
        <row r="531">
          <cell r="F531">
            <v>46080</v>
          </cell>
          <cell r="G531" t="str">
            <v>Suministros</v>
          </cell>
          <cell r="H531" t="str">
            <v>Avance luminarias (CIF)</v>
          </cell>
          <cell r="I531" t="str">
            <v>Darko</v>
          </cell>
          <cell r="K531">
            <v>70000</v>
          </cell>
          <cell r="L531">
            <v>2530.2199999999284</v>
          </cell>
          <cell r="P531" t="str">
            <v/>
          </cell>
        </row>
        <row r="532">
          <cell r="F532">
            <v>46083</v>
          </cell>
          <cell r="L532">
            <v>37530.219999999928</v>
          </cell>
          <cell r="M532">
            <v>35000</v>
          </cell>
          <cell r="P532" t="str">
            <v/>
          </cell>
          <cell r="Q532" t="str">
            <v>Traspaso de rec a op</v>
          </cell>
        </row>
        <row r="533">
          <cell r="F533">
            <v>46085</v>
          </cell>
          <cell r="G533" t="str">
            <v>Imprevistos operativos</v>
          </cell>
          <cell r="H533" t="str">
            <v>Honorarios modelo financiero BTR 07/25 - 09/25</v>
          </cell>
          <cell r="I533" t="str">
            <v>Grant Thornton</v>
          </cell>
          <cell r="J533">
            <v>396</v>
          </cell>
          <cell r="K533">
            <v>2196</v>
          </cell>
          <cell r="L533">
            <v>35334.219999999928</v>
          </cell>
          <cell r="P533" t="str">
            <v/>
          </cell>
        </row>
        <row r="534">
          <cell r="F534">
            <v>46086</v>
          </cell>
          <cell r="G534" t="str">
            <v>Imprevistos operativos</v>
          </cell>
          <cell r="H534" t="str">
            <v>Honorarios COMAP obtención de la resolución</v>
          </cell>
          <cell r="I534" t="str">
            <v>Intrust</v>
          </cell>
          <cell r="J534">
            <v>2640</v>
          </cell>
          <cell r="K534">
            <v>14640</v>
          </cell>
          <cell r="L534">
            <v>20694.219999999928</v>
          </cell>
          <cell r="P534" t="str">
            <v/>
          </cell>
        </row>
        <row r="535">
          <cell r="F535">
            <v>46087</v>
          </cell>
          <cell r="G535" t="str">
            <v>Imprevistos operativos</v>
          </cell>
          <cell r="H535" t="str">
            <v>Fichas de venta LIV 3</v>
          </cell>
          <cell r="I535" t="str">
            <v>Christian Flores</v>
          </cell>
          <cell r="J535">
            <v>170.5</v>
          </cell>
          <cell r="K535">
            <v>945.5</v>
          </cell>
          <cell r="L535">
            <v>19748.719999999928</v>
          </cell>
          <cell r="P535" t="str">
            <v/>
          </cell>
        </row>
        <row r="536">
          <cell r="F536">
            <v>46091</v>
          </cell>
          <cell r="H536" t="str">
            <v>Cambio</v>
          </cell>
          <cell r="K536">
            <v>15538.85</v>
          </cell>
          <cell r="L536">
            <v>4209.869999999928</v>
          </cell>
          <cell r="P536" t="str">
            <v/>
          </cell>
        </row>
        <row r="537">
          <cell r="F537">
            <v>46091</v>
          </cell>
          <cell r="L537">
            <v>54209.86999999993</v>
          </cell>
          <cell r="M537">
            <v>50000</v>
          </cell>
          <cell r="P537" t="str">
            <v/>
          </cell>
          <cell r="Q537" t="str">
            <v>Traspaso de rec a op</v>
          </cell>
        </row>
        <row r="538">
          <cell r="F538">
            <v>46091</v>
          </cell>
          <cell r="G538" t="str">
            <v>Seguro de obra por etapa 1 y 2</v>
          </cell>
          <cell r="H538" t="str">
            <v>Seguro de obra cuota 14/18</v>
          </cell>
          <cell r="I538" t="str">
            <v>Sura</v>
          </cell>
          <cell r="J538">
            <v>322.67</v>
          </cell>
          <cell r="K538">
            <v>1789.37</v>
          </cell>
          <cell r="L538">
            <v>52420.499999999927</v>
          </cell>
          <cell r="P538" t="str">
            <v/>
          </cell>
        </row>
        <row r="539">
          <cell r="F539">
            <v>46092</v>
          </cell>
          <cell r="H539" t="str">
            <v>Cambio</v>
          </cell>
          <cell r="K539">
            <v>1620.13</v>
          </cell>
          <cell r="L539">
            <v>50800.36999999993</v>
          </cell>
          <cell r="P539" t="str">
            <v/>
          </cell>
        </row>
        <row r="540">
          <cell r="F540">
            <v>46092</v>
          </cell>
          <cell r="G540" t="str">
            <v>Consultoria Vedor</v>
          </cell>
          <cell r="H540" t="str">
            <v>Honorarios profesionales 27</v>
          </cell>
          <cell r="I540" t="str">
            <v>Ignacio Archain</v>
          </cell>
          <cell r="J540">
            <v>1151.94</v>
          </cell>
          <cell r="K540">
            <v>6388</v>
          </cell>
          <cell r="L540">
            <v>44412.36999999993</v>
          </cell>
          <cell r="P540" t="str">
            <v/>
          </cell>
        </row>
        <row r="541">
          <cell r="F541">
            <v>46093</v>
          </cell>
          <cell r="H541" t="str">
            <v>Cambio</v>
          </cell>
          <cell r="K541">
            <v>6203.47</v>
          </cell>
          <cell r="L541">
            <v>38208.899999999929</v>
          </cell>
          <cell r="P541" t="str">
            <v/>
          </cell>
        </row>
        <row r="542">
          <cell r="F542">
            <v>46093</v>
          </cell>
          <cell r="G542" t="str">
            <v>Leed</v>
          </cell>
          <cell r="H542" t="str">
            <v>Saldo costos despacho pavimento de terrazas</v>
          </cell>
          <cell r="I542" t="str">
            <v>Rodríguez Despachantes</v>
          </cell>
          <cell r="J542">
            <v>105.6</v>
          </cell>
          <cell r="K542">
            <v>161.02000000000001</v>
          </cell>
          <cell r="L542">
            <v>38047.879999999932</v>
          </cell>
          <cell r="P542" t="str">
            <v/>
          </cell>
        </row>
        <row r="543">
          <cell r="F543">
            <v>46094</v>
          </cell>
          <cell r="G543" t="str">
            <v>Leed</v>
          </cell>
          <cell r="H543" t="str">
            <v>Anticipo costos despacho ascensores USD</v>
          </cell>
          <cell r="I543" t="str">
            <v>Rodríguez Despachantes</v>
          </cell>
          <cell r="K543">
            <v>5192</v>
          </cell>
          <cell r="L543">
            <v>32855.879999999932</v>
          </cell>
          <cell r="P543" t="str">
            <v/>
          </cell>
        </row>
        <row r="544">
          <cell r="F544">
            <v>46097</v>
          </cell>
          <cell r="G544" t="str">
            <v>Imprevistos operativos</v>
          </cell>
          <cell r="H544" t="str">
            <v>Gastos bancarios por vale</v>
          </cell>
          <cell r="I544" t="str">
            <v>LIV 3</v>
          </cell>
          <cell r="K544">
            <v>1226.31</v>
          </cell>
          <cell r="L544">
            <v>31629.569999999931</v>
          </cell>
          <cell r="P544" t="str">
            <v/>
          </cell>
        </row>
        <row r="545">
          <cell r="F545">
            <v>46098</v>
          </cell>
          <cell r="G545" t="str">
            <v>Leed</v>
          </cell>
          <cell r="H545" t="str">
            <v>Costos despacho ascensores USD definitivo (diferencia)</v>
          </cell>
          <cell r="I545" t="str">
            <v>Rodríguez Despachantes</v>
          </cell>
          <cell r="K545">
            <v>7.96</v>
          </cell>
          <cell r="L545">
            <v>31621.609999999931</v>
          </cell>
          <cell r="P545" t="str">
            <v/>
          </cell>
        </row>
        <row r="546">
          <cell r="F546">
            <v>46100</v>
          </cell>
          <cell r="H546" t="str">
            <v>Cambio</v>
          </cell>
          <cell r="K546">
            <v>1482.57</v>
          </cell>
          <cell r="L546">
            <v>30139.039999999932</v>
          </cell>
          <cell r="P546" t="str">
            <v/>
          </cell>
        </row>
        <row r="547">
          <cell r="F547">
            <v>46101</v>
          </cell>
          <cell r="H547" t="str">
            <v>Cambio</v>
          </cell>
          <cell r="K547">
            <v>529223.97</v>
          </cell>
          <cell r="L547">
            <v>-499084.93000000005</v>
          </cell>
          <cell r="P547" t="str">
            <v/>
          </cell>
        </row>
        <row r="548">
          <cell r="F548">
            <v>46101</v>
          </cell>
          <cell r="L548">
            <v>50915.069999999949</v>
          </cell>
          <cell r="M548">
            <v>550000</v>
          </cell>
          <cell r="O548">
            <v>602</v>
          </cell>
          <cell r="P548" t="str">
            <v>Vales ITAU</v>
          </cell>
          <cell r="Q548" t="str">
            <v>Vale Itaú 10</v>
          </cell>
        </row>
        <row r="549">
          <cell r="F549">
            <v>46101</v>
          </cell>
          <cell r="L549">
            <v>100915.06999999995</v>
          </cell>
          <cell r="M549">
            <v>50000</v>
          </cell>
          <cell r="P549" t="str">
            <v/>
          </cell>
          <cell r="Q549" t="str">
            <v>Traspaso de rec a op</v>
          </cell>
        </row>
        <row r="550">
          <cell r="F550">
            <v>46101</v>
          </cell>
          <cell r="G550" t="str">
            <v>Obra constructora USD</v>
          </cell>
          <cell r="H550" t="str">
            <v>Certificado 15 febrero 2026 USD</v>
          </cell>
          <cell r="I550" t="str">
            <v>Ceaosa</v>
          </cell>
          <cell r="K550">
            <v>15196.48</v>
          </cell>
          <cell r="L550">
            <v>85718.589999999953</v>
          </cell>
          <cell r="P550" t="str">
            <v/>
          </cell>
        </row>
        <row r="551">
          <cell r="F551">
            <v>46104</v>
          </cell>
          <cell r="G551" t="str">
            <v>Obra constructora USD</v>
          </cell>
          <cell r="H551" t="str">
            <v>Acopio financiero 3 (1,5%) Obra USD CIF</v>
          </cell>
          <cell r="I551" t="str">
            <v>Ceaosa</v>
          </cell>
          <cell r="K551">
            <v>6769.55</v>
          </cell>
          <cell r="L551">
            <v>78949.03999999995</v>
          </cell>
          <cell r="P551" t="str">
            <v/>
          </cell>
        </row>
        <row r="552">
          <cell r="F552">
            <v>46104</v>
          </cell>
          <cell r="G552" t="str">
            <v>Imprevistos operativos</v>
          </cell>
          <cell r="H552" t="str">
            <v>Gastos bancarios</v>
          </cell>
          <cell r="I552" t="str">
            <v>Itaú</v>
          </cell>
          <cell r="K552">
            <v>1.9</v>
          </cell>
          <cell r="L552">
            <v>78947.139999999956</v>
          </cell>
          <cell r="P552" t="str">
            <v/>
          </cell>
        </row>
        <row r="553">
          <cell r="F553">
            <v>46104</v>
          </cell>
          <cell r="G553" t="str">
            <v>Obra constructora USD</v>
          </cell>
          <cell r="H553" t="str">
            <v>Acopio financiero 3 (1,5%) Obra USD</v>
          </cell>
          <cell r="I553" t="str">
            <v>Ceaosa</v>
          </cell>
          <cell r="K553">
            <v>9561.06</v>
          </cell>
          <cell r="L553">
            <v>69386.079999999958</v>
          </cell>
          <cell r="P553" t="str">
            <v/>
          </cell>
        </row>
        <row r="554">
          <cell r="F554">
            <v>46104</v>
          </cell>
          <cell r="G554" t="str">
            <v>Imprevistos operativos</v>
          </cell>
          <cell r="H554" t="str">
            <v>Gastos bancarios</v>
          </cell>
          <cell r="I554" t="str">
            <v>Itaú</v>
          </cell>
          <cell r="K554">
            <v>1.9</v>
          </cell>
          <cell r="L554">
            <v>69384.179999999964</v>
          </cell>
          <cell r="P554" t="str">
            <v/>
          </cell>
        </row>
        <row r="555">
          <cell r="F555">
            <v>46105</v>
          </cell>
          <cell r="G555" t="str">
            <v>Publicidad por etapa 1 y 2</v>
          </cell>
          <cell r="H555" t="str">
            <v>Renovación hosting LIVdistrict</v>
          </cell>
          <cell r="I555" t="str">
            <v>I+D Media</v>
          </cell>
          <cell r="J555">
            <v>44</v>
          </cell>
          <cell r="K555">
            <v>244</v>
          </cell>
          <cell r="L555">
            <v>69140.179999999964</v>
          </cell>
          <cell r="P555" t="str">
            <v/>
          </cell>
        </row>
        <row r="556">
          <cell r="F556">
            <v>46105</v>
          </cell>
          <cell r="G556" t="str">
            <v>Imprevistos operativos</v>
          </cell>
          <cell r="H556" t="str">
            <v>Gastos bancarios</v>
          </cell>
          <cell r="I556" t="str">
            <v>Itaú</v>
          </cell>
          <cell r="K556">
            <v>1.9</v>
          </cell>
          <cell r="L556">
            <v>69138.27999999997</v>
          </cell>
          <cell r="P556" t="str">
            <v/>
          </cell>
        </row>
        <row r="557">
          <cell r="F557">
            <v>46105</v>
          </cell>
          <cell r="H557" t="str">
            <v>Cambio</v>
          </cell>
          <cell r="K557">
            <v>5947.95</v>
          </cell>
          <cell r="L557">
            <v>63190.329999999973</v>
          </cell>
          <cell r="P557" t="str">
            <v/>
          </cell>
        </row>
        <row r="558">
          <cell r="F558">
            <v>46105</v>
          </cell>
          <cell r="G558" t="str">
            <v>Dirección de obra</v>
          </cell>
          <cell r="H558" t="str">
            <v>DO febrero-marzo 2026</v>
          </cell>
          <cell r="I558" t="str">
            <v>Gómez Platero</v>
          </cell>
          <cell r="K558">
            <v>349</v>
          </cell>
          <cell r="L558">
            <v>62841.329999999973</v>
          </cell>
          <cell r="P558" t="str">
            <v/>
          </cell>
        </row>
        <row r="559">
          <cell r="F559">
            <v>46107</v>
          </cell>
          <cell r="H559" t="str">
            <v>Cambio</v>
          </cell>
          <cell r="K559">
            <v>1236.3900000000001</v>
          </cell>
          <cell r="L559">
            <v>61604.939999999973</v>
          </cell>
          <cell r="P559" t="str">
            <v/>
          </cell>
        </row>
        <row r="560">
          <cell r="F560">
            <v>46107</v>
          </cell>
          <cell r="L560">
            <v>111604.93999999997</v>
          </cell>
          <cell r="M560">
            <v>50000</v>
          </cell>
          <cell r="P560" t="str">
            <v/>
          </cell>
          <cell r="Q560" t="str">
            <v>Traspaso de rec a op</v>
          </cell>
        </row>
        <row r="561">
          <cell r="F561">
            <v>46108</v>
          </cell>
          <cell r="G561" t="str">
            <v>Consultoria Vedor</v>
          </cell>
          <cell r="H561" t="str">
            <v>Honorarios profesionales 28</v>
          </cell>
          <cell r="I561" t="str">
            <v>Ignacio Archain</v>
          </cell>
          <cell r="J561">
            <v>1076.92</v>
          </cell>
          <cell r="K561">
            <v>5972</v>
          </cell>
          <cell r="L561">
            <v>105632.93999999997</v>
          </cell>
          <cell r="P561" t="str">
            <v/>
          </cell>
        </row>
        <row r="562">
          <cell r="F562">
            <v>46108</v>
          </cell>
          <cell r="G562" t="str">
            <v>Development fee por etapa 1 y 2</v>
          </cell>
          <cell r="H562" t="str">
            <v>Honorarios profesionales (24/24)</v>
          </cell>
          <cell r="I562" t="str">
            <v>DDC</v>
          </cell>
          <cell r="J562">
            <v>16766.64</v>
          </cell>
          <cell r="K562">
            <v>92978.64</v>
          </cell>
          <cell r="L562">
            <v>12654.299999999974</v>
          </cell>
          <cell r="P562" t="str">
            <v/>
          </cell>
        </row>
        <row r="563">
          <cell r="F563">
            <v>46108</v>
          </cell>
          <cell r="G563" t="str">
            <v>Suministros</v>
          </cell>
          <cell r="H563" t="str">
            <v>Suministro regueras especiales (reintegro LP)</v>
          </cell>
          <cell r="I563" t="str">
            <v>Arho</v>
          </cell>
          <cell r="J563">
            <v>141.99</v>
          </cell>
          <cell r="K563">
            <v>787.41</v>
          </cell>
          <cell r="L563">
            <v>11866.889999999974</v>
          </cell>
          <cell r="P563" t="str">
            <v/>
          </cell>
        </row>
        <row r="564">
          <cell r="F564">
            <v>46108</v>
          </cell>
          <cell r="G564" t="str">
            <v>Leed</v>
          </cell>
          <cell r="H564" t="str">
            <v>Depósito desapacho aparatos sanitarios Bosch CIF EUR (griferías) Reintegro a Rodríguez Despachantes</v>
          </cell>
          <cell r="I564" t="str">
            <v>Rilcomar</v>
          </cell>
          <cell r="J564">
            <v>0</v>
          </cell>
          <cell r="K564">
            <v>250</v>
          </cell>
          <cell r="L564">
            <v>11616.889999999974</v>
          </cell>
          <cell r="P564" t="str">
            <v/>
          </cell>
        </row>
        <row r="565">
          <cell r="F565">
            <v>46119</v>
          </cell>
          <cell r="G565" t="str">
            <v>Imprevistos operativos</v>
          </cell>
          <cell r="H565" t="str">
            <v>Control técnico plano financiación bancaria</v>
          </cell>
          <cell r="I565" t="str">
            <v>Fernando Lema</v>
          </cell>
          <cell r="J565">
            <v>330</v>
          </cell>
          <cell r="K565">
            <v>1830</v>
          </cell>
          <cell r="L565">
            <v>9786.889999999974</v>
          </cell>
          <cell r="P565" t="str">
            <v/>
          </cell>
        </row>
        <row r="566">
          <cell r="F566">
            <v>46119</v>
          </cell>
          <cell r="G566" t="str">
            <v>Imprevistos operativos</v>
          </cell>
          <cell r="H566" t="str">
            <v>Gastos bancarios</v>
          </cell>
          <cell r="I566" t="str">
            <v>Itaú</v>
          </cell>
          <cell r="K566">
            <v>1.9</v>
          </cell>
          <cell r="L566">
            <v>9784.9899999999743</v>
          </cell>
          <cell r="P566" t="str">
            <v/>
          </cell>
        </row>
        <row r="567">
          <cell r="F567">
            <v>46119</v>
          </cell>
          <cell r="L567">
            <v>84784.989999999976</v>
          </cell>
          <cell r="M567">
            <v>75000</v>
          </cell>
          <cell r="P567" t="str">
            <v/>
          </cell>
          <cell r="Q567" t="str">
            <v>Traspaso de rec a op</v>
          </cell>
        </row>
        <row r="568">
          <cell r="F568">
            <v>46119</v>
          </cell>
          <cell r="G568" t="str">
            <v>Development fee por etapa 1 y 2</v>
          </cell>
          <cell r="H568" t="str">
            <v>Honorarios profesionales LIV 3 (1/24)</v>
          </cell>
          <cell r="I568" t="str">
            <v>DDC</v>
          </cell>
          <cell r="J568">
            <v>9131.98</v>
          </cell>
          <cell r="K568">
            <v>50640</v>
          </cell>
          <cell r="L568">
            <v>34144.989999999976</v>
          </cell>
          <cell r="P568" t="str">
            <v/>
          </cell>
        </row>
        <row r="569">
          <cell r="F569">
            <v>46119</v>
          </cell>
          <cell r="G569" t="str">
            <v>Publicidad por etapa 1 y 2</v>
          </cell>
          <cell r="H569" t="str">
            <v>Pauta digital febrero 2026 (tarjeta de crédito)</v>
          </cell>
          <cell r="I569" t="str">
            <v>Delta</v>
          </cell>
          <cell r="K569">
            <v>547.29999999999995</v>
          </cell>
          <cell r="L569">
            <v>33597.689999999973</v>
          </cell>
          <cell r="P569" t="str">
            <v/>
          </cell>
        </row>
        <row r="570">
          <cell r="F570">
            <v>46122</v>
          </cell>
          <cell r="G570" t="str">
            <v>Seguro de obra por etapa 1 y 2</v>
          </cell>
          <cell r="H570" t="str">
            <v>Seguro de obra cuota 15/18</v>
          </cell>
          <cell r="I570" t="str">
            <v>Sura</v>
          </cell>
          <cell r="J570">
            <v>322.67</v>
          </cell>
          <cell r="K570">
            <v>1789.37</v>
          </cell>
          <cell r="L570">
            <v>31808.319999999974</v>
          </cell>
          <cell r="P570" t="str">
            <v/>
          </cell>
        </row>
        <row r="571">
          <cell r="F571">
            <v>46125</v>
          </cell>
          <cell r="H571" t="str">
            <v>Cambio</v>
          </cell>
          <cell r="K571">
            <v>2503.12</v>
          </cell>
          <cell r="L571">
            <v>29305.199999999975</v>
          </cell>
          <cell r="P571" t="str">
            <v/>
          </cell>
        </row>
        <row r="572">
          <cell r="F572">
            <v>46127</v>
          </cell>
          <cell r="G572" t="str">
            <v>Imprevistos operativos</v>
          </cell>
          <cell r="H572" t="str">
            <v>DEB. VARIOS TASA CONTROL</v>
          </cell>
          <cell r="I572" t="str">
            <v>Itaú</v>
          </cell>
          <cell r="K572">
            <v>142.33000000000001</v>
          </cell>
          <cell r="L572">
            <v>29162.869999999974</v>
          </cell>
          <cell r="P572" t="str">
            <v/>
          </cell>
        </row>
        <row r="573">
          <cell r="F573">
            <v>46127</v>
          </cell>
          <cell r="G573" t="str">
            <v>Imprevistos operativos</v>
          </cell>
          <cell r="H573" t="str">
            <v>DEB. VARIOS TASA CONTROL</v>
          </cell>
          <cell r="I573" t="str">
            <v>Itaú</v>
          </cell>
          <cell r="K573">
            <v>152.72999999999999</v>
          </cell>
          <cell r="L573">
            <v>29010.139999999974</v>
          </cell>
          <cell r="P573" t="str">
            <v/>
          </cell>
        </row>
        <row r="574">
          <cell r="F574">
            <v>46127</v>
          </cell>
          <cell r="G574" t="str">
            <v>Imprevistos operativos</v>
          </cell>
          <cell r="H574" t="str">
            <v xml:space="preserve">PREST. COMP.LEY 18.396  </v>
          </cell>
          <cell r="I574" t="str">
            <v>Itaú</v>
          </cell>
          <cell r="K574">
            <v>545.61</v>
          </cell>
          <cell r="L574">
            <v>28464.529999999973</v>
          </cell>
          <cell r="P574" t="str">
            <v/>
          </cell>
        </row>
        <row r="575">
          <cell r="F575">
            <v>46127</v>
          </cell>
          <cell r="G575" t="str">
            <v>Imprevistos operativos</v>
          </cell>
          <cell r="H575" t="str">
            <v xml:space="preserve">PREST. COMP.LEY 18.396  </v>
          </cell>
          <cell r="I575" t="str">
            <v>Itaú</v>
          </cell>
          <cell r="K575">
            <v>585.5</v>
          </cell>
          <cell r="L575">
            <v>27879.029999999973</v>
          </cell>
          <cell r="P575" t="str">
            <v/>
          </cell>
        </row>
        <row r="576">
          <cell r="F576">
            <v>46129</v>
          </cell>
          <cell r="G576" t="str">
            <v>Publicidad por etapa 1 y 2</v>
          </cell>
          <cell r="H576" t="str">
            <v>Evento cine</v>
          </cell>
          <cell r="I576" t="str">
            <v>Movie</v>
          </cell>
          <cell r="J576">
            <v>990</v>
          </cell>
          <cell r="K576">
            <v>5490</v>
          </cell>
          <cell r="L576">
            <v>22389.029999999973</v>
          </cell>
          <cell r="P576" t="str">
            <v/>
          </cell>
        </row>
        <row r="577">
          <cell r="F577">
            <v>46129</v>
          </cell>
          <cell r="G577" t="str">
            <v>Suministros</v>
          </cell>
          <cell r="H577" t="str">
            <v>Avance honorarios interiorismo</v>
          </cell>
          <cell r="I577" t="str">
            <v>Hassen Balut</v>
          </cell>
          <cell r="K577">
            <v>11630</v>
          </cell>
          <cell r="L577">
            <v>10759.029999999973</v>
          </cell>
          <cell r="P577" t="str">
            <v/>
          </cell>
        </row>
        <row r="578">
          <cell r="F578">
            <v>46136</v>
          </cell>
          <cell r="H578" t="str">
            <v>Cambio</v>
          </cell>
          <cell r="K578">
            <v>89480.35</v>
          </cell>
          <cell r="L578">
            <v>-78721.320000000036</v>
          </cell>
          <cell r="P578" t="str">
            <v/>
          </cell>
        </row>
        <row r="579">
          <cell r="F579">
            <v>46136</v>
          </cell>
          <cell r="L579">
            <v>21278.679999999964</v>
          </cell>
          <cell r="M579">
            <v>100000</v>
          </cell>
          <cell r="P579" t="str">
            <v/>
          </cell>
          <cell r="Q579" t="str">
            <v>Traspaso de rec a op</v>
          </cell>
        </row>
        <row r="580">
          <cell r="F580">
            <v>46141</v>
          </cell>
          <cell r="H580" t="str">
            <v>Cambio</v>
          </cell>
          <cell r="K580">
            <v>4342.43</v>
          </cell>
          <cell r="L580">
            <v>16936.249999999964</v>
          </cell>
          <cell r="P580" t="str">
            <v/>
          </cell>
        </row>
        <row r="581">
          <cell r="F581">
            <v>46141</v>
          </cell>
          <cell r="L581">
            <v>111936.24999999997</v>
          </cell>
          <cell r="M581">
            <v>95000</v>
          </cell>
          <cell r="P581" t="str">
            <v/>
          </cell>
          <cell r="Q581" t="str">
            <v>Traspaso de rec a op</v>
          </cell>
        </row>
        <row r="582">
          <cell r="F582">
            <v>46141</v>
          </cell>
          <cell r="L582">
            <v>162577.22999999998</v>
          </cell>
          <cell r="M582">
            <v>50640.98</v>
          </cell>
          <cell r="Q582" t="str">
            <v>Honorarios development fee (LIV 3)</v>
          </cell>
        </row>
        <row r="583">
          <cell r="F583">
            <v>46141</v>
          </cell>
          <cell r="G583" t="str">
            <v>Obra constructora USD</v>
          </cell>
          <cell r="H583" t="str">
            <v>Avance básico marzo 2026 USD plaza - reteciones</v>
          </cell>
          <cell r="I583" t="str">
            <v>Ceaosa</v>
          </cell>
          <cell r="K583">
            <v>17556.669999999998</v>
          </cell>
          <cell r="L583">
            <v>145020.56</v>
          </cell>
          <cell r="P583" t="str">
            <v/>
          </cell>
        </row>
        <row r="584">
          <cell r="F584">
            <v>46141</v>
          </cell>
          <cell r="G584" t="str">
            <v>Obra constructora USD</v>
          </cell>
          <cell r="H584" t="str">
            <v>Avance básico USD CIF, aumento USD plaza y disminución USD CIF (ascensores y adm. de subcontratos) marzo 2026</v>
          </cell>
          <cell r="I584" t="str">
            <v>Ceaosa</v>
          </cell>
          <cell r="K584">
            <v>78154.97</v>
          </cell>
          <cell r="L584">
            <v>66865.59</v>
          </cell>
          <cell r="P584" t="str">
            <v/>
          </cell>
        </row>
        <row r="585">
          <cell r="F585">
            <v>46141</v>
          </cell>
          <cell r="G585" t="str">
            <v>Development fee por etapa 1 y 2</v>
          </cell>
          <cell r="H585" t="str">
            <v>Honorarios profesionales LIV 3 (2/24)</v>
          </cell>
          <cell r="I585" t="str">
            <v>DDC</v>
          </cell>
          <cell r="J585">
            <v>9131.9500000000007</v>
          </cell>
          <cell r="K585">
            <v>50640.98</v>
          </cell>
          <cell r="L585">
            <v>16224.609999999993</v>
          </cell>
          <cell r="P585" t="str">
            <v/>
          </cell>
        </row>
        <row r="586">
          <cell r="F586">
            <v>46142</v>
          </cell>
          <cell r="H586" t="str">
            <v>Cambio</v>
          </cell>
          <cell r="K586">
            <v>17786.060000000001</v>
          </cell>
          <cell r="L586">
            <v>-1561.450000000008</v>
          </cell>
          <cell r="P586" t="str">
            <v/>
          </cell>
        </row>
        <row r="587">
          <cell r="F587">
            <v>46142</v>
          </cell>
          <cell r="L587">
            <v>938.549999999992</v>
          </cell>
          <cell r="M587">
            <v>2500</v>
          </cell>
          <cell r="P587" t="str">
            <v/>
          </cell>
          <cell r="Q587" t="str">
            <v>Traspaso de rec a op</v>
          </cell>
        </row>
        <row r="588">
          <cell r="F588">
            <v>46142</v>
          </cell>
          <cell r="G588" t="str">
            <v>Dirección de obra</v>
          </cell>
          <cell r="H588" t="str">
            <v>Dirección de obra marzo-abril 2026</v>
          </cell>
          <cell r="I588" t="str">
            <v>Gómez Platero</v>
          </cell>
          <cell r="K588">
            <v>294</v>
          </cell>
          <cell r="L588">
            <v>644.549999999992</v>
          </cell>
          <cell r="P588" t="str">
            <v/>
          </cell>
        </row>
        <row r="589">
          <cell r="F589">
            <v>46146</v>
          </cell>
          <cell r="L589">
            <v>860644.55</v>
          </cell>
          <cell r="M589">
            <v>860000</v>
          </cell>
          <cell r="P589" t="str">
            <v/>
          </cell>
          <cell r="Q589" t="str">
            <v>Renovación 5 y 8</v>
          </cell>
        </row>
        <row r="590">
          <cell r="F590">
            <v>46146</v>
          </cell>
          <cell r="L590">
            <v>1300644.55</v>
          </cell>
          <cell r="M590">
            <v>440000</v>
          </cell>
          <cell r="O590">
            <v>602</v>
          </cell>
          <cell r="Q590" t="str">
            <v>Nuevo vale 11</v>
          </cell>
        </row>
        <row r="591">
          <cell r="F591">
            <v>46146</v>
          </cell>
          <cell r="H591" t="str">
            <v>Renovación vale 5</v>
          </cell>
          <cell r="K591">
            <v>380000</v>
          </cell>
          <cell r="L591">
            <v>920644.55</v>
          </cell>
          <cell r="P591" t="str">
            <v/>
          </cell>
        </row>
        <row r="592">
          <cell r="F592">
            <v>46146</v>
          </cell>
          <cell r="G592" t="str">
            <v>Intereses perdidos</v>
          </cell>
          <cell r="H592" t="str">
            <v>Intereses vale 5</v>
          </cell>
          <cell r="K592">
            <v>5484.1</v>
          </cell>
          <cell r="L592">
            <v>915160.45000000007</v>
          </cell>
          <cell r="P592" t="str">
            <v/>
          </cell>
        </row>
        <row r="593">
          <cell r="F593">
            <v>46146</v>
          </cell>
          <cell r="H593" t="str">
            <v>Renovación vale 8</v>
          </cell>
          <cell r="K593">
            <v>480000</v>
          </cell>
          <cell r="L593">
            <v>435160.45000000007</v>
          </cell>
          <cell r="P593" t="str">
            <v/>
          </cell>
        </row>
        <row r="594">
          <cell r="F594">
            <v>46146</v>
          </cell>
          <cell r="G594" t="str">
            <v>Intereses perdidos</v>
          </cell>
          <cell r="H594" t="str">
            <v>Intereses vale 8</v>
          </cell>
          <cell r="K594">
            <v>6929.17</v>
          </cell>
          <cell r="L594">
            <v>428231.28000000009</v>
          </cell>
          <cell r="P594" t="str">
            <v/>
          </cell>
        </row>
        <row r="595">
          <cell r="F595">
            <v>46147</v>
          </cell>
          <cell r="H595" t="str">
            <v>Asesoría Gym</v>
          </cell>
          <cell r="I595" t="str">
            <v>Gabriel López</v>
          </cell>
          <cell r="K595">
            <v>500</v>
          </cell>
          <cell r="L595">
            <v>427731.28000000009</v>
          </cell>
          <cell r="P595" t="str">
            <v/>
          </cell>
        </row>
        <row r="596">
          <cell r="F596">
            <v>46147</v>
          </cell>
          <cell r="G596" t="str">
            <v>Imprevistos operativos</v>
          </cell>
          <cell r="H596" t="str">
            <v>Gastos bancarios</v>
          </cell>
          <cell r="I596" t="str">
            <v>Itaú</v>
          </cell>
          <cell r="K596">
            <v>1.9</v>
          </cell>
          <cell r="L596">
            <v>427729.38000000006</v>
          </cell>
          <cell r="P596" t="str">
            <v/>
          </cell>
        </row>
        <row r="597">
          <cell r="F597">
            <v>46147</v>
          </cell>
          <cell r="L597">
            <v>427979.38000000006</v>
          </cell>
          <cell r="M597">
            <v>250</v>
          </cell>
          <cell r="P597" t="str">
            <v/>
          </cell>
          <cell r="Q597" t="str">
            <v>Reintegro asesoría GYM - Eria</v>
          </cell>
        </row>
        <row r="598">
          <cell r="F598">
            <v>46147</v>
          </cell>
          <cell r="H598" t="str">
            <v>Cambio</v>
          </cell>
          <cell r="K598">
            <v>323735.59999999998</v>
          </cell>
          <cell r="L598">
            <v>104243.78000000009</v>
          </cell>
          <cell r="P598" t="str">
            <v/>
          </cell>
        </row>
        <row r="599">
          <cell r="F599">
            <v>46147</v>
          </cell>
          <cell r="G599" t="str">
            <v>Consultoria Vedor</v>
          </cell>
          <cell r="H599" t="str">
            <v>Consultoría Vedor cuota 29</v>
          </cell>
          <cell r="I599" t="str">
            <v>Ignacio Archain</v>
          </cell>
          <cell r="J599">
            <v>1075.29</v>
          </cell>
          <cell r="K599">
            <v>5963</v>
          </cell>
          <cell r="L599">
            <v>98280.780000000086</v>
          </cell>
          <cell r="P599" t="str">
            <v/>
          </cell>
        </row>
        <row r="600">
          <cell r="F600">
            <v>46149</v>
          </cell>
          <cell r="L600">
            <v>98530.780000000086</v>
          </cell>
          <cell r="M600">
            <v>250</v>
          </cell>
          <cell r="P600" t="str">
            <v/>
          </cell>
          <cell r="Q600" t="str">
            <v>Reintegro asesoría GYM - Eria</v>
          </cell>
        </row>
        <row r="601">
          <cell r="F601">
            <v>46150</v>
          </cell>
          <cell r="G601" t="str">
            <v>Suministros</v>
          </cell>
          <cell r="H601" t="str">
            <v xml:space="preserve">Asesoría GYM Eria </v>
          </cell>
          <cell r="I601" t="str">
            <v>Gabriel López</v>
          </cell>
          <cell r="K601">
            <v>500</v>
          </cell>
          <cell r="L601">
            <v>98030.780000000086</v>
          </cell>
          <cell r="P601" t="str">
            <v/>
          </cell>
        </row>
        <row r="602">
          <cell r="F602">
            <v>46150</v>
          </cell>
          <cell r="G602" t="str">
            <v>Imprevistos operativos</v>
          </cell>
          <cell r="H602" t="str">
            <v>Gastos bancarios</v>
          </cell>
          <cell r="I602" t="str">
            <v>Itaú</v>
          </cell>
          <cell r="K602">
            <v>1.9</v>
          </cell>
          <cell r="L602">
            <v>98028.880000000092</v>
          </cell>
          <cell r="P602" t="str">
            <v/>
          </cell>
        </row>
        <row r="603">
          <cell r="F603">
            <v>46154</v>
          </cell>
          <cell r="G603" t="str">
            <v>Seguro de obra por etapa 1 y 2</v>
          </cell>
          <cell r="H603" t="str">
            <v xml:space="preserve">Seguro de obra cuota 16/18 </v>
          </cell>
          <cell r="I603" t="str">
            <v>Sura</v>
          </cell>
          <cell r="J603">
            <v>322.67</v>
          </cell>
          <cell r="K603">
            <v>1789.37</v>
          </cell>
          <cell r="L603">
            <v>96239.510000000097</v>
          </cell>
          <cell r="P603" t="str">
            <v/>
          </cell>
        </row>
        <row r="604">
          <cell r="F604">
            <v>46154</v>
          </cell>
          <cell r="G604" t="str">
            <v>Consultoria Vedor</v>
          </cell>
          <cell r="H604" t="str">
            <v>Honorarios profesionales 30</v>
          </cell>
          <cell r="I604" t="str">
            <v>Ignacio Archain</v>
          </cell>
          <cell r="J604">
            <v>1075.48</v>
          </cell>
          <cell r="K604">
            <v>5964</v>
          </cell>
          <cell r="L604">
            <v>90275.510000000097</v>
          </cell>
          <cell r="P604" t="str">
            <v/>
          </cell>
        </row>
        <row r="605">
          <cell r="F605">
            <v>46155</v>
          </cell>
          <cell r="H605" t="str">
            <v>Cambio</v>
          </cell>
          <cell r="K605">
            <v>4375</v>
          </cell>
          <cell r="L605">
            <v>85900.510000000097</v>
          </cell>
          <cell r="P605" t="str">
            <v/>
          </cell>
        </row>
        <row r="606">
          <cell r="F606">
            <v>46155</v>
          </cell>
          <cell r="G606" t="str">
            <v>Publicidad por etapa 1 y 2</v>
          </cell>
          <cell r="H606" t="str">
            <v>Reintegro pauta digital marzo 2026 (tarjeta de crédito)</v>
          </cell>
          <cell r="I606" t="str">
            <v>Delta</v>
          </cell>
          <cell r="K606">
            <v>714.99</v>
          </cell>
          <cell r="L606">
            <v>85185.520000000091</v>
          </cell>
          <cell r="P606" t="str">
            <v/>
          </cell>
        </row>
        <row r="607">
          <cell r="F607">
            <v>46155</v>
          </cell>
          <cell r="G607" t="str">
            <v>Publicidad por etapa 1 y 2</v>
          </cell>
          <cell r="H607" t="str">
            <v xml:space="preserve">Reparación cartel caído </v>
          </cell>
          <cell r="I607" t="str">
            <v>Señales</v>
          </cell>
          <cell r="J607">
            <v>374</v>
          </cell>
          <cell r="K607">
            <v>2074</v>
          </cell>
          <cell r="L607">
            <v>83111.520000000091</v>
          </cell>
          <cell r="P607" t="str">
            <v/>
          </cell>
        </row>
        <row r="608">
          <cell r="F608">
            <v>46155</v>
          </cell>
          <cell r="G608" t="str">
            <v>Publicidad por etapa 1 y 2</v>
          </cell>
          <cell r="H608" t="str">
            <v>Reintegro pauta digital abril 2026 (tarjeta de crédito)</v>
          </cell>
          <cell r="I608" t="str">
            <v>Delta</v>
          </cell>
          <cell r="K608">
            <v>484.76</v>
          </cell>
          <cell r="L608">
            <v>82626.760000000097</v>
          </cell>
          <cell r="P608" t="str">
            <v/>
          </cell>
        </row>
        <row r="609">
          <cell r="F609">
            <v>46155</v>
          </cell>
          <cell r="G609" t="str">
            <v>Suministros</v>
          </cell>
          <cell r="H609" t="str">
            <v>Suministro sifones de baño</v>
          </cell>
          <cell r="I609" t="str">
            <v>Rozen</v>
          </cell>
          <cell r="J609">
            <v>637.75</v>
          </cell>
          <cell r="K609">
            <v>3536.61</v>
          </cell>
          <cell r="L609">
            <v>79090.150000000096</v>
          </cell>
          <cell r="P609" t="str">
            <v/>
          </cell>
        </row>
        <row r="610">
          <cell r="F610">
            <v>46157</v>
          </cell>
          <cell r="G610" t="str">
            <v>Imprevistos operativos</v>
          </cell>
          <cell r="H610" t="str">
            <v>DEB. VARIOS TASA CONTROL</v>
          </cell>
          <cell r="I610" t="str">
            <v>Itaú</v>
          </cell>
          <cell r="K610">
            <v>142.94999999999999</v>
          </cell>
          <cell r="L610">
            <v>78947.200000000099</v>
          </cell>
          <cell r="P610" t="str">
            <v/>
          </cell>
        </row>
        <row r="611">
          <cell r="F611">
            <v>46157</v>
          </cell>
          <cell r="G611" t="str">
            <v>Imprevistos operativos</v>
          </cell>
          <cell r="H611" t="str">
            <v>DEB. VARIOS TASA CONTROL</v>
          </cell>
          <cell r="I611" t="str">
            <v>Itaú</v>
          </cell>
          <cell r="K611">
            <v>153.4</v>
          </cell>
          <cell r="L611">
            <v>78793.800000000105</v>
          </cell>
          <cell r="P611" t="str">
            <v/>
          </cell>
        </row>
        <row r="612">
          <cell r="F612">
            <v>46157</v>
          </cell>
          <cell r="G612" t="str">
            <v>Imprevistos operativos</v>
          </cell>
          <cell r="H612" t="str">
            <v>PREST. COMP.LEY 18.396</v>
          </cell>
          <cell r="I612" t="str">
            <v>Itaú</v>
          </cell>
          <cell r="K612">
            <v>548</v>
          </cell>
          <cell r="L612">
            <v>78245.800000000105</v>
          </cell>
          <cell r="P612" t="str">
            <v/>
          </cell>
        </row>
        <row r="613">
          <cell r="F613">
            <v>46157</v>
          </cell>
          <cell r="G613" t="str">
            <v>Imprevistos operativos</v>
          </cell>
          <cell r="H613" t="str">
            <v>PREST. COMP.LEY 18.396</v>
          </cell>
          <cell r="I613" t="str">
            <v>Itaú</v>
          </cell>
          <cell r="K613">
            <v>588.08000000000004</v>
          </cell>
          <cell r="L613">
            <v>77657.720000000103</v>
          </cell>
          <cell r="P613" t="str">
            <v/>
          </cell>
        </row>
        <row r="614">
          <cell r="F614">
            <v>46163</v>
          </cell>
          <cell r="L614">
            <v>1482657.7200000002</v>
          </cell>
          <cell r="M614">
            <v>1405000</v>
          </cell>
          <cell r="P614" t="str">
            <v/>
          </cell>
          <cell r="Q614" t="str">
            <v>Renovación 3, 6 y 9</v>
          </cell>
        </row>
        <row r="615">
          <cell r="F615">
            <v>46163</v>
          </cell>
          <cell r="L615">
            <v>2102657.7200000002</v>
          </cell>
          <cell r="M615">
            <v>620000</v>
          </cell>
          <cell r="O615">
            <v>602</v>
          </cell>
          <cell r="Q615" t="str">
            <v>Nuevo vale 12</v>
          </cell>
        </row>
        <row r="616">
          <cell r="F616">
            <v>46163</v>
          </cell>
          <cell r="H616" t="str">
            <v>Cambio</v>
          </cell>
          <cell r="K616">
            <v>286415.09000000003</v>
          </cell>
          <cell r="L616">
            <v>1816242.6300000001</v>
          </cell>
          <cell r="P616" t="str">
            <v/>
          </cell>
        </row>
        <row r="617">
          <cell r="F617">
            <v>46163</v>
          </cell>
          <cell r="G617" t="str">
            <v>Obra constructora USD</v>
          </cell>
          <cell r="H617" t="str">
            <v>Avance básico USD CIF, aumento USD plaza y disminución USD CIF (ascensores y adm. de subcontratos) abril 2026</v>
          </cell>
          <cell r="I617" t="str">
            <v>Ceaosa</v>
          </cell>
          <cell r="K617">
            <v>1887.38</v>
          </cell>
          <cell r="L617">
            <v>1814355.2500000002</v>
          </cell>
          <cell r="P617" t="str">
            <v/>
          </cell>
        </row>
        <row r="618">
          <cell r="F618">
            <v>46163</v>
          </cell>
          <cell r="G618" t="str">
            <v>Obra constructora USD</v>
          </cell>
          <cell r="H618" t="str">
            <v>Avance básico abril USD - retenciones</v>
          </cell>
          <cell r="I618" t="str">
            <v>Ceaosa</v>
          </cell>
          <cell r="K618">
            <v>31735.599999999999</v>
          </cell>
          <cell r="L618">
            <v>1782619.6500000001</v>
          </cell>
          <cell r="P618" t="str">
            <v/>
          </cell>
        </row>
        <row r="619">
          <cell r="F619">
            <v>46163</v>
          </cell>
          <cell r="G619" t="str">
            <v>Intereses perdidos</v>
          </cell>
          <cell r="H619" t="str">
            <v>Intereses vencimiento vales 3. 6. 9</v>
          </cell>
          <cell r="I619" t="str">
            <v>Itaú</v>
          </cell>
          <cell r="K619">
            <v>18540.030000000028</v>
          </cell>
          <cell r="L619">
            <v>1764079.62</v>
          </cell>
        </row>
        <row r="620">
          <cell r="F620">
            <v>46163</v>
          </cell>
          <cell r="H620" t="str">
            <v>Renovación 3, 6 y 9</v>
          </cell>
          <cell r="K620">
            <v>1405000</v>
          </cell>
          <cell r="L620">
            <v>359079.62000000011</v>
          </cell>
          <cell r="P620" t="str">
            <v/>
          </cell>
        </row>
        <row r="621">
          <cell r="F621">
            <v>46164</v>
          </cell>
          <cell r="G621" t="str">
            <v>Imprevistos operativos</v>
          </cell>
          <cell r="H621" t="str">
            <v>Honorarios tercera certificación avance obra</v>
          </cell>
          <cell r="I621" t="str">
            <v>Valora</v>
          </cell>
          <cell r="J621">
            <v>281.60000000000002</v>
          </cell>
          <cell r="K621">
            <v>1561.6</v>
          </cell>
          <cell r="L621">
            <v>357518.02000000014</v>
          </cell>
          <cell r="P621" t="str">
            <v/>
          </cell>
        </row>
        <row r="622">
          <cell r="F622">
            <v>46164</v>
          </cell>
          <cell r="G622" t="str">
            <v>Development fee por etapa 1 y 2</v>
          </cell>
          <cell r="H622" t="str">
            <v>Honorarios profesionales LIV 3 (3/24)</v>
          </cell>
          <cell r="I622" t="str">
            <v>DDC</v>
          </cell>
          <cell r="J622">
            <v>9131.98</v>
          </cell>
          <cell r="K622">
            <v>50640.98</v>
          </cell>
          <cell r="L622">
            <v>306877.04000000015</v>
          </cell>
          <cell r="P622" t="str">
            <v/>
          </cell>
        </row>
        <row r="623">
          <cell r="F623">
            <v>46167</v>
          </cell>
          <cell r="G623" t="str">
            <v>Suministros</v>
          </cell>
          <cell r="H623" t="str">
            <v>Acopio 50% perfiles bloques 1, 2 y 3</v>
          </cell>
          <cell r="I623" t="str">
            <v>Tilo</v>
          </cell>
          <cell r="K623">
            <v>5062.5</v>
          </cell>
          <cell r="L623">
            <v>301814.54000000015</v>
          </cell>
          <cell r="P623" t="str">
            <v/>
          </cell>
        </row>
        <row r="624">
          <cell r="F624">
            <v>46167</v>
          </cell>
          <cell r="G624" t="str">
            <v>Imprevistos operativos</v>
          </cell>
          <cell r="H624" t="str">
            <v>Gastos bancarios</v>
          </cell>
          <cell r="I624" t="str">
            <v>Itaú</v>
          </cell>
          <cell r="K624">
            <v>1.9</v>
          </cell>
          <cell r="L624">
            <v>301812.64000000013</v>
          </cell>
          <cell r="P624" t="str">
            <v/>
          </cell>
        </row>
        <row r="625">
          <cell r="F625">
            <v>46167</v>
          </cell>
          <cell r="G625" t="str">
            <v>Suministros</v>
          </cell>
          <cell r="H625" t="str">
            <v>Acopio 35% pisos y pegamento bloque 3</v>
          </cell>
          <cell r="I625" t="str">
            <v>Tilo</v>
          </cell>
          <cell r="K625">
            <v>43838.2</v>
          </cell>
          <cell r="L625">
            <v>257974.44000000012</v>
          </cell>
          <cell r="P625" t="str">
            <v/>
          </cell>
        </row>
        <row r="626">
          <cell r="F626">
            <v>46167</v>
          </cell>
          <cell r="G626" t="str">
            <v>Imprevistos operativos</v>
          </cell>
          <cell r="H626" t="str">
            <v>Gastos bancarios</v>
          </cell>
          <cell r="I626" t="str">
            <v>Itaú</v>
          </cell>
          <cell r="K626">
            <v>10</v>
          </cell>
          <cell r="L626">
            <v>257964.44000000012</v>
          </cell>
          <cell r="P626" t="str">
            <v/>
          </cell>
        </row>
        <row r="627">
          <cell r="F627">
            <v>46167</v>
          </cell>
          <cell r="G627" t="str">
            <v>Suministros</v>
          </cell>
          <cell r="H627" t="str">
            <v>Acopio 50% pisos y pegamentos bloque 1 y 2</v>
          </cell>
          <cell r="I627" t="str">
            <v>Tilo</v>
          </cell>
          <cell r="K627">
            <v>120617</v>
          </cell>
          <cell r="L627">
            <v>137347.44000000012</v>
          </cell>
          <cell r="P627" t="str">
            <v/>
          </cell>
        </row>
        <row r="628">
          <cell r="F628">
            <v>46167</v>
          </cell>
          <cell r="G628" t="str">
            <v>Imprevistos operativos</v>
          </cell>
          <cell r="H628" t="str">
            <v>Gastos bancarios</v>
          </cell>
          <cell r="I628" t="str">
            <v>Itaú</v>
          </cell>
          <cell r="K628">
            <v>10</v>
          </cell>
          <cell r="L628">
            <v>137337.44000000012</v>
          </cell>
          <cell r="P628" t="str">
            <v/>
          </cell>
        </row>
        <row r="629">
          <cell r="F629">
            <v>46167</v>
          </cell>
          <cell r="H629" t="str">
            <v>Cambio</v>
          </cell>
          <cell r="K629">
            <v>102002.5</v>
          </cell>
          <cell r="L629">
            <v>35334.940000000119</v>
          </cell>
          <cell r="P629" t="str">
            <v/>
          </cell>
        </row>
        <row r="630">
          <cell r="F630">
            <v>46168</v>
          </cell>
          <cell r="G630" t="str">
            <v>Dirección de obra</v>
          </cell>
          <cell r="H630" t="str">
            <v>Dirección de obra abril-mayo 2026</v>
          </cell>
          <cell r="I630" t="str">
            <v>Gómez Platero</v>
          </cell>
          <cell r="K630">
            <v>2980</v>
          </cell>
          <cell r="L630">
            <v>32354.940000000119</v>
          </cell>
          <cell r="P630" t="str">
            <v/>
          </cell>
        </row>
        <row r="631">
          <cell r="F631">
            <v>46168</v>
          </cell>
          <cell r="G631" t="str">
            <v>Suministros</v>
          </cell>
          <cell r="H631" t="str">
            <v>Pavimento de terrazas (empalomado) avance</v>
          </cell>
          <cell r="I631" t="str">
            <v>Bosch</v>
          </cell>
          <cell r="K631">
            <v>32350.13</v>
          </cell>
          <cell r="L631">
            <v>4.810000000117725</v>
          </cell>
          <cell r="P631" t="str">
            <v/>
          </cell>
        </row>
        <row r="632">
          <cell r="F632">
            <v>46169</v>
          </cell>
          <cell r="L632">
            <v>200004.81000000011</v>
          </cell>
          <cell r="M632">
            <v>200000</v>
          </cell>
          <cell r="P632" t="str">
            <v/>
          </cell>
          <cell r="Q632" t="str">
            <v>Traspaso de rec a op</v>
          </cell>
        </row>
        <row r="633">
          <cell r="F633">
            <v>46169</v>
          </cell>
          <cell r="G633" t="str">
            <v>Suministros</v>
          </cell>
          <cell r="H633" t="str">
            <v>Revestimientos y pavimentos (cerámicas) avance</v>
          </cell>
          <cell r="I633" t="str">
            <v>Bosch</v>
          </cell>
          <cell r="K633">
            <v>43160.62</v>
          </cell>
          <cell r="L633">
            <v>156844.19000000012</v>
          </cell>
          <cell r="P633" t="str">
            <v/>
          </cell>
        </row>
        <row r="634">
          <cell r="F634">
            <v>46169</v>
          </cell>
          <cell r="G634" t="str">
            <v>Suministros</v>
          </cell>
          <cell r="H634" t="str">
            <v>Aparatos sanitarios CIF USD avance</v>
          </cell>
          <cell r="I634" t="str">
            <v>Bosch</v>
          </cell>
          <cell r="K634">
            <v>64171.48</v>
          </cell>
          <cell r="L634">
            <v>92672.710000000108</v>
          </cell>
          <cell r="P634" t="str">
            <v/>
          </cell>
        </row>
        <row r="635">
          <cell r="F635">
            <v>46169</v>
          </cell>
          <cell r="G635" t="str">
            <v>Suministros</v>
          </cell>
          <cell r="H635" t="str">
            <v>Aparatos sanitarios CIF EUR en USD saldo</v>
          </cell>
          <cell r="I635" t="str">
            <v>Bosch</v>
          </cell>
          <cell r="K635">
            <v>61794.69</v>
          </cell>
          <cell r="L635">
            <v>30878.020000000106</v>
          </cell>
          <cell r="P635" t="str">
            <v/>
          </cell>
        </row>
        <row r="636">
          <cell r="F636">
            <v>46170</v>
          </cell>
          <cell r="H636" t="str">
            <v>Cambio</v>
          </cell>
          <cell r="K636">
            <v>2496.87</v>
          </cell>
          <cell r="L636">
            <v>28381.150000000107</v>
          </cell>
          <cell r="P636" t="str">
            <v/>
          </cell>
        </row>
        <row r="637">
          <cell r="F637">
            <v>46170</v>
          </cell>
          <cell r="G637" t="str">
            <v>Imprevistos obra</v>
          </cell>
          <cell r="H637" t="str">
            <v>Honorarios acondicionamiento eléctrico ajuste de proyecto OP 098</v>
          </cell>
          <cell r="I637" t="str">
            <v>Hofstadter Fregosi</v>
          </cell>
          <cell r="K637">
            <v>2250</v>
          </cell>
          <cell r="L637">
            <v>26131.150000000107</v>
          </cell>
          <cell r="P637" t="str">
            <v/>
          </cell>
        </row>
        <row r="638">
          <cell r="F638">
            <v>46170</v>
          </cell>
          <cell r="G638" t="str">
            <v>Publicidad por etapa 1 y 2</v>
          </cell>
          <cell r="H638" t="str">
            <v>Reintegro pauta digital google abril 2026 (tarjeta de crédito)</v>
          </cell>
          <cell r="I638" t="str">
            <v>DDC</v>
          </cell>
          <cell r="K638">
            <v>198.55</v>
          </cell>
          <cell r="L638">
            <v>25932.600000000108</v>
          </cell>
          <cell r="P638" t="str">
            <v/>
          </cell>
        </row>
        <row r="639">
          <cell r="F639">
            <v>46171</v>
          </cell>
          <cell r="G639" t="str">
            <v>Suministros</v>
          </cell>
          <cell r="H639" t="str">
            <v>Acopio suministro gimnasio 30%</v>
          </cell>
          <cell r="I639" t="str">
            <v>TechnoGym</v>
          </cell>
          <cell r="K639">
            <v>25038.31</v>
          </cell>
          <cell r="L639">
            <v>894.29000000010637</v>
          </cell>
          <cell r="P639" t="str">
            <v/>
          </cell>
        </row>
        <row r="640">
          <cell r="F640">
            <v>46175</v>
          </cell>
          <cell r="H640" t="str">
            <v>Cambio</v>
          </cell>
          <cell r="K640">
            <v>1246.8800000000001</v>
          </cell>
          <cell r="L640">
            <v>-352.58999999989373</v>
          </cell>
          <cell r="P640" t="str">
            <v/>
          </cell>
        </row>
        <row r="641">
          <cell r="F641">
            <v>46175</v>
          </cell>
          <cell r="L641">
            <v>39647.410000000105</v>
          </cell>
          <cell r="M641">
            <v>40000</v>
          </cell>
          <cell r="P641" t="str">
            <v/>
          </cell>
          <cell r="Q641" t="str">
            <v>Traspaso de rec a op</v>
          </cell>
        </row>
        <row r="642">
          <cell r="F642">
            <v>46177</v>
          </cell>
          <cell r="G642" t="str">
            <v>Imprevistos operativos</v>
          </cell>
          <cell r="H642" t="str">
            <v>Adelanto 50% estudio viabilidad del proyecto BTR</v>
          </cell>
          <cell r="I642" t="str">
            <v>Jones Lang Lasalle</v>
          </cell>
          <cell r="J642">
            <v>935</v>
          </cell>
          <cell r="K642">
            <v>5185</v>
          </cell>
          <cell r="L642">
            <v>34462.410000000105</v>
          </cell>
          <cell r="P642" t="str">
            <v/>
          </cell>
        </row>
        <row r="643">
          <cell r="F643">
            <v>46177</v>
          </cell>
          <cell r="G643" t="str">
            <v>Imprevistos operativos</v>
          </cell>
          <cell r="H643" t="str">
            <v>Gastos bancarios</v>
          </cell>
          <cell r="I643" t="str">
            <v>Itaú</v>
          </cell>
          <cell r="K643">
            <v>1.9</v>
          </cell>
          <cell r="L643">
            <v>34460.510000000104</v>
          </cell>
          <cell r="P643" t="str">
            <v/>
          </cell>
        </row>
        <row r="644">
          <cell r="F644">
            <v>46185</v>
          </cell>
          <cell r="G644" t="str">
            <v>Seguro de obra por etapa 1 y 2</v>
          </cell>
          <cell r="H644" t="str">
            <v>Seguro de obra cuota 17/18</v>
          </cell>
          <cell r="I644" t="str">
            <v>Sura</v>
          </cell>
          <cell r="J644">
            <v>322.67</v>
          </cell>
          <cell r="K644">
            <v>1789.37</v>
          </cell>
          <cell r="L644">
            <v>32671.140000000105</v>
          </cell>
          <cell r="P644" t="str">
            <v/>
          </cell>
        </row>
        <row r="645">
          <cell r="F645">
            <v>46188</v>
          </cell>
          <cell r="G645" t="str">
            <v>Imprevistos operativos</v>
          </cell>
          <cell r="H645" t="str">
            <v>DEB. VARIOS TASA CONTROL</v>
          </cell>
          <cell r="I645" t="str">
            <v>Itaú</v>
          </cell>
          <cell r="K645">
            <v>97.9</v>
          </cell>
          <cell r="L645">
            <v>32573.240000000103</v>
          </cell>
          <cell r="P645" t="str">
            <v/>
          </cell>
        </row>
        <row r="646">
          <cell r="F646">
            <v>46188</v>
          </cell>
          <cell r="G646" t="str">
            <v>Imprevistos operativos</v>
          </cell>
          <cell r="H646" t="str">
            <v>DEB. VARIOS TASA CONTROL</v>
          </cell>
          <cell r="I646" t="str">
            <v>Itaú</v>
          </cell>
          <cell r="K646">
            <v>277.19</v>
          </cell>
          <cell r="L646">
            <v>32296.050000000105</v>
          </cell>
          <cell r="P646" t="str">
            <v/>
          </cell>
        </row>
        <row r="647">
          <cell r="F647">
            <v>46188</v>
          </cell>
          <cell r="G647" t="str">
            <v>Imprevistos operativos</v>
          </cell>
          <cell r="H647" t="str">
            <v xml:space="preserve">PREST. COMP.LEY 18.396  </v>
          </cell>
          <cell r="I647" t="str">
            <v>Itaú</v>
          </cell>
          <cell r="K647">
            <v>375.28</v>
          </cell>
          <cell r="L647">
            <v>31920.770000000106</v>
          </cell>
          <cell r="P647" t="str">
            <v/>
          </cell>
        </row>
        <row r="648">
          <cell r="F648">
            <v>46188</v>
          </cell>
          <cell r="G648" t="str">
            <v>Imprevistos operativos</v>
          </cell>
          <cell r="H648" t="str">
            <v xml:space="preserve">PREST. COMP.LEY 18.396  </v>
          </cell>
          <cell r="I648" t="str">
            <v>Itaú</v>
          </cell>
          <cell r="K648">
            <v>1062.5899999999999</v>
          </cell>
          <cell r="L648">
            <v>30858.180000000106</v>
          </cell>
          <cell r="P648" t="str">
            <v/>
          </cell>
        </row>
        <row r="649">
          <cell r="F649">
            <v>46191</v>
          </cell>
          <cell r="G649" t="str">
            <v>Consumo UTE y OSE por etapa 1 y 2</v>
          </cell>
          <cell r="H649" t="str">
            <v>Depósitos importación Darko</v>
          </cell>
          <cell r="I649" t="str">
            <v>Depósitos Montevideo</v>
          </cell>
          <cell r="K649">
            <v>2324</v>
          </cell>
          <cell r="L649">
            <v>28534.180000000106</v>
          </cell>
          <cell r="P649" t="str">
            <v/>
          </cell>
        </row>
        <row r="650">
          <cell r="F650">
            <v>46195</v>
          </cell>
          <cell r="G650" t="str">
            <v>Consumo UTE y OSE por etapa 1 y 2</v>
          </cell>
          <cell r="H650" t="str">
            <v>Depósitos importación Darko</v>
          </cell>
          <cell r="I650" t="str">
            <v>Medlog</v>
          </cell>
          <cell r="K650">
            <v>189.13</v>
          </cell>
          <cell r="L650">
            <v>28345.050000000105</v>
          </cell>
          <cell r="P650" t="str">
            <v/>
          </cell>
        </row>
        <row r="651">
          <cell r="F651">
            <v>46195</v>
          </cell>
          <cell r="G651" t="str">
            <v>Imprevistos operativos</v>
          </cell>
          <cell r="H651" t="str">
            <v>Gastos bancarios</v>
          </cell>
          <cell r="I651" t="str">
            <v>Itaú</v>
          </cell>
          <cell r="K651">
            <v>1.9</v>
          </cell>
          <cell r="L651">
            <v>28343.150000000103</v>
          </cell>
          <cell r="P651" t="str">
            <v/>
          </cell>
        </row>
        <row r="652">
          <cell r="F652">
            <v>46195</v>
          </cell>
          <cell r="H652" t="str">
            <v>Cambio</v>
          </cell>
          <cell r="K652">
            <v>98750</v>
          </cell>
          <cell r="L652">
            <v>-70406.849999999889</v>
          </cell>
          <cell r="P652" t="str">
            <v/>
          </cell>
        </row>
        <row r="653">
          <cell r="F653">
            <v>46195</v>
          </cell>
          <cell r="G653" t="str">
            <v>LLSS</v>
          </cell>
          <cell r="H653" t="str">
            <v>Leyes sociales mayo 2026 (por error desde USD)</v>
          </cell>
          <cell r="I653" t="str">
            <v>BPS</v>
          </cell>
          <cell r="K653">
            <v>13315.16</v>
          </cell>
          <cell r="L653">
            <v>-83722.009999999893</v>
          </cell>
          <cell r="P653" t="str">
            <v/>
          </cell>
        </row>
        <row r="654">
          <cell r="F654">
            <v>46195</v>
          </cell>
          <cell r="L654">
            <v>116277.99000000011</v>
          </cell>
          <cell r="M654">
            <v>200000</v>
          </cell>
          <cell r="P654" t="str">
            <v/>
          </cell>
          <cell r="Q654" t="str">
            <v>Traspaso de rec a op</v>
          </cell>
        </row>
        <row r="655">
          <cell r="F655">
            <v>46197</v>
          </cell>
          <cell r="L655">
            <v>146277.99000000011</v>
          </cell>
          <cell r="M655">
            <v>30000</v>
          </cell>
          <cell r="P655" t="str">
            <v/>
          </cell>
          <cell r="Q655" t="str">
            <v>Traspaso de rec a op</v>
          </cell>
        </row>
        <row r="656">
          <cell r="F656">
            <v>46198</v>
          </cell>
          <cell r="H656" t="str">
            <v>Renovación vale 4, 7 y 10</v>
          </cell>
          <cell r="I656" t="str">
            <v>Itaú</v>
          </cell>
          <cell r="K656">
            <v>1650000</v>
          </cell>
          <cell r="L656">
            <v>-1503722.0099999998</v>
          </cell>
          <cell r="P656" t="str">
            <v/>
          </cell>
        </row>
        <row r="657">
          <cell r="F657">
            <v>46198</v>
          </cell>
          <cell r="G657" t="str">
            <v>Intereses perdidos</v>
          </cell>
          <cell r="H657" t="str">
            <v>Intereses vale 4, 7 y 10</v>
          </cell>
          <cell r="I657" t="str">
            <v>Itaú</v>
          </cell>
          <cell r="K657">
            <v>23611.41</v>
          </cell>
          <cell r="L657">
            <v>-1527333.4199999997</v>
          </cell>
          <cell r="P657" t="str">
            <v/>
          </cell>
        </row>
        <row r="658">
          <cell r="F658">
            <v>46198</v>
          </cell>
          <cell r="L658">
            <v>-1097333.4199999997</v>
          </cell>
          <cell r="M658">
            <v>430000</v>
          </cell>
          <cell r="O658">
            <v>602</v>
          </cell>
          <cell r="P658" t="str">
            <v>Vales ITAU</v>
          </cell>
          <cell r="Q658" t="str">
            <v>Nuevo Vale 13</v>
          </cell>
        </row>
        <row r="659">
          <cell r="F659">
            <v>46199</v>
          </cell>
          <cell r="L659">
            <v>552666.58000000031</v>
          </cell>
          <cell r="M659">
            <v>1650000</v>
          </cell>
          <cell r="Q659" t="str">
            <v>Renovación 4, 7 y 10</v>
          </cell>
        </row>
        <row r="660">
          <cell r="F660">
            <v>46198</v>
          </cell>
          <cell r="G660" t="str">
            <v>Suministros</v>
          </cell>
          <cell r="H660" t="str">
            <v>Acopio 40% suministro puertas</v>
          </cell>
          <cell r="I660" t="str">
            <v>Maderas de Brasil</v>
          </cell>
          <cell r="K660">
            <v>119782</v>
          </cell>
          <cell r="L660">
            <v>432884.58000000031</v>
          </cell>
          <cell r="P660" t="str">
            <v/>
          </cell>
        </row>
        <row r="661">
          <cell r="F661">
            <v>46198</v>
          </cell>
          <cell r="G661" t="str">
            <v>Imprevistos operativos</v>
          </cell>
          <cell r="H661" t="str">
            <v>Gastos bancarios</v>
          </cell>
          <cell r="I661" t="str">
            <v>Itaú</v>
          </cell>
          <cell r="K661">
            <v>10</v>
          </cell>
          <cell r="L661">
            <v>432874.58000000031</v>
          </cell>
          <cell r="P661" t="str">
            <v/>
          </cell>
        </row>
        <row r="662">
          <cell r="F662">
            <v>46198</v>
          </cell>
          <cell r="H662" t="str">
            <v>Cambio</v>
          </cell>
          <cell r="K662">
            <v>317762.83</v>
          </cell>
          <cell r="L662">
            <v>115111.75000000029</v>
          </cell>
          <cell r="P662" t="str">
            <v/>
          </cell>
        </row>
        <row r="663">
          <cell r="F663">
            <v>46198</v>
          </cell>
          <cell r="G663" t="str">
            <v>Development fee por etapa 1 y 2</v>
          </cell>
          <cell r="H663" t="str">
            <v>Honorarios profesionales LIV 3 cuota 4/24</v>
          </cell>
          <cell r="I663" t="str">
            <v>DDC</v>
          </cell>
          <cell r="J663">
            <v>9131.98</v>
          </cell>
          <cell r="K663">
            <v>50640.98</v>
          </cell>
          <cell r="L663">
            <v>64470.770000000288</v>
          </cell>
          <cell r="P663" t="str">
            <v/>
          </cell>
        </row>
        <row r="664">
          <cell r="F664">
            <v>46198</v>
          </cell>
          <cell r="G664" t="str">
            <v>Obra constructora USD</v>
          </cell>
          <cell r="H664" t="str">
            <v>Avance básico USD CIF, aumento USD plaza y diminución USD CIF mayo 2026 (ascensores y adm. de subcontratos)</v>
          </cell>
          <cell r="I664" t="str">
            <v>Ceaosa</v>
          </cell>
          <cell r="K664">
            <v>9079.4599999999991</v>
          </cell>
          <cell r="L664">
            <v>55391.310000000289</v>
          </cell>
          <cell r="P664" t="str">
            <v/>
          </cell>
        </row>
        <row r="665">
          <cell r="F665">
            <v>46198</v>
          </cell>
          <cell r="G665" t="str">
            <v>Obra constructora USD</v>
          </cell>
          <cell r="H665" t="str">
            <v>Certificado 4 mayo 2026 USD plaza</v>
          </cell>
          <cell r="I665" t="str">
            <v>Ceaosa</v>
          </cell>
          <cell r="K665">
            <v>33245.360000000001</v>
          </cell>
          <cell r="L665">
            <v>22145.950000000288</v>
          </cell>
          <cell r="P665" t="str">
            <v/>
          </cell>
        </row>
        <row r="666">
          <cell r="F666">
            <v>46203</v>
          </cell>
          <cell r="H666" t="str">
            <v>Cambio</v>
          </cell>
          <cell r="K666">
            <v>10741.94</v>
          </cell>
          <cell r="L666">
            <v>11404.010000000288</v>
          </cell>
          <cell r="P666" t="str">
            <v/>
          </cell>
        </row>
        <row r="667">
          <cell r="F667">
            <v>46203</v>
          </cell>
          <cell r="L667">
            <v>31404.010000000286</v>
          </cell>
          <cell r="M667">
            <v>20000</v>
          </cell>
          <cell r="P667" t="str">
            <v/>
          </cell>
          <cell r="Q667" t="str">
            <v>Traspaso de rec a op</v>
          </cell>
        </row>
        <row r="668">
          <cell r="F668">
            <v>46203</v>
          </cell>
          <cell r="G668" t="str">
            <v>Publicidad por etapa 1 y 2</v>
          </cell>
          <cell r="H668" t="str">
            <v>EC tarjeta de crédito junio 2026 (pauta digital)</v>
          </cell>
          <cell r="I668" t="str">
            <v>Delta</v>
          </cell>
          <cell r="K668">
            <v>326.77</v>
          </cell>
          <cell r="L668">
            <v>31077.240000000285</v>
          </cell>
          <cell r="P668" t="str">
            <v/>
          </cell>
        </row>
        <row r="669">
          <cell r="F669">
            <v>46203</v>
          </cell>
          <cell r="G669" t="str">
            <v>Publicidad por etapa 1 y 2</v>
          </cell>
          <cell r="H669" t="str">
            <v>Reintegro pauta digital Google mayo</v>
          </cell>
          <cell r="I669" t="str">
            <v>DDC</v>
          </cell>
          <cell r="K669">
            <v>197.61</v>
          </cell>
          <cell r="L669">
            <v>30879.630000000285</v>
          </cell>
          <cell r="P669" t="str">
            <v/>
          </cell>
        </row>
        <row r="670">
          <cell r="F670">
            <v>46203</v>
          </cell>
          <cell r="G670" t="str">
            <v>Suministros</v>
          </cell>
          <cell r="H670" t="str">
            <v>Acopio 50% suministro cerraduras eléctricas</v>
          </cell>
          <cell r="I670" t="str">
            <v>Master Key</v>
          </cell>
          <cell r="K670">
            <v>5940</v>
          </cell>
          <cell r="L670">
            <v>24939.630000000285</v>
          </cell>
          <cell r="P670" t="str">
            <v/>
          </cell>
        </row>
        <row r="671">
          <cell r="F671">
            <v>46203</v>
          </cell>
          <cell r="G671" t="str">
            <v>Suministros</v>
          </cell>
          <cell r="H671" t="str">
            <v>Suministro rejillas de baño (aparatos sanitarios)</v>
          </cell>
          <cell r="I671" t="str">
            <v>Arho</v>
          </cell>
          <cell r="J671">
            <v>462.43</v>
          </cell>
          <cell r="K671">
            <v>2564.4</v>
          </cell>
          <cell r="L671">
            <v>22375.230000000283</v>
          </cell>
          <cell r="P671" t="str">
            <v/>
          </cell>
        </row>
        <row r="672">
          <cell r="L672">
            <v>22375.230000000283</v>
          </cell>
          <cell r="P672" t="str">
            <v/>
          </cell>
        </row>
        <row r="673">
          <cell r="L673">
            <v>22375.230000000283</v>
          </cell>
          <cell r="P673" t="str">
            <v/>
          </cell>
        </row>
        <row r="674">
          <cell r="L674">
            <v>22375.230000000283</v>
          </cell>
          <cell r="P674" t="str">
            <v/>
          </cell>
        </row>
        <row r="675">
          <cell r="L675">
            <v>22375.230000000283</v>
          </cell>
          <cell r="P675" t="str">
            <v/>
          </cell>
        </row>
        <row r="676">
          <cell r="L676">
            <v>22375.230000000283</v>
          </cell>
          <cell r="P676" t="str">
            <v/>
          </cell>
        </row>
        <row r="677">
          <cell r="L677">
            <v>22375.230000000283</v>
          </cell>
          <cell r="P677" t="str">
            <v/>
          </cell>
        </row>
        <row r="678">
          <cell r="L678">
            <v>22375.230000000283</v>
          </cell>
          <cell r="P678" t="str">
            <v/>
          </cell>
        </row>
        <row r="679">
          <cell r="L679">
            <v>22375.230000000283</v>
          </cell>
          <cell r="P679" t="str">
            <v/>
          </cell>
        </row>
        <row r="680">
          <cell r="L680">
            <v>22375.230000000283</v>
          </cell>
          <cell r="P680" t="str">
            <v/>
          </cell>
        </row>
        <row r="681">
          <cell r="L681">
            <v>22375.230000000283</v>
          </cell>
          <cell r="P681" t="str">
            <v/>
          </cell>
        </row>
        <row r="682">
          <cell r="L682">
            <v>22375.230000000283</v>
          </cell>
          <cell r="P682" t="str">
            <v/>
          </cell>
        </row>
        <row r="683">
          <cell r="L683">
            <v>22375.230000000283</v>
          </cell>
          <cell r="P683" t="str">
            <v/>
          </cell>
        </row>
        <row r="684">
          <cell r="L684">
            <v>22375.230000000283</v>
          </cell>
          <cell r="P684" t="str">
            <v/>
          </cell>
        </row>
        <row r="685">
          <cell r="L685">
            <v>22375.230000000283</v>
          </cell>
          <cell r="P685" t="str">
            <v/>
          </cell>
        </row>
        <row r="686">
          <cell r="L686">
            <v>22375.230000000283</v>
          </cell>
          <cell r="P686" t="str">
            <v/>
          </cell>
        </row>
        <row r="687">
          <cell r="L687">
            <v>22375.230000000283</v>
          </cell>
          <cell r="P687" t="str">
            <v/>
          </cell>
        </row>
        <row r="688">
          <cell r="L688">
            <v>22375.230000000283</v>
          </cell>
          <cell r="P688" t="str">
            <v/>
          </cell>
        </row>
        <row r="689">
          <cell r="L689">
            <v>22375.230000000283</v>
          </cell>
          <cell r="P689" t="str">
            <v/>
          </cell>
        </row>
        <row r="690">
          <cell r="L690">
            <v>22375.230000000283</v>
          </cell>
          <cell r="P690" t="str">
            <v/>
          </cell>
        </row>
        <row r="691">
          <cell r="L691">
            <v>22375.230000000283</v>
          </cell>
          <cell r="P691" t="str">
            <v/>
          </cell>
        </row>
        <row r="692">
          <cell r="L692">
            <v>22375.230000000283</v>
          </cell>
          <cell r="P692" t="str">
            <v/>
          </cell>
        </row>
        <row r="693">
          <cell r="L693">
            <v>22375.230000000283</v>
          </cell>
          <cell r="P693" t="str">
            <v/>
          </cell>
        </row>
        <row r="694">
          <cell r="L694">
            <v>22375.230000000283</v>
          </cell>
          <cell r="P694" t="str">
            <v/>
          </cell>
        </row>
        <row r="695">
          <cell r="L695">
            <v>22375.230000000283</v>
          </cell>
          <cell r="P695" t="str">
            <v/>
          </cell>
        </row>
        <row r="696">
          <cell r="L696">
            <v>22375.230000000283</v>
          </cell>
          <cell r="P696" t="str">
            <v/>
          </cell>
        </row>
        <row r="697">
          <cell r="L697">
            <v>22375.230000000283</v>
          </cell>
          <cell r="P697" t="str">
            <v/>
          </cell>
        </row>
        <row r="698">
          <cell r="L698">
            <v>22375.230000000283</v>
          </cell>
          <cell r="P698" t="str">
            <v/>
          </cell>
        </row>
        <row r="699">
          <cell r="L699">
            <v>22375.230000000283</v>
          </cell>
          <cell r="P699" t="str">
            <v/>
          </cell>
        </row>
        <row r="700">
          <cell r="L700">
            <v>22375.230000000283</v>
          </cell>
          <cell r="P700" t="str">
            <v/>
          </cell>
        </row>
        <row r="701">
          <cell r="L701">
            <v>22375.230000000283</v>
          </cell>
          <cell r="P701" t="str">
            <v/>
          </cell>
        </row>
        <row r="702">
          <cell r="L702">
            <v>22375.230000000283</v>
          </cell>
          <cell r="P702" t="str">
            <v/>
          </cell>
        </row>
        <row r="703">
          <cell r="L703">
            <v>22375.230000000283</v>
          </cell>
          <cell r="P703" t="str">
            <v/>
          </cell>
        </row>
        <row r="704">
          <cell r="L704">
            <v>22375.230000000283</v>
          </cell>
          <cell r="P704" t="str">
            <v/>
          </cell>
        </row>
        <row r="705">
          <cell r="L705">
            <v>22375.230000000283</v>
          </cell>
          <cell r="P705" t="str">
            <v/>
          </cell>
        </row>
        <row r="706">
          <cell r="L706">
            <v>22375.230000000283</v>
          </cell>
          <cell r="P706" t="str">
            <v/>
          </cell>
        </row>
        <row r="707">
          <cell r="L707">
            <v>22375.230000000283</v>
          </cell>
          <cell r="P707" t="str">
            <v/>
          </cell>
        </row>
        <row r="708">
          <cell r="L708">
            <v>22375.230000000283</v>
          </cell>
          <cell r="P708" t="str">
            <v/>
          </cell>
        </row>
        <row r="709">
          <cell r="L709">
            <v>22375.230000000283</v>
          </cell>
          <cell r="P709" t="str">
            <v/>
          </cell>
        </row>
        <row r="710">
          <cell r="L710">
            <v>22375.230000000283</v>
          </cell>
          <cell r="P710" t="str">
            <v/>
          </cell>
        </row>
        <row r="711">
          <cell r="L711">
            <v>22375.230000000283</v>
          </cell>
          <cell r="P711" t="str">
            <v/>
          </cell>
        </row>
        <row r="712">
          <cell r="L712">
            <v>22375.230000000283</v>
          </cell>
          <cell r="P712" t="str">
            <v/>
          </cell>
        </row>
        <row r="713">
          <cell r="L713">
            <v>22375.230000000283</v>
          </cell>
          <cell r="P713" t="str">
            <v/>
          </cell>
        </row>
        <row r="714">
          <cell r="L714">
            <v>22375.230000000283</v>
          </cell>
          <cell r="P714" t="str">
            <v/>
          </cell>
        </row>
        <row r="715">
          <cell r="L715">
            <v>22375.230000000283</v>
          </cell>
          <cell r="P715" t="str">
            <v/>
          </cell>
        </row>
        <row r="716">
          <cell r="L716">
            <v>22375.230000000283</v>
          </cell>
          <cell r="P716" t="str">
            <v/>
          </cell>
        </row>
        <row r="717">
          <cell r="L717">
            <v>22375.230000000283</v>
          </cell>
          <cell r="P717" t="str">
            <v/>
          </cell>
        </row>
        <row r="718">
          <cell r="L718">
            <v>22375.230000000283</v>
          </cell>
          <cell r="P718" t="str">
            <v/>
          </cell>
        </row>
        <row r="719">
          <cell r="L719">
            <v>22375.230000000283</v>
          </cell>
          <cell r="P719" t="str">
            <v/>
          </cell>
        </row>
        <row r="720">
          <cell r="L720">
            <v>22375.230000000283</v>
          </cell>
          <cell r="P720" t="str">
            <v/>
          </cell>
        </row>
        <row r="721">
          <cell r="L721">
            <v>22375.230000000283</v>
          </cell>
          <cell r="P721" t="str">
            <v/>
          </cell>
        </row>
        <row r="722">
          <cell r="L722">
            <v>22375.230000000283</v>
          </cell>
          <cell r="P722" t="str">
            <v/>
          </cell>
        </row>
        <row r="723">
          <cell r="L723">
            <v>22375.230000000283</v>
          </cell>
          <cell r="P723" t="str">
            <v/>
          </cell>
        </row>
        <row r="724">
          <cell r="L724">
            <v>22375.230000000283</v>
          </cell>
          <cell r="P724" t="str">
            <v/>
          </cell>
        </row>
        <row r="725">
          <cell r="L725">
            <v>22375.230000000283</v>
          </cell>
          <cell r="P725" t="str">
            <v/>
          </cell>
        </row>
        <row r="726">
          <cell r="L726">
            <v>22375.230000000283</v>
          </cell>
          <cell r="P726" t="str">
            <v/>
          </cell>
        </row>
        <row r="727">
          <cell r="L727">
            <v>22375.230000000283</v>
          </cell>
          <cell r="P727" t="str">
            <v/>
          </cell>
        </row>
        <row r="728">
          <cell r="L728">
            <v>22375.230000000283</v>
          </cell>
          <cell r="P728" t="str">
            <v/>
          </cell>
        </row>
        <row r="729">
          <cell r="L729">
            <v>22375.230000000283</v>
          </cell>
          <cell r="P729" t="str">
            <v/>
          </cell>
        </row>
        <row r="730">
          <cell r="L730">
            <v>22375.230000000283</v>
          </cell>
          <cell r="P730" t="str">
            <v/>
          </cell>
        </row>
        <row r="731">
          <cell r="L731">
            <v>22375.230000000283</v>
          </cell>
          <cell r="P731" t="str">
            <v/>
          </cell>
        </row>
        <row r="732">
          <cell r="L732">
            <v>22375.230000000283</v>
          </cell>
          <cell r="P732" t="str">
            <v/>
          </cell>
        </row>
        <row r="733">
          <cell r="L733">
            <v>22375.230000000283</v>
          </cell>
          <cell r="P733" t="str">
            <v/>
          </cell>
        </row>
        <row r="734">
          <cell r="L734">
            <v>22375.230000000283</v>
          </cell>
          <cell r="P734" t="str">
            <v/>
          </cell>
        </row>
        <row r="735">
          <cell r="L735">
            <v>22375.230000000283</v>
          </cell>
          <cell r="P735" t="str">
            <v/>
          </cell>
        </row>
        <row r="736">
          <cell r="L736">
            <v>22375.230000000283</v>
          </cell>
          <cell r="P736" t="str">
            <v/>
          </cell>
        </row>
        <row r="737">
          <cell r="L737">
            <v>22375.230000000283</v>
          </cell>
          <cell r="P737" t="str">
            <v/>
          </cell>
        </row>
        <row r="738">
          <cell r="L738">
            <v>22375.230000000283</v>
          </cell>
          <cell r="P738" t="str">
            <v/>
          </cell>
        </row>
        <row r="739">
          <cell r="L739">
            <v>22375.230000000283</v>
          </cell>
          <cell r="P739" t="str">
            <v/>
          </cell>
        </row>
        <row r="740">
          <cell r="L740">
            <v>22375.230000000283</v>
          </cell>
          <cell r="P740" t="str">
            <v/>
          </cell>
        </row>
        <row r="741">
          <cell r="L741">
            <v>22375.230000000283</v>
          </cell>
          <cell r="P741" t="str">
            <v/>
          </cell>
        </row>
        <row r="742">
          <cell r="L742">
            <v>22375.230000000283</v>
          </cell>
          <cell r="P742" t="str">
            <v/>
          </cell>
        </row>
        <row r="743">
          <cell r="L743">
            <v>22375.230000000283</v>
          </cell>
          <cell r="P743" t="str">
            <v/>
          </cell>
        </row>
        <row r="744">
          <cell r="L744">
            <v>22375.230000000283</v>
          </cell>
          <cell r="P744" t="str">
            <v/>
          </cell>
        </row>
        <row r="745">
          <cell r="L745">
            <v>22375.230000000283</v>
          </cell>
          <cell r="P745" t="str">
            <v/>
          </cell>
        </row>
        <row r="746">
          <cell r="L746">
            <v>22375.230000000283</v>
          </cell>
          <cell r="P746" t="str">
            <v/>
          </cell>
        </row>
        <row r="747">
          <cell r="L747">
            <v>22375.230000000283</v>
          </cell>
          <cell r="P747" t="str">
            <v/>
          </cell>
        </row>
        <row r="748">
          <cell r="L748">
            <v>22375.230000000283</v>
          </cell>
          <cell r="P748" t="str">
            <v/>
          </cell>
        </row>
        <row r="749">
          <cell r="L749">
            <v>22375.230000000283</v>
          </cell>
          <cell r="P749" t="str">
            <v/>
          </cell>
        </row>
        <row r="750">
          <cell r="L750">
            <v>22375.230000000283</v>
          </cell>
          <cell r="P750" t="str">
            <v/>
          </cell>
        </row>
        <row r="751">
          <cell r="L751">
            <v>22375.230000000283</v>
          </cell>
          <cell r="P751" t="str">
            <v/>
          </cell>
        </row>
        <row r="752">
          <cell r="L752">
            <v>22375.230000000283</v>
          </cell>
          <cell r="P752" t="str">
            <v/>
          </cell>
        </row>
        <row r="753">
          <cell r="L753">
            <v>22375.230000000283</v>
          </cell>
          <cell r="P753" t="str">
            <v/>
          </cell>
        </row>
        <row r="754">
          <cell r="L754">
            <v>22375.230000000283</v>
          </cell>
          <cell r="P754" t="str">
            <v/>
          </cell>
        </row>
        <row r="755">
          <cell r="L755">
            <v>22375.230000000283</v>
          </cell>
          <cell r="P755" t="str">
            <v/>
          </cell>
        </row>
        <row r="756">
          <cell r="L756">
            <v>22375.230000000283</v>
          </cell>
          <cell r="P756" t="str">
            <v/>
          </cell>
        </row>
        <row r="757">
          <cell r="L757">
            <v>22375.230000000283</v>
          </cell>
          <cell r="P757" t="str">
            <v/>
          </cell>
        </row>
        <row r="758">
          <cell r="L758">
            <v>22375.230000000283</v>
          </cell>
          <cell r="P758" t="str">
            <v/>
          </cell>
        </row>
        <row r="759">
          <cell r="L759">
            <v>22375.230000000283</v>
          </cell>
          <cell r="P759" t="str">
            <v/>
          </cell>
        </row>
        <row r="760">
          <cell r="L760">
            <v>22375.230000000283</v>
          </cell>
          <cell r="P760" t="str">
            <v/>
          </cell>
        </row>
        <row r="761">
          <cell r="L761">
            <v>22375.230000000283</v>
          </cell>
          <cell r="P761" t="str">
            <v/>
          </cell>
        </row>
        <row r="762">
          <cell r="L762">
            <v>22375.230000000283</v>
          </cell>
          <cell r="P762" t="str">
            <v/>
          </cell>
        </row>
        <row r="763">
          <cell r="L763">
            <v>22375.230000000283</v>
          </cell>
          <cell r="P763" t="str">
            <v/>
          </cell>
        </row>
        <row r="764">
          <cell r="L764">
            <v>22375.230000000283</v>
          </cell>
          <cell r="P764" t="str">
            <v/>
          </cell>
        </row>
        <row r="765">
          <cell r="L765">
            <v>22375.230000000283</v>
          </cell>
          <cell r="P765" t="str">
            <v/>
          </cell>
        </row>
        <row r="766">
          <cell r="L766">
            <v>22375.230000000283</v>
          </cell>
          <cell r="P766" t="str">
            <v/>
          </cell>
        </row>
        <row r="767">
          <cell r="L767">
            <v>22375.230000000283</v>
          </cell>
          <cell r="P767" t="str">
            <v/>
          </cell>
        </row>
        <row r="768">
          <cell r="L768">
            <v>22375.230000000283</v>
          </cell>
          <cell r="P768" t="str">
            <v/>
          </cell>
        </row>
        <row r="769">
          <cell r="L769">
            <v>22375.230000000283</v>
          </cell>
          <cell r="P769" t="str">
            <v/>
          </cell>
        </row>
        <row r="770">
          <cell r="L770">
            <v>22375.230000000283</v>
          </cell>
          <cell r="P770" t="str">
            <v/>
          </cell>
        </row>
        <row r="771">
          <cell r="L771">
            <v>22375.230000000283</v>
          </cell>
          <cell r="P771" t="str">
            <v/>
          </cell>
        </row>
        <row r="772">
          <cell r="L772">
            <v>22375.230000000283</v>
          </cell>
          <cell r="P772" t="str">
            <v/>
          </cell>
        </row>
        <row r="773">
          <cell r="L773">
            <v>22375.230000000283</v>
          </cell>
          <cell r="P773" t="str">
            <v/>
          </cell>
        </row>
        <row r="774">
          <cell r="L774">
            <v>22375.230000000283</v>
          </cell>
          <cell r="P774" t="str">
            <v/>
          </cell>
        </row>
        <row r="775">
          <cell r="L775">
            <v>22375.230000000283</v>
          </cell>
          <cell r="P775" t="str">
            <v/>
          </cell>
        </row>
        <row r="776">
          <cell r="L776">
            <v>22375.230000000283</v>
          </cell>
          <cell r="P776" t="str">
            <v/>
          </cell>
        </row>
        <row r="777">
          <cell r="L777">
            <v>22375.230000000283</v>
          </cell>
          <cell r="P777" t="str">
            <v/>
          </cell>
        </row>
        <row r="778">
          <cell r="L778">
            <v>22375.230000000283</v>
          </cell>
          <cell r="P778" t="str">
            <v/>
          </cell>
        </row>
        <row r="779">
          <cell r="L779">
            <v>22375.230000000283</v>
          </cell>
          <cell r="P779" t="str">
            <v/>
          </cell>
        </row>
        <row r="780">
          <cell r="L780">
            <v>22375.230000000283</v>
          </cell>
          <cell r="P780" t="str">
            <v/>
          </cell>
        </row>
        <row r="781">
          <cell r="L781">
            <v>22375.230000000283</v>
          </cell>
          <cell r="P781" t="str">
            <v/>
          </cell>
        </row>
        <row r="782">
          <cell r="L782">
            <v>22375.230000000283</v>
          </cell>
          <cell r="P782" t="str">
            <v/>
          </cell>
        </row>
        <row r="783">
          <cell r="L783">
            <v>22375.230000000283</v>
          </cell>
          <cell r="P783" t="str">
            <v/>
          </cell>
        </row>
        <row r="784">
          <cell r="L784">
            <v>22375.230000000283</v>
          </cell>
          <cell r="P784" t="str">
            <v/>
          </cell>
        </row>
        <row r="785">
          <cell r="L785">
            <v>22375.230000000283</v>
          </cell>
          <cell r="P785" t="str">
            <v/>
          </cell>
        </row>
        <row r="786">
          <cell r="L786">
            <v>22375.230000000283</v>
          </cell>
          <cell r="P786" t="str">
            <v/>
          </cell>
        </row>
        <row r="787">
          <cell r="L787">
            <v>22375.230000000283</v>
          </cell>
          <cell r="P787" t="str">
            <v/>
          </cell>
        </row>
        <row r="788">
          <cell r="L788">
            <v>22375.230000000283</v>
          </cell>
          <cell r="P788" t="str">
            <v/>
          </cell>
        </row>
        <row r="789">
          <cell r="L789">
            <v>22375.230000000283</v>
          </cell>
          <cell r="P789" t="str">
            <v/>
          </cell>
        </row>
        <row r="790">
          <cell r="L790">
            <v>22375.230000000283</v>
          </cell>
          <cell r="P790" t="str">
            <v/>
          </cell>
        </row>
        <row r="791">
          <cell r="L791">
            <v>22375.230000000283</v>
          </cell>
          <cell r="P791" t="str">
            <v/>
          </cell>
        </row>
        <row r="792">
          <cell r="L792">
            <v>22375.230000000283</v>
          </cell>
          <cell r="P792" t="str">
            <v/>
          </cell>
        </row>
        <row r="793">
          <cell r="L793">
            <v>22375.230000000283</v>
          </cell>
          <cell r="P793" t="str">
            <v/>
          </cell>
        </row>
        <row r="794">
          <cell r="L794">
            <v>22375.230000000283</v>
          </cell>
          <cell r="P794" t="str">
            <v/>
          </cell>
        </row>
        <row r="795">
          <cell r="L795">
            <v>22375.230000000283</v>
          </cell>
          <cell r="P795" t="str">
            <v/>
          </cell>
        </row>
        <row r="796">
          <cell r="L796">
            <v>22375.230000000283</v>
          </cell>
          <cell r="P796" t="str">
            <v/>
          </cell>
        </row>
        <row r="797">
          <cell r="L797">
            <v>22375.230000000283</v>
          </cell>
          <cell r="P797" t="str">
            <v/>
          </cell>
        </row>
        <row r="798">
          <cell r="L798">
            <v>22375.230000000283</v>
          </cell>
          <cell r="P798" t="str">
            <v/>
          </cell>
        </row>
        <row r="799">
          <cell r="L799">
            <v>22375.230000000283</v>
          </cell>
          <cell r="P799" t="str">
            <v/>
          </cell>
        </row>
        <row r="800">
          <cell r="L800">
            <v>22375.230000000283</v>
          </cell>
          <cell r="P800" t="str">
            <v/>
          </cell>
        </row>
        <row r="801">
          <cell r="L801">
            <v>22375.230000000283</v>
          </cell>
          <cell r="P801" t="str">
            <v/>
          </cell>
        </row>
        <row r="802">
          <cell r="L802">
            <v>22375.230000000283</v>
          </cell>
          <cell r="P802" t="str">
            <v/>
          </cell>
        </row>
        <row r="803">
          <cell r="L803">
            <v>22375.230000000283</v>
          </cell>
          <cell r="P803" t="str">
            <v/>
          </cell>
        </row>
        <row r="804">
          <cell r="L804">
            <v>22375.230000000283</v>
          </cell>
          <cell r="P804" t="str">
            <v/>
          </cell>
        </row>
        <row r="805">
          <cell r="L805">
            <v>22375.230000000283</v>
          </cell>
          <cell r="P805" t="str">
            <v/>
          </cell>
        </row>
        <row r="806">
          <cell r="L806">
            <v>22375.230000000283</v>
          </cell>
          <cell r="P806" t="str">
            <v/>
          </cell>
        </row>
        <row r="807">
          <cell r="L807">
            <v>22375.230000000283</v>
          </cell>
          <cell r="P807" t="str">
            <v/>
          </cell>
        </row>
        <row r="808">
          <cell r="L808">
            <v>22375.230000000283</v>
          </cell>
          <cell r="P808" t="str">
            <v/>
          </cell>
        </row>
        <row r="809">
          <cell r="L809">
            <v>22375.230000000283</v>
          </cell>
          <cell r="P809" t="str">
            <v/>
          </cell>
        </row>
        <row r="810">
          <cell r="L810">
            <v>22375.230000000283</v>
          </cell>
          <cell r="P810" t="str">
            <v/>
          </cell>
        </row>
        <row r="811">
          <cell r="L811">
            <v>22375.230000000283</v>
          </cell>
          <cell r="P811" t="str">
            <v/>
          </cell>
        </row>
        <row r="812">
          <cell r="L812">
            <v>22375.230000000283</v>
          </cell>
          <cell r="P812" t="str">
            <v/>
          </cell>
        </row>
        <row r="813">
          <cell r="L813">
            <v>22375.230000000283</v>
          </cell>
          <cell r="P813" t="str">
            <v/>
          </cell>
        </row>
        <row r="814">
          <cell r="L814">
            <v>22375.230000000283</v>
          </cell>
          <cell r="P814" t="str">
            <v/>
          </cell>
        </row>
        <row r="815">
          <cell r="L815">
            <v>22375.230000000283</v>
          </cell>
          <cell r="P815" t="str">
            <v/>
          </cell>
        </row>
        <row r="816">
          <cell r="L816">
            <v>22375.230000000283</v>
          </cell>
          <cell r="P816" t="str">
            <v/>
          </cell>
        </row>
        <row r="817">
          <cell r="L817">
            <v>22375.230000000283</v>
          </cell>
          <cell r="P817" t="str">
            <v/>
          </cell>
        </row>
        <row r="818">
          <cell r="L818">
            <v>22375.230000000283</v>
          </cell>
          <cell r="P818" t="str">
            <v/>
          </cell>
        </row>
        <row r="819">
          <cell r="L819">
            <v>22375.230000000283</v>
          </cell>
          <cell r="P819" t="str">
            <v/>
          </cell>
        </row>
        <row r="820">
          <cell r="L820">
            <v>22375.230000000283</v>
          </cell>
          <cell r="P820" t="str">
            <v/>
          </cell>
        </row>
        <row r="821">
          <cell r="L821">
            <v>22375.230000000283</v>
          </cell>
          <cell r="P821" t="str">
            <v/>
          </cell>
        </row>
        <row r="822">
          <cell r="L822">
            <v>22375.230000000283</v>
          </cell>
          <cell r="P822" t="str">
            <v/>
          </cell>
        </row>
        <row r="823">
          <cell r="L823">
            <v>22375.230000000283</v>
          </cell>
          <cell r="P823" t="str">
            <v/>
          </cell>
        </row>
        <row r="824">
          <cell r="L824">
            <v>22375.230000000283</v>
          </cell>
          <cell r="P824" t="str">
            <v/>
          </cell>
        </row>
        <row r="825">
          <cell r="L825">
            <v>22375.230000000283</v>
          </cell>
          <cell r="P825" t="str">
            <v/>
          </cell>
        </row>
        <row r="826">
          <cell r="L826">
            <v>22375.230000000283</v>
          </cell>
          <cell r="P826" t="str">
            <v/>
          </cell>
        </row>
        <row r="827">
          <cell r="L827">
            <v>22375.230000000283</v>
          </cell>
          <cell r="P827" t="str">
            <v/>
          </cell>
        </row>
        <row r="828">
          <cell r="L828">
            <v>22375.230000000283</v>
          </cell>
          <cell r="P828" t="str">
            <v/>
          </cell>
        </row>
        <row r="829">
          <cell r="L829">
            <v>22375.230000000283</v>
          </cell>
          <cell r="P829" t="str">
            <v/>
          </cell>
        </row>
        <row r="830">
          <cell r="L830">
            <v>22375.230000000283</v>
          </cell>
          <cell r="P830" t="str">
            <v/>
          </cell>
        </row>
        <row r="831">
          <cell r="L831">
            <v>22375.230000000283</v>
          </cell>
          <cell r="P831" t="str">
            <v/>
          </cell>
        </row>
        <row r="832">
          <cell r="L832">
            <v>22375.230000000283</v>
          </cell>
          <cell r="P832" t="str">
            <v/>
          </cell>
        </row>
        <row r="833">
          <cell r="L833">
            <v>22375.230000000283</v>
          </cell>
          <cell r="P833" t="str">
            <v/>
          </cell>
        </row>
        <row r="834">
          <cell r="L834">
            <v>22375.230000000283</v>
          </cell>
          <cell r="P834" t="str">
            <v/>
          </cell>
        </row>
        <row r="835">
          <cell r="L835">
            <v>22375.230000000283</v>
          </cell>
          <cell r="P835" t="str">
            <v/>
          </cell>
        </row>
        <row r="836">
          <cell r="L836">
            <v>22375.230000000283</v>
          </cell>
          <cell r="P836" t="str">
            <v/>
          </cell>
        </row>
        <row r="837">
          <cell r="L837">
            <v>22375.230000000283</v>
          </cell>
          <cell r="P837" t="str">
            <v/>
          </cell>
        </row>
        <row r="838">
          <cell r="L838">
            <v>22375.230000000283</v>
          </cell>
          <cell r="P838" t="str">
            <v/>
          </cell>
        </row>
        <row r="839">
          <cell r="L839">
            <v>22375.230000000283</v>
          </cell>
          <cell r="P839" t="str">
            <v/>
          </cell>
        </row>
        <row r="840">
          <cell r="L840">
            <v>22375.230000000283</v>
          </cell>
          <cell r="P840" t="str">
            <v/>
          </cell>
        </row>
        <row r="841">
          <cell r="L841">
            <v>22375.230000000283</v>
          </cell>
          <cell r="P841" t="str">
            <v/>
          </cell>
        </row>
        <row r="842">
          <cell r="L842">
            <v>22375.230000000283</v>
          </cell>
          <cell r="P842" t="str">
            <v/>
          </cell>
        </row>
        <row r="843">
          <cell r="L843">
            <v>22375.230000000283</v>
          </cell>
          <cell r="P843" t="str">
            <v/>
          </cell>
        </row>
        <row r="844">
          <cell r="L844">
            <v>22375.230000000283</v>
          </cell>
          <cell r="P844" t="str">
            <v/>
          </cell>
        </row>
        <row r="845">
          <cell r="L845">
            <v>22375.230000000283</v>
          </cell>
          <cell r="P845" t="str">
            <v/>
          </cell>
        </row>
        <row r="846">
          <cell r="L846">
            <v>22375.230000000283</v>
          </cell>
          <cell r="P846" t="str">
            <v/>
          </cell>
        </row>
        <row r="847">
          <cell r="L847">
            <v>22375.230000000283</v>
          </cell>
          <cell r="P847" t="str">
            <v/>
          </cell>
        </row>
        <row r="848">
          <cell r="L848">
            <v>22375.230000000283</v>
          </cell>
          <cell r="P848" t="str">
            <v/>
          </cell>
        </row>
        <row r="849">
          <cell r="L849">
            <v>22375.230000000283</v>
          </cell>
          <cell r="P849" t="str">
            <v/>
          </cell>
        </row>
        <row r="850">
          <cell r="L850">
            <v>22375.230000000283</v>
          </cell>
          <cell r="P850" t="str">
            <v/>
          </cell>
        </row>
        <row r="851">
          <cell r="L851">
            <v>22375.230000000283</v>
          </cell>
          <cell r="P851" t="str">
            <v/>
          </cell>
        </row>
        <row r="852">
          <cell r="L852">
            <v>22375.230000000283</v>
          </cell>
          <cell r="P852" t="str">
            <v/>
          </cell>
        </row>
        <row r="853">
          <cell r="L853">
            <v>22375.230000000283</v>
          </cell>
          <cell r="P853" t="str">
            <v/>
          </cell>
        </row>
        <row r="854">
          <cell r="L854">
            <v>22375.230000000283</v>
          </cell>
          <cell r="P854" t="str">
            <v/>
          </cell>
        </row>
        <row r="855">
          <cell r="L855">
            <v>22375.230000000283</v>
          </cell>
          <cell r="P855" t="str">
            <v/>
          </cell>
        </row>
        <row r="856">
          <cell r="L856">
            <v>22375.230000000283</v>
          </cell>
          <cell r="P856" t="str">
            <v/>
          </cell>
        </row>
        <row r="857">
          <cell r="L857">
            <v>22375.230000000283</v>
          </cell>
          <cell r="P857" t="str">
            <v/>
          </cell>
        </row>
        <row r="858">
          <cell r="L858">
            <v>22375.230000000283</v>
          </cell>
          <cell r="P858" t="str">
            <v/>
          </cell>
        </row>
        <row r="859">
          <cell r="L859">
            <v>22375.230000000283</v>
          </cell>
          <cell r="P859" t="str">
            <v/>
          </cell>
        </row>
        <row r="860">
          <cell r="L860">
            <v>22375.230000000283</v>
          </cell>
          <cell r="P860" t="str">
            <v/>
          </cell>
        </row>
        <row r="861">
          <cell r="L861">
            <v>22375.230000000283</v>
          </cell>
          <cell r="P861" t="str">
            <v/>
          </cell>
        </row>
        <row r="862">
          <cell r="L862">
            <v>22375.230000000283</v>
          </cell>
          <cell r="P862" t="str">
            <v/>
          </cell>
        </row>
        <row r="863">
          <cell r="L863">
            <v>22375.230000000283</v>
          </cell>
          <cell r="P863" t="str">
            <v/>
          </cell>
        </row>
        <row r="864">
          <cell r="L864">
            <v>22375.230000000283</v>
          </cell>
          <cell r="P864" t="str">
            <v/>
          </cell>
        </row>
        <row r="865">
          <cell r="L865">
            <v>22375.230000000283</v>
          </cell>
          <cell r="P865" t="str">
            <v/>
          </cell>
        </row>
        <row r="866">
          <cell r="L866">
            <v>22375.230000000283</v>
          </cell>
          <cell r="P866" t="str">
            <v/>
          </cell>
        </row>
        <row r="867">
          <cell r="L867">
            <v>22375.230000000283</v>
          </cell>
          <cell r="P867" t="str">
            <v/>
          </cell>
        </row>
        <row r="868">
          <cell r="L868">
            <v>22375.230000000283</v>
          </cell>
          <cell r="P868" t="str">
            <v/>
          </cell>
        </row>
        <row r="869">
          <cell r="L869">
            <v>22375.230000000283</v>
          </cell>
          <cell r="P869" t="str">
            <v/>
          </cell>
        </row>
        <row r="870">
          <cell r="L870">
            <v>22375.230000000283</v>
          </cell>
          <cell r="P870" t="str">
            <v/>
          </cell>
        </row>
        <row r="871">
          <cell r="L871">
            <v>22375.230000000283</v>
          </cell>
          <cell r="P871" t="str">
            <v/>
          </cell>
        </row>
        <row r="872">
          <cell r="L872">
            <v>22375.230000000283</v>
          </cell>
          <cell r="P872" t="str">
            <v/>
          </cell>
        </row>
        <row r="873">
          <cell r="L873">
            <v>22375.230000000283</v>
          </cell>
          <cell r="P873" t="str">
            <v/>
          </cell>
        </row>
        <row r="874">
          <cell r="L874">
            <v>22375.230000000283</v>
          </cell>
          <cell r="P874" t="str">
            <v/>
          </cell>
        </row>
        <row r="875">
          <cell r="L875">
            <v>22375.230000000283</v>
          </cell>
          <cell r="P875" t="str">
            <v/>
          </cell>
        </row>
        <row r="876">
          <cell r="L876">
            <v>22375.230000000283</v>
          </cell>
          <cell r="P876" t="str">
            <v/>
          </cell>
        </row>
        <row r="877">
          <cell r="L877">
            <v>22375.230000000283</v>
          </cell>
          <cell r="P877" t="str">
            <v/>
          </cell>
        </row>
        <row r="878">
          <cell r="L878">
            <v>22375.230000000283</v>
          </cell>
          <cell r="P878" t="str">
            <v/>
          </cell>
        </row>
        <row r="879">
          <cell r="L879">
            <v>22375.230000000283</v>
          </cell>
          <cell r="P879" t="str">
            <v/>
          </cell>
        </row>
        <row r="880">
          <cell r="L880">
            <v>22375.230000000283</v>
          </cell>
          <cell r="P880" t="str">
            <v/>
          </cell>
        </row>
        <row r="881">
          <cell r="L881">
            <v>22375.230000000283</v>
          </cell>
          <cell r="P881" t="str">
            <v/>
          </cell>
        </row>
        <row r="882">
          <cell r="L882">
            <v>22375.230000000283</v>
          </cell>
          <cell r="P882" t="str">
            <v/>
          </cell>
        </row>
        <row r="883">
          <cell r="L883">
            <v>22375.230000000283</v>
          </cell>
          <cell r="P883" t="str">
            <v/>
          </cell>
        </row>
        <row r="884">
          <cell r="L884">
            <v>22375.230000000283</v>
          </cell>
          <cell r="P884" t="str">
            <v/>
          </cell>
        </row>
        <row r="885">
          <cell r="L885">
            <v>22375.230000000283</v>
          </cell>
          <cell r="P885" t="str">
            <v/>
          </cell>
        </row>
        <row r="886">
          <cell r="L886">
            <v>22375.230000000283</v>
          </cell>
          <cell r="P886" t="str">
            <v/>
          </cell>
        </row>
        <row r="887">
          <cell r="L887">
            <v>22375.230000000283</v>
          </cell>
          <cell r="P887" t="str">
            <v/>
          </cell>
        </row>
        <row r="888">
          <cell r="L888">
            <v>22375.230000000283</v>
          </cell>
          <cell r="P888" t="str">
            <v/>
          </cell>
        </row>
        <row r="889">
          <cell r="L889">
            <v>22375.230000000283</v>
          </cell>
          <cell r="P889" t="str">
            <v/>
          </cell>
        </row>
        <row r="890">
          <cell r="L890">
            <v>22375.230000000283</v>
          </cell>
          <cell r="P890" t="str">
            <v/>
          </cell>
        </row>
        <row r="891">
          <cell r="L891">
            <v>22375.230000000283</v>
          </cell>
          <cell r="P891" t="str">
            <v/>
          </cell>
        </row>
        <row r="892">
          <cell r="L892">
            <v>22375.230000000283</v>
          </cell>
          <cell r="P892" t="str">
            <v/>
          </cell>
        </row>
        <row r="893">
          <cell r="L893">
            <v>22375.230000000283</v>
          </cell>
          <cell r="P893" t="str">
            <v/>
          </cell>
        </row>
        <row r="894">
          <cell r="L894">
            <v>22375.230000000283</v>
          </cell>
          <cell r="P894" t="str">
            <v/>
          </cell>
        </row>
        <row r="895">
          <cell r="L895">
            <v>22375.230000000283</v>
          </cell>
          <cell r="P895" t="str">
            <v/>
          </cell>
        </row>
        <row r="896">
          <cell r="L896">
            <v>22375.230000000283</v>
          </cell>
          <cell r="P896" t="str">
            <v/>
          </cell>
        </row>
        <row r="897">
          <cell r="L897">
            <v>22375.230000000283</v>
          </cell>
          <cell r="P897" t="str">
            <v/>
          </cell>
        </row>
        <row r="898">
          <cell r="L898">
            <v>22375.230000000283</v>
          </cell>
          <cell r="P898" t="str">
            <v/>
          </cell>
        </row>
        <row r="899">
          <cell r="L899">
            <v>22375.230000000283</v>
          </cell>
          <cell r="P899" t="str">
            <v/>
          </cell>
        </row>
        <row r="900">
          <cell r="L900">
            <v>22375.230000000283</v>
          </cell>
          <cell r="P900" t="str">
            <v/>
          </cell>
        </row>
        <row r="901">
          <cell r="L901">
            <v>22375.230000000283</v>
          </cell>
          <cell r="P901" t="str">
            <v/>
          </cell>
        </row>
        <row r="902">
          <cell r="L902">
            <v>22375.230000000283</v>
          </cell>
          <cell r="P902" t="str">
            <v/>
          </cell>
        </row>
        <row r="903">
          <cell r="L903">
            <v>22375.230000000283</v>
          </cell>
          <cell r="P903" t="str">
            <v/>
          </cell>
        </row>
        <row r="904">
          <cell r="L904">
            <v>22375.230000000283</v>
          </cell>
          <cell r="P904" t="str">
            <v/>
          </cell>
        </row>
        <row r="905">
          <cell r="L905">
            <v>22375.230000000283</v>
          </cell>
          <cell r="P905" t="str">
            <v/>
          </cell>
        </row>
        <row r="906">
          <cell r="L906">
            <v>22375.230000000283</v>
          </cell>
          <cell r="P906" t="str">
            <v/>
          </cell>
        </row>
        <row r="907">
          <cell r="L907">
            <v>22375.230000000283</v>
          </cell>
          <cell r="P907" t="str">
            <v/>
          </cell>
        </row>
        <row r="908">
          <cell r="L908">
            <v>22375.230000000283</v>
          </cell>
          <cell r="P908" t="str">
            <v/>
          </cell>
        </row>
        <row r="909">
          <cell r="L909">
            <v>22375.230000000283</v>
          </cell>
          <cell r="P909" t="str">
            <v/>
          </cell>
        </row>
        <row r="910">
          <cell r="L910">
            <v>22375.230000000283</v>
          </cell>
          <cell r="P910" t="str">
            <v/>
          </cell>
        </row>
        <row r="911">
          <cell r="L911">
            <v>22375.230000000283</v>
          </cell>
          <cell r="P911" t="str">
            <v/>
          </cell>
        </row>
        <row r="912">
          <cell r="L912">
            <v>22375.230000000283</v>
          </cell>
          <cell r="P912" t="str">
            <v/>
          </cell>
        </row>
        <row r="913">
          <cell r="L913">
            <v>22375.230000000283</v>
          </cell>
          <cell r="P913" t="str">
            <v/>
          </cell>
        </row>
        <row r="914">
          <cell r="L914">
            <v>22375.230000000283</v>
          </cell>
          <cell r="P914" t="str">
            <v/>
          </cell>
        </row>
        <row r="915">
          <cell r="L915">
            <v>22375.230000000283</v>
          </cell>
          <cell r="P915" t="str">
            <v/>
          </cell>
        </row>
        <row r="916">
          <cell r="L916">
            <v>22375.230000000283</v>
          </cell>
          <cell r="P916" t="str">
            <v/>
          </cell>
        </row>
        <row r="917">
          <cell r="L917">
            <v>22375.230000000283</v>
          </cell>
          <cell r="P917" t="str">
            <v/>
          </cell>
        </row>
        <row r="918">
          <cell r="L918">
            <v>22375.230000000283</v>
          </cell>
          <cell r="P918" t="str">
            <v/>
          </cell>
        </row>
        <row r="919">
          <cell r="L919">
            <v>22375.230000000283</v>
          </cell>
          <cell r="P919" t="str">
            <v/>
          </cell>
        </row>
        <row r="920">
          <cell r="L920">
            <v>22375.230000000283</v>
          </cell>
          <cell r="P920" t="str">
            <v/>
          </cell>
        </row>
        <row r="921">
          <cell r="L921">
            <v>22375.230000000283</v>
          </cell>
          <cell r="P921" t="str">
            <v/>
          </cell>
        </row>
        <row r="922">
          <cell r="L922">
            <v>22375.230000000283</v>
          </cell>
          <cell r="P922" t="str">
            <v/>
          </cell>
        </row>
        <row r="923">
          <cell r="L923">
            <v>22375.230000000283</v>
          </cell>
          <cell r="P923" t="str">
            <v/>
          </cell>
        </row>
        <row r="924">
          <cell r="L924">
            <v>22375.230000000283</v>
          </cell>
          <cell r="P924" t="str">
            <v/>
          </cell>
        </row>
        <row r="925">
          <cell r="L925">
            <v>22375.230000000283</v>
          </cell>
          <cell r="P925" t="str">
            <v/>
          </cell>
        </row>
        <row r="926">
          <cell r="L926">
            <v>22375.230000000283</v>
          </cell>
          <cell r="P926" t="str">
            <v/>
          </cell>
        </row>
        <row r="927">
          <cell r="L927">
            <v>22375.230000000283</v>
          </cell>
          <cell r="P927" t="str">
            <v/>
          </cell>
        </row>
        <row r="928">
          <cell r="L928">
            <v>22375.230000000283</v>
          </cell>
          <cell r="P928" t="str">
            <v/>
          </cell>
        </row>
        <row r="929">
          <cell r="L929">
            <v>22375.230000000283</v>
          </cell>
          <cell r="P929" t="str">
            <v/>
          </cell>
        </row>
        <row r="930">
          <cell r="L930">
            <v>22375.230000000283</v>
          </cell>
          <cell r="P930" t="str">
            <v/>
          </cell>
        </row>
        <row r="931">
          <cell r="L931">
            <v>22375.230000000283</v>
          </cell>
          <cell r="P931" t="str">
            <v/>
          </cell>
        </row>
        <row r="932">
          <cell r="L932">
            <v>22375.230000000283</v>
          </cell>
          <cell r="P932" t="str">
            <v/>
          </cell>
        </row>
        <row r="933">
          <cell r="L933">
            <v>22375.230000000283</v>
          </cell>
          <cell r="P933" t="str">
            <v/>
          </cell>
        </row>
        <row r="934">
          <cell r="L934">
            <v>22375.230000000283</v>
          </cell>
          <cell r="P934" t="str">
            <v/>
          </cell>
        </row>
        <row r="935">
          <cell r="L935">
            <v>22375.230000000283</v>
          </cell>
          <cell r="P935" t="str">
            <v/>
          </cell>
        </row>
        <row r="936">
          <cell r="L936">
            <v>22375.230000000283</v>
          </cell>
          <cell r="P936" t="str">
            <v/>
          </cell>
        </row>
        <row r="937">
          <cell r="L937">
            <v>22375.230000000283</v>
          </cell>
          <cell r="P937" t="str">
            <v/>
          </cell>
        </row>
        <row r="938">
          <cell r="L938">
            <v>22375.230000000283</v>
          </cell>
          <cell r="P938" t="str">
            <v/>
          </cell>
        </row>
        <row r="939">
          <cell r="L939">
            <v>22375.230000000283</v>
          </cell>
          <cell r="P939" t="str">
            <v/>
          </cell>
        </row>
        <row r="940">
          <cell r="L940">
            <v>22375.230000000283</v>
          </cell>
          <cell r="P940" t="str">
            <v/>
          </cell>
        </row>
        <row r="941">
          <cell r="L941">
            <v>22375.230000000283</v>
          </cell>
          <cell r="P941" t="str">
            <v/>
          </cell>
        </row>
        <row r="942">
          <cell r="L942">
            <v>22375.230000000283</v>
          </cell>
          <cell r="P942" t="str">
            <v/>
          </cell>
        </row>
        <row r="943">
          <cell r="L943">
            <v>22375.230000000283</v>
          </cell>
          <cell r="P943" t="str">
            <v/>
          </cell>
        </row>
        <row r="944">
          <cell r="L944">
            <v>22375.230000000283</v>
          </cell>
          <cell r="P944" t="str">
            <v/>
          </cell>
        </row>
        <row r="945">
          <cell r="L945">
            <v>22375.230000000283</v>
          </cell>
          <cell r="P945" t="str">
            <v/>
          </cell>
        </row>
        <row r="946">
          <cell r="L946">
            <v>22375.230000000283</v>
          </cell>
          <cell r="P946" t="str">
            <v/>
          </cell>
        </row>
        <row r="947">
          <cell r="L947">
            <v>22375.230000000283</v>
          </cell>
          <cell r="P947" t="str">
            <v/>
          </cell>
        </row>
        <row r="948">
          <cell r="L948">
            <v>22375.230000000283</v>
          </cell>
          <cell r="P948" t="str">
            <v/>
          </cell>
        </row>
        <row r="949">
          <cell r="L949">
            <v>22375.230000000283</v>
          </cell>
          <cell r="P949" t="str">
            <v/>
          </cell>
        </row>
        <row r="950">
          <cell r="L950">
            <v>22375.230000000283</v>
          </cell>
          <cell r="P950" t="str">
            <v/>
          </cell>
        </row>
        <row r="951">
          <cell r="L951">
            <v>22375.230000000283</v>
          </cell>
          <cell r="P951" t="str">
            <v/>
          </cell>
        </row>
        <row r="952">
          <cell r="L952">
            <v>22375.230000000283</v>
          </cell>
          <cell r="P952" t="str">
            <v/>
          </cell>
        </row>
        <row r="953">
          <cell r="L953">
            <v>22375.230000000283</v>
          </cell>
          <cell r="P953" t="str">
            <v/>
          </cell>
        </row>
        <row r="954">
          <cell r="L954">
            <v>22375.230000000283</v>
          </cell>
          <cell r="P954" t="str">
            <v/>
          </cell>
        </row>
        <row r="955">
          <cell r="L955">
            <v>22375.230000000283</v>
          </cell>
          <cell r="P955" t="str">
            <v/>
          </cell>
        </row>
        <row r="956">
          <cell r="L956">
            <v>22375.230000000283</v>
          </cell>
          <cell r="P956" t="str">
            <v/>
          </cell>
        </row>
        <row r="957">
          <cell r="L957">
            <v>22375.230000000283</v>
          </cell>
          <cell r="P957" t="str">
            <v/>
          </cell>
        </row>
        <row r="958">
          <cell r="L958">
            <v>22375.230000000283</v>
          </cell>
          <cell r="P958" t="str">
            <v/>
          </cell>
        </row>
        <row r="959">
          <cell r="L959">
            <v>22375.230000000283</v>
          </cell>
          <cell r="P959" t="str">
            <v/>
          </cell>
        </row>
        <row r="960">
          <cell r="L960">
            <v>22375.230000000283</v>
          </cell>
          <cell r="P960" t="str">
            <v/>
          </cell>
        </row>
        <row r="961">
          <cell r="L961">
            <v>22375.230000000283</v>
          </cell>
          <cell r="P961" t="str">
            <v/>
          </cell>
        </row>
        <row r="962">
          <cell r="L962">
            <v>22375.230000000283</v>
          </cell>
          <cell r="P962" t="str">
            <v/>
          </cell>
        </row>
        <row r="963">
          <cell r="L963">
            <v>22375.230000000283</v>
          </cell>
          <cell r="P963" t="str">
            <v/>
          </cell>
        </row>
        <row r="964">
          <cell r="L964">
            <v>22375.230000000283</v>
          </cell>
          <cell r="P964" t="str">
            <v/>
          </cell>
        </row>
        <row r="965">
          <cell r="L965">
            <v>22375.230000000283</v>
          </cell>
          <cell r="P965" t="str">
            <v/>
          </cell>
        </row>
        <row r="966">
          <cell r="L966">
            <v>22375.230000000283</v>
          </cell>
          <cell r="P966" t="str">
            <v/>
          </cell>
        </row>
        <row r="967">
          <cell r="L967">
            <v>22375.230000000283</v>
          </cell>
          <cell r="P967" t="str">
            <v/>
          </cell>
        </row>
        <row r="968">
          <cell r="L968">
            <v>22375.230000000283</v>
          </cell>
          <cell r="P968" t="str">
            <v/>
          </cell>
        </row>
        <row r="969">
          <cell r="L969">
            <v>22375.230000000283</v>
          </cell>
          <cell r="P969" t="str">
            <v/>
          </cell>
        </row>
        <row r="970">
          <cell r="L970">
            <v>22375.230000000283</v>
          </cell>
          <cell r="P970" t="str">
            <v/>
          </cell>
        </row>
        <row r="971">
          <cell r="L971">
            <v>22375.230000000283</v>
          </cell>
          <cell r="P971" t="str">
            <v/>
          </cell>
        </row>
        <row r="972">
          <cell r="L972">
            <v>22375.230000000283</v>
          </cell>
          <cell r="P972" t="str">
            <v/>
          </cell>
        </row>
        <row r="973">
          <cell r="L973">
            <v>22375.230000000283</v>
          </cell>
          <cell r="P973" t="str">
            <v/>
          </cell>
        </row>
        <row r="974">
          <cell r="L974">
            <v>22375.230000000283</v>
          </cell>
          <cell r="P974" t="str">
            <v/>
          </cell>
        </row>
        <row r="975">
          <cell r="L975">
            <v>22375.230000000283</v>
          </cell>
          <cell r="P975" t="str">
            <v/>
          </cell>
        </row>
        <row r="976">
          <cell r="L976">
            <v>22375.230000000283</v>
          </cell>
          <cell r="P976" t="str">
            <v/>
          </cell>
        </row>
        <row r="977">
          <cell r="L977">
            <v>22375.230000000283</v>
          </cell>
          <cell r="P977" t="str">
            <v/>
          </cell>
        </row>
        <row r="978">
          <cell r="L978">
            <v>22375.230000000283</v>
          </cell>
          <cell r="P978" t="str">
            <v/>
          </cell>
        </row>
        <row r="979">
          <cell r="L979">
            <v>22375.230000000283</v>
          </cell>
          <cell r="P979" t="str">
            <v/>
          </cell>
        </row>
        <row r="980">
          <cell r="L980">
            <v>22375.230000000283</v>
          </cell>
          <cell r="P980" t="str">
            <v/>
          </cell>
        </row>
        <row r="981">
          <cell r="L981">
            <v>22375.230000000283</v>
          </cell>
          <cell r="P981" t="str">
            <v/>
          </cell>
        </row>
        <row r="982">
          <cell r="L982">
            <v>22375.230000000283</v>
          </cell>
          <cell r="P982" t="str">
            <v/>
          </cell>
        </row>
        <row r="983">
          <cell r="L983">
            <v>22375.230000000283</v>
          </cell>
          <cell r="P983" t="str">
            <v/>
          </cell>
        </row>
        <row r="984">
          <cell r="L984">
            <v>22375.230000000283</v>
          </cell>
          <cell r="P984" t="str">
            <v/>
          </cell>
        </row>
        <row r="985">
          <cell r="L985">
            <v>22375.230000000283</v>
          </cell>
          <cell r="P985" t="str">
            <v/>
          </cell>
        </row>
        <row r="986">
          <cell r="L986">
            <v>22375.230000000283</v>
          </cell>
          <cell r="P986" t="str">
            <v/>
          </cell>
        </row>
        <row r="987">
          <cell r="L987">
            <v>22375.230000000283</v>
          </cell>
          <cell r="P987" t="str">
            <v/>
          </cell>
        </row>
        <row r="988">
          <cell r="L988">
            <v>22375.230000000283</v>
          </cell>
          <cell r="P988" t="str">
            <v/>
          </cell>
        </row>
        <row r="989">
          <cell r="L989">
            <v>22375.230000000283</v>
          </cell>
          <cell r="P989" t="str">
            <v/>
          </cell>
        </row>
        <row r="990">
          <cell r="L990">
            <v>22375.230000000283</v>
          </cell>
          <cell r="P990" t="str">
            <v/>
          </cell>
        </row>
        <row r="991">
          <cell r="L991">
            <v>22375.230000000283</v>
          </cell>
          <cell r="P991" t="str">
            <v/>
          </cell>
        </row>
        <row r="992">
          <cell r="L992">
            <v>22375.230000000283</v>
          </cell>
          <cell r="P992" t="str">
            <v/>
          </cell>
        </row>
        <row r="993">
          <cell r="L993">
            <v>22375.230000000283</v>
          </cell>
          <cell r="P993" t="str">
            <v/>
          </cell>
        </row>
        <row r="994">
          <cell r="L994">
            <v>22375.230000000283</v>
          </cell>
          <cell r="P994" t="str">
            <v/>
          </cell>
        </row>
        <row r="995">
          <cell r="L995">
            <v>22375.230000000283</v>
          </cell>
          <cell r="P995" t="str">
            <v/>
          </cell>
        </row>
        <row r="996">
          <cell r="L996">
            <v>22375.230000000283</v>
          </cell>
          <cell r="P996" t="str">
            <v/>
          </cell>
        </row>
        <row r="997">
          <cell r="L997">
            <v>22375.230000000283</v>
          </cell>
          <cell r="P997" t="str">
            <v/>
          </cell>
        </row>
        <row r="998">
          <cell r="L998">
            <v>22375.230000000283</v>
          </cell>
          <cell r="P998" t="str">
            <v/>
          </cell>
        </row>
        <row r="999">
          <cell r="L999">
            <v>22375.230000000283</v>
          </cell>
          <cell r="P999" t="str">
            <v/>
          </cell>
        </row>
        <row r="1000">
          <cell r="L1000">
            <v>22375.230000000283</v>
          </cell>
          <cell r="P1000" t="str">
            <v/>
          </cell>
        </row>
        <row r="1001">
          <cell r="L1001">
            <v>22375.230000000283</v>
          </cell>
          <cell r="P1001" t="str">
            <v/>
          </cell>
        </row>
        <row r="1002">
          <cell r="L1002">
            <v>22375.230000000283</v>
          </cell>
          <cell r="P1002" t="str">
            <v/>
          </cell>
        </row>
        <row r="1003">
          <cell r="L1003">
            <v>22375.230000000283</v>
          </cell>
          <cell r="P1003" t="str">
            <v/>
          </cell>
        </row>
        <row r="1004">
          <cell r="L1004">
            <v>22375.230000000283</v>
          </cell>
          <cell r="P1004" t="str">
            <v/>
          </cell>
        </row>
        <row r="1005">
          <cell r="L1005">
            <v>22375.230000000283</v>
          </cell>
          <cell r="P1005" t="str">
            <v/>
          </cell>
        </row>
        <row r="1006">
          <cell r="L1006">
            <v>22375.230000000283</v>
          </cell>
          <cell r="P1006" t="str">
            <v/>
          </cell>
        </row>
        <row r="1007">
          <cell r="L1007">
            <v>22375.230000000283</v>
          </cell>
          <cell r="P1007" t="str">
            <v/>
          </cell>
        </row>
        <row r="1008">
          <cell r="L1008">
            <v>22375.230000000283</v>
          </cell>
          <cell r="P1008" t="str">
            <v/>
          </cell>
        </row>
      </sheetData>
      <sheetData sheetId="10"/>
      <sheetData sheetId="11"/>
      <sheetData sheetId="12">
        <row r="129">
          <cell r="F129">
            <v>286644.10523809516</v>
          </cell>
        </row>
        <row r="133">
          <cell r="F133">
            <v>5902707.899761905</v>
          </cell>
        </row>
        <row r="141">
          <cell r="F141">
            <v>1169153.7552380953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FDFD-D39A-48EB-B0BA-7E75DFF128BA}">
  <sheetPr>
    <tabColor rgb="FF7030A0"/>
  </sheetPr>
  <dimension ref="A1:AY1010"/>
  <sheetViews>
    <sheetView showGridLines="0" tabSelected="1" zoomScale="85" zoomScaleNormal="85" workbookViewId="0">
      <pane ySplit="5" topLeftCell="A6" activePane="bottomLeft" state="frozen"/>
      <selection activeCell="M47" sqref="M47"/>
      <selection pane="bottomLeft" activeCell="M15" sqref="M15"/>
    </sheetView>
  </sheetViews>
  <sheetFormatPr baseColWidth="10" defaultColWidth="10.7109375" defaultRowHeight="15" x14ac:dyDescent="0.25"/>
  <cols>
    <col min="1" max="1" width="4.7109375" customWidth="1"/>
    <col min="2" max="2" width="5.85546875" customWidth="1"/>
    <col min="3" max="3" width="1.7109375" customWidth="1"/>
    <col min="4" max="4" width="11.7109375" customWidth="1"/>
    <col min="5" max="5" width="14" customWidth="1"/>
    <col min="6" max="6" width="13.7109375" bestFit="1" customWidth="1"/>
    <col min="7" max="7" width="14.42578125" customWidth="1"/>
    <col min="8" max="8" width="20.28515625" customWidth="1"/>
    <col min="9" max="9" width="13.42578125" customWidth="1"/>
    <col min="11" max="11" width="29.85546875" bestFit="1" customWidth="1"/>
    <col min="12" max="12" width="20.5703125" customWidth="1"/>
    <col min="13" max="13" width="15.28515625" customWidth="1"/>
    <col min="14" max="14" width="17.28515625" customWidth="1"/>
    <col min="15" max="15" width="16.7109375" customWidth="1"/>
    <col min="16" max="16" width="16.42578125" customWidth="1"/>
    <col min="18" max="19" width="10.7109375" customWidth="1"/>
    <col min="20" max="20" width="20.5703125" bestFit="1" customWidth="1"/>
  </cols>
  <sheetData>
    <row r="1" spans="1:51" ht="19.5" thickBot="1" x14ac:dyDescent="0.35">
      <c r="B1" s="1" t="s">
        <v>0</v>
      </c>
      <c r="F1" s="2"/>
      <c r="H1" s="3" t="s">
        <v>1</v>
      </c>
      <c r="I1" s="4">
        <f>+H1001+H1005</f>
        <v>-405618.7361904764</v>
      </c>
    </row>
    <row r="2" spans="1:51" ht="15.75" thickBot="1" x14ac:dyDescent="0.3">
      <c r="C2" s="5" t="s">
        <v>2</v>
      </c>
      <c r="D2" s="6"/>
      <c r="E2" s="6"/>
      <c r="F2" s="7">
        <v>42</v>
      </c>
      <c r="H2" s="8" t="s">
        <v>3</v>
      </c>
      <c r="I2" s="9">
        <f>+L32</f>
        <v>-185575.31906172261</v>
      </c>
    </row>
    <row r="3" spans="1:51" ht="15.75" thickBot="1" x14ac:dyDescent="0.3">
      <c r="C3" s="10" t="s">
        <v>4</v>
      </c>
      <c r="D3" s="10"/>
      <c r="E3" s="11"/>
      <c r="F3" s="12">
        <v>42</v>
      </c>
      <c r="H3" s="8" t="s">
        <v>5</v>
      </c>
      <c r="I3" s="9">
        <f>I1+I2</f>
        <v>-591194.05525219906</v>
      </c>
      <c r="K3" s="13"/>
    </row>
    <row r="4" spans="1:51" ht="15.75" thickBot="1" x14ac:dyDescent="0.3">
      <c r="C4" s="5" t="s">
        <v>6</v>
      </c>
      <c r="D4" s="5"/>
      <c r="E4" s="6"/>
      <c r="F4" s="14">
        <f>+E1003</f>
        <v>39.998222134123267</v>
      </c>
    </row>
    <row r="5" spans="1:51" ht="15.75" thickBot="1" x14ac:dyDescent="0.3">
      <c r="D5" s="15" t="s">
        <v>7</v>
      </c>
      <c r="E5" s="16" t="s">
        <v>8</v>
      </c>
      <c r="F5" s="16" t="s">
        <v>9</v>
      </c>
      <c r="G5" s="17" t="s">
        <v>10</v>
      </c>
      <c r="H5" s="18" t="s">
        <v>0</v>
      </c>
      <c r="I5" s="17" t="s">
        <v>11</v>
      </c>
      <c r="K5" s="19" t="s">
        <v>12</v>
      </c>
      <c r="L5" s="20" t="s">
        <v>13</v>
      </c>
    </row>
    <row r="6" spans="1:51" x14ac:dyDescent="0.25">
      <c r="A6">
        <f>MONTH(D6)</f>
        <v>11</v>
      </c>
      <c r="B6">
        <f>YEAR(D6)</f>
        <v>2023</v>
      </c>
      <c r="D6" s="21" cm="1">
        <f t="array" ref="D6">IF(ROWS($D6:D$7)&gt;COUNTIF('[1]U$S'!$H$5:$H$1008,$L$5),"",INDEX(CuentaUS,_xlfn.AGGREGATE(15,6,ROW('[1]U$S'!$H$5:$H$1008)-ROW('[1]U$S'!$O$5)+1/--('[1]U$S'!$H$5:$H$1008=$L$5),ROWS($D6:D$7)),1))</f>
        <v>45250</v>
      </c>
      <c r="E6" s="22" cm="1">
        <f t="array" ref="E6">IF(ROWS($E6:E$7)&gt;COUNTIF('[1]U$S'!$H$5:$H$1008,$L$5),"",INDEX(CuentaUS,_xlfn.AGGREGATE(15,6,ROW('[1]U$S'!$H$5:$H$1008)-ROW('[1]U$S'!$O$5)+1/--('[1]U$S'!$H$5:$H$1008=$L$5),ROWS($E6:E$7)),6))</f>
        <v>2297.67</v>
      </c>
      <c r="F6" s="22">
        <f>IF(E6="","",IF(E6&gt;0,SUMIFS('[1]UY$'!$L$5:$L$993,'[1]UY$'!$O$5:$O$993,"Cambio",'[1]UY$'!$E$5:$E$993,'Efecto TC'!D6),""))</f>
        <v>90000</v>
      </c>
      <c r="G6" s="23">
        <f>IF(F6="","",F6/E6)</f>
        <v>39.170115812975752</v>
      </c>
      <c r="H6" s="22">
        <f>IF(E6="","",F6/$F$2-F6/G6)</f>
        <v>-154.81285714285741</v>
      </c>
      <c r="I6" s="22">
        <f>+H6</f>
        <v>-154.81285714285741</v>
      </c>
      <c r="Q6" t="s">
        <v>14</v>
      </c>
      <c r="R6" s="24">
        <f>E6/$E$1001</f>
        <v>2.6998288802918609E-4</v>
      </c>
      <c r="S6" s="25">
        <f>R6*G6</f>
        <v>1.0575260991624884E-2</v>
      </c>
      <c r="T6" s="26">
        <f>MONTH(T8)</f>
        <v>11</v>
      </c>
      <c r="U6" s="26">
        <f t="shared" ref="U6:AY6" si="0">MONTH(U8)</f>
        <v>12</v>
      </c>
      <c r="V6" s="26">
        <f t="shared" si="0"/>
        <v>1</v>
      </c>
      <c r="W6" s="26">
        <f t="shared" si="0"/>
        <v>2</v>
      </c>
      <c r="X6" s="26">
        <f t="shared" si="0"/>
        <v>3</v>
      </c>
      <c r="Y6" s="26">
        <f t="shared" si="0"/>
        <v>4</v>
      </c>
      <c r="Z6" s="26">
        <f t="shared" si="0"/>
        <v>5</v>
      </c>
      <c r="AA6" s="26">
        <f t="shared" si="0"/>
        <v>6</v>
      </c>
      <c r="AB6" s="26">
        <f t="shared" si="0"/>
        <v>7</v>
      </c>
      <c r="AC6" s="26">
        <f t="shared" si="0"/>
        <v>8</v>
      </c>
      <c r="AD6" s="26">
        <f t="shared" si="0"/>
        <v>9</v>
      </c>
      <c r="AE6" s="26">
        <f t="shared" si="0"/>
        <v>10</v>
      </c>
      <c r="AF6" s="26">
        <f t="shared" si="0"/>
        <v>11</v>
      </c>
      <c r="AG6" s="26">
        <f t="shared" si="0"/>
        <v>12</v>
      </c>
      <c r="AH6" s="26">
        <f t="shared" si="0"/>
        <v>1</v>
      </c>
      <c r="AI6" s="26">
        <f t="shared" si="0"/>
        <v>2</v>
      </c>
      <c r="AJ6" s="26">
        <f t="shared" si="0"/>
        <v>3</v>
      </c>
      <c r="AK6" s="26">
        <f t="shared" si="0"/>
        <v>4</v>
      </c>
      <c r="AL6" s="26">
        <f t="shared" si="0"/>
        <v>5</v>
      </c>
      <c r="AM6" s="26">
        <f t="shared" si="0"/>
        <v>6</v>
      </c>
      <c r="AN6" s="26">
        <f t="shared" si="0"/>
        <v>7</v>
      </c>
      <c r="AO6" s="26">
        <f t="shared" si="0"/>
        <v>8</v>
      </c>
      <c r="AP6" s="26">
        <f t="shared" si="0"/>
        <v>9</v>
      </c>
      <c r="AQ6" s="26">
        <f t="shared" si="0"/>
        <v>10</v>
      </c>
      <c r="AR6" s="26">
        <f t="shared" si="0"/>
        <v>11</v>
      </c>
      <c r="AS6" s="26">
        <f t="shared" si="0"/>
        <v>12</v>
      </c>
      <c r="AT6" s="26">
        <f t="shared" si="0"/>
        <v>1</v>
      </c>
      <c r="AU6" s="26">
        <f t="shared" si="0"/>
        <v>2</v>
      </c>
      <c r="AV6" s="26">
        <f t="shared" si="0"/>
        <v>3</v>
      </c>
      <c r="AW6" s="26">
        <f t="shared" si="0"/>
        <v>4</v>
      </c>
      <c r="AX6" s="26">
        <f t="shared" si="0"/>
        <v>5</v>
      </c>
      <c r="AY6" s="26">
        <f t="shared" si="0"/>
        <v>6</v>
      </c>
    </row>
    <row r="7" spans="1:51" x14ac:dyDescent="0.25">
      <c r="A7">
        <f t="shared" ref="A7:A70" si="1">MONTH(D7)</f>
        <v>11</v>
      </c>
      <c r="B7">
        <f t="shared" ref="B7:B70" si="2">YEAR(D7)</f>
        <v>2023</v>
      </c>
      <c r="D7" s="21" cm="1">
        <f t="array" ref="D7">IF(ROWS($D$7:D7)&gt;COUNTIF('[1]U$S'!$H$5:$H$1008,$L$5),"",INDEX(CuentaUS,_xlfn.AGGREGATE(15,6,ROW('[1]U$S'!$H$5:$H$1008)-ROW('[1]U$S'!$O$5)+1/--('[1]U$S'!$H$5:$H$1008=$L$5),ROWS($D$7:D7)),1))</f>
        <v>45239</v>
      </c>
      <c r="E7" s="22" cm="1">
        <f t="array" ref="E7">IF(ROWS($E$7:E7)&gt;COUNTIF('[1]U$S'!$H$5:$H$1008,$L$5),"",INDEX(CuentaUS,_xlfn.AGGREGATE(15,6,ROW('[1]U$S'!$H$5:$H$1008)-ROW('[1]U$S'!$O$5)+1/--('[1]U$S'!$H$5:$H$1008=$L$5),ROWS($E$7:E7)),6))</f>
        <v>3780.24</v>
      </c>
      <c r="F7" s="22">
        <f>IF(E7="","",IF(E7&gt;0,SUMIFS('[1]UY$'!$L$5:$L$993,'[1]UY$'!$O$5:$O$993,"Cambio",'[1]UY$'!$E$5:$E$993,'Efecto TC'!D7),""))</f>
        <v>150000</v>
      </c>
      <c r="G7" s="23">
        <f>IF(F7="","",F7/E7)</f>
        <v>39.680020316170406</v>
      </c>
      <c r="H7" s="22">
        <f>IF(E7="","",F7/$F$2-F7/G7)</f>
        <v>-208.81142857142822</v>
      </c>
      <c r="I7" s="22">
        <f>IF(H7="","",+H7+I6)</f>
        <v>-363.62428571428563</v>
      </c>
      <c r="Q7" t="s">
        <v>15</v>
      </c>
      <c r="R7" s="24">
        <f t="shared" ref="R7:R70" si="3">E7/$E$1001</f>
        <v>4.4418916234422281E-4</v>
      </c>
      <c r="S7" s="25">
        <f t="shared" ref="S7:S70" si="4">R7*G7</f>
        <v>1.7625434986041476E-2</v>
      </c>
      <c r="T7">
        <f>YEAR(T8)</f>
        <v>2023</v>
      </c>
      <c r="U7">
        <f t="shared" ref="U7:AY7" si="5">YEAR(U8)</f>
        <v>2023</v>
      </c>
      <c r="V7">
        <f t="shared" si="5"/>
        <v>2024</v>
      </c>
      <c r="W7">
        <f t="shared" si="5"/>
        <v>2024</v>
      </c>
      <c r="X7">
        <f t="shared" si="5"/>
        <v>2024</v>
      </c>
      <c r="Y7">
        <f t="shared" si="5"/>
        <v>2024</v>
      </c>
      <c r="Z7">
        <f t="shared" si="5"/>
        <v>2024</v>
      </c>
      <c r="AA7">
        <f t="shared" si="5"/>
        <v>2024</v>
      </c>
      <c r="AB7">
        <f t="shared" si="5"/>
        <v>2024</v>
      </c>
      <c r="AC7">
        <f t="shared" si="5"/>
        <v>2024</v>
      </c>
      <c r="AD7">
        <f t="shared" si="5"/>
        <v>2024</v>
      </c>
      <c r="AE7">
        <f t="shared" si="5"/>
        <v>2024</v>
      </c>
      <c r="AF7">
        <f t="shared" si="5"/>
        <v>2024</v>
      </c>
      <c r="AG7">
        <f t="shared" si="5"/>
        <v>2024</v>
      </c>
      <c r="AH7">
        <f t="shared" si="5"/>
        <v>2025</v>
      </c>
      <c r="AI7">
        <f t="shared" si="5"/>
        <v>2025</v>
      </c>
      <c r="AJ7">
        <f t="shared" si="5"/>
        <v>2025</v>
      </c>
      <c r="AK7">
        <f t="shared" si="5"/>
        <v>2025</v>
      </c>
      <c r="AL7">
        <f t="shared" si="5"/>
        <v>2025</v>
      </c>
      <c r="AM7">
        <f t="shared" si="5"/>
        <v>2025</v>
      </c>
      <c r="AN7">
        <f t="shared" si="5"/>
        <v>2025</v>
      </c>
      <c r="AO7">
        <f t="shared" si="5"/>
        <v>2025</v>
      </c>
      <c r="AP7">
        <f t="shared" si="5"/>
        <v>2025</v>
      </c>
      <c r="AQ7">
        <f t="shared" si="5"/>
        <v>2025</v>
      </c>
      <c r="AR7">
        <f t="shared" si="5"/>
        <v>2025</v>
      </c>
      <c r="AS7">
        <f t="shared" si="5"/>
        <v>2025</v>
      </c>
      <c r="AT7">
        <f t="shared" si="5"/>
        <v>2026</v>
      </c>
      <c r="AU7">
        <f t="shared" si="5"/>
        <v>2026</v>
      </c>
      <c r="AV7">
        <f t="shared" si="5"/>
        <v>2026</v>
      </c>
      <c r="AW7">
        <f t="shared" si="5"/>
        <v>2026</v>
      </c>
      <c r="AX7">
        <f t="shared" si="5"/>
        <v>2026</v>
      </c>
      <c r="AY7">
        <f t="shared" si="5"/>
        <v>2026</v>
      </c>
    </row>
    <row r="8" spans="1:51" ht="18.75" x14ac:dyDescent="0.25">
      <c r="A8">
        <f t="shared" si="1"/>
        <v>11</v>
      </c>
      <c r="B8">
        <f t="shared" si="2"/>
        <v>2023</v>
      </c>
      <c r="D8" s="21" cm="1">
        <f t="array" ref="D8">IF(ROWS($D$7:D8)&gt;COUNTIF('[1]U$S'!$H$5:$H$1008,$L$5),"",INDEX(CuentaUS,_xlfn.AGGREGATE(15,6,ROW('[1]U$S'!$H$5:$H$1008)-ROW('[1]U$S'!$O$5)+1/--('[1]U$S'!$H$5:$H$1008=$L$5),ROWS($D$7:D8)),1))</f>
        <v>45250</v>
      </c>
      <c r="E8" s="22" cm="1">
        <f t="array" ref="E8">IF(ROWS($E$7:E8)&gt;COUNTIF('[1]U$S'!$H$5:$H$1008,$L$5),"",INDEX(CuentaUS,_xlfn.AGGREGATE(15,6,ROW('[1]U$S'!$H$5:$H$1008)-ROW('[1]U$S'!$O$5)+1/--('[1]U$S'!$H$5:$H$1008=$L$5),ROWS($E$7:E8)),6))</f>
        <v>2297.67</v>
      </c>
      <c r="F8" s="22">
        <f>IF(E8="","",IF(E8&gt;0,SUMIFS('[1]UY$'!$L$5:$L$993,'[1]UY$'!$O$5:$O$993,"Cambio",'[1]UY$'!$E$5:$E$993,'Efecto TC'!D8),""))</f>
        <v>90000</v>
      </c>
      <c r="G8" s="23">
        <f t="shared" ref="G8:G71" si="6">IF(F8="","",F8/E8)</f>
        <v>39.170115812975752</v>
      </c>
      <c r="H8" s="22">
        <f>IF(E8="","",F8/$F$2-F8/G8)</f>
        <v>-154.81285714285741</v>
      </c>
      <c r="I8" s="22">
        <f>IF(H8="","",+H8+I7)</f>
        <v>-518.43714285714304</v>
      </c>
      <c r="K8" s="27" t="s">
        <v>16</v>
      </c>
      <c r="L8" s="28"/>
      <c r="M8" s="29"/>
      <c r="N8" s="29"/>
      <c r="O8" s="29"/>
      <c r="P8" s="29"/>
      <c r="R8" s="24">
        <f t="shared" si="3"/>
        <v>2.6998288802918609E-4</v>
      </c>
      <c r="S8" s="25">
        <f t="shared" si="4"/>
        <v>1.0575260991624884E-2</v>
      </c>
      <c r="T8" s="30">
        <v>45231</v>
      </c>
      <c r="U8" s="30">
        <v>45261</v>
      </c>
      <c r="V8" s="30">
        <v>45292</v>
      </c>
      <c r="W8" s="30">
        <v>45323</v>
      </c>
      <c r="X8" s="30">
        <v>45352</v>
      </c>
      <c r="Y8" s="30">
        <v>45383</v>
      </c>
      <c r="Z8" s="30">
        <v>45413</v>
      </c>
      <c r="AA8" s="30">
        <v>45444</v>
      </c>
      <c r="AB8" s="30">
        <v>45474</v>
      </c>
      <c r="AC8" s="30">
        <v>45505</v>
      </c>
      <c r="AD8" s="30">
        <v>45536</v>
      </c>
      <c r="AE8" s="30">
        <v>45566</v>
      </c>
      <c r="AF8" s="30">
        <v>45597</v>
      </c>
      <c r="AG8" s="30">
        <v>45627</v>
      </c>
      <c r="AH8" s="30">
        <v>45658</v>
      </c>
      <c r="AI8" s="30">
        <v>45689</v>
      </c>
      <c r="AJ8" s="30">
        <v>45717</v>
      </c>
      <c r="AK8" s="30">
        <v>45748</v>
      </c>
      <c r="AL8" s="30">
        <v>45778</v>
      </c>
      <c r="AM8" s="30">
        <v>45809</v>
      </c>
      <c r="AN8" s="30">
        <v>45839</v>
      </c>
      <c r="AO8" s="30">
        <v>45870</v>
      </c>
      <c r="AP8" s="30">
        <v>45901</v>
      </c>
      <c r="AQ8" s="30">
        <v>45931</v>
      </c>
      <c r="AR8" s="30">
        <v>45962</v>
      </c>
      <c r="AS8" s="30">
        <v>45992</v>
      </c>
      <c r="AT8" s="30">
        <v>46023</v>
      </c>
      <c r="AU8" s="30">
        <v>46054</v>
      </c>
      <c r="AV8" s="30">
        <v>46082</v>
      </c>
      <c r="AW8" s="30">
        <v>46113</v>
      </c>
      <c r="AX8" s="30">
        <v>46143</v>
      </c>
      <c r="AY8" s="30">
        <v>46174</v>
      </c>
    </row>
    <row r="9" spans="1:51" x14ac:dyDescent="0.25">
      <c r="A9">
        <f t="shared" si="1"/>
        <v>11</v>
      </c>
      <c r="B9">
        <f t="shared" si="2"/>
        <v>2023</v>
      </c>
      <c r="D9" s="21" cm="1">
        <f t="array" ref="D9">IF(ROWS($D$7:D9)&gt;COUNTIF('[1]U$S'!$H$5:$H$1008,$L$5),"",INDEX(CuentaUS,_xlfn.AGGREGATE(15,6,ROW('[1]U$S'!$H$5:$H$1008)-ROW('[1]U$S'!$O$5)+1/--('[1]U$S'!$H$5:$H$1008=$L$5),ROWS($D$7:D9)),1))</f>
        <v>45258</v>
      </c>
      <c r="E9" s="22" cm="1">
        <f t="array" ref="E9">IF(ROWS($E$7:E9)&gt;COUNTIF('[1]U$S'!$H$5:$H$1008,$L$5),"",INDEX(CuentaUS,_xlfn.AGGREGATE(15,6,ROW('[1]U$S'!$H$5:$H$1008)-ROW('[1]U$S'!$O$5)+1/--('[1]U$S'!$H$5:$H$1008=$L$5),ROWS($E$7:E9)),6))</f>
        <v>5726.07</v>
      </c>
      <c r="F9" s="22">
        <f>IF(E9="","",IF(E9&gt;0,SUMIFS('[1]UY$'!$L$5:$L$993,'[1]UY$'!$O$5:$O$993,"Cambio",'[1]UY$'!$E$5:$E$993,'Efecto TC'!D9),""))</f>
        <v>222000</v>
      </c>
      <c r="G9" s="23">
        <f>IF(F9="","",F9/E9)</f>
        <v>38.770046471663811</v>
      </c>
      <c r="H9" s="22">
        <f>IF(E9="","",F9/$F$2-F9/G9)</f>
        <v>-440.35571428571438</v>
      </c>
      <c r="I9" s="22">
        <f>IF(H9="","",+H9+I8)</f>
        <v>-958.79285714285743</v>
      </c>
      <c r="K9" s="31"/>
      <c r="L9" s="31"/>
      <c r="M9" s="31"/>
      <c r="N9" s="31"/>
      <c r="O9" s="31"/>
      <c r="P9" s="32"/>
      <c r="R9" s="24">
        <f t="shared" si="3"/>
        <v>6.7282983007014999E-4</v>
      </c>
      <c r="S9" s="25">
        <f t="shared" si="4"/>
        <v>2.6085643779341382E-2</v>
      </c>
      <c r="T9" s="33">
        <f>SUM(H6:H9)</f>
        <v>-958.79285714285743</v>
      </c>
      <c r="U9" s="33">
        <f>+H10+H11</f>
        <v>-782.55047619047582</v>
      </c>
      <c r="X9" s="33">
        <f>+H12+H13+H14+H15</f>
        <v>-5656.3200000000024</v>
      </c>
      <c r="Y9" s="33">
        <f>+H16</f>
        <v>-2680.5361904761921</v>
      </c>
      <c r="AB9" s="33">
        <f>SUM(H17:H20)</f>
        <v>-1805.890476190473</v>
      </c>
      <c r="AC9" s="33">
        <f>SUM(H21:H24)</f>
        <v>-822.31428571428728</v>
      </c>
      <c r="AD9" s="33">
        <f>SUM(H25:H27)</f>
        <v>-102.65761904761962</v>
      </c>
      <c r="AE9" s="33">
        <f>SUM(H28:H30)</f>
        <v>-83.272380952381127</v>
      </c>
      <c r="AF9" s="33">
        <f>SUM(H31:H34)</f>
        <v>962.7338095238099</v>
      </c>
      <c r="AG9" s="33">
        <f>SUM(H35:H38)</f>
        <v>5574.5509523809578</v>
      </c>
      <c r="AH9" s="33">
        <f>SUM(H39:H44)</f>
        <v>531.33190476190407</v>
      </c>
      <c r="AI9" s="33">
        <f>SUM(H45:H46)</f>
        <v>2167.037142857138</v>
      </c>
      <c r="AJ9" s="33">
        <f>SUM(H47:H50)</f>
        <v>437.45047619046818</v>
      </c>
      <c r="AK9" s="33">
        <f>SUM(H51:H59)</f>
        <v>6834.6157142856828</v>
      </c>
      <c r="AL9" s="33">
        <f>SUM(H60:H66)</f>
        <v>-5524.7819047618996</v>
      </c>
      <c r="AM9" s="33">
        <f>SUM(H67:H71)</f>
        <v>-20403.749047619051</v>
      </c>
      <c r="AN9" s="33">
        <f>SUM(H72:H76)</f>
        <v>-22349.258095238129</v>
      </c>
      <c r="AO9" s="33">
        <f>SUM(H77:H81)</f>
        <v>-22142.205714285774</v>
      </c>
      <c r="AP9" s="33">
        <f>SUM(H82:H83)</f>
        <v>-32453.467142857146</v>
      </c>
      <c r="AQ9" s="33">
        <f>SUM(H84:H89)</f>
        <v>-32877.93761904772</v>
      </c>
      <c r="AR9" s="33">
        <f>SUM(H90:H94)</f>
        <v>-50759.281428571565</v>
      </c>
      <c r="AS9" s="33">
        <f>SUM(H95:H97)</f>
        <v>-51897.919047619012</v>
      </c>
      <c r="AT9" s="33">
        <f>SUM(H98:H102)</f>
        <v>-59431.809047619041</v>
      </c>
      <c r="AU9" s="33">
        <f>SUM(H103:H106)</f>
        <v>-31477.903333333346</v>
      </c>
      <c r="AV9" s="33">
        <f>SUM(H107:H113)</f>
        <v>-17562.853809523775</v>
      </c>
      <c r="AW9" s="33">
        <f>SUM(H114:H117)</f>
        <v>-6492.9123809523835</v>
      </c>
      <c r="AX9" s="33">
        <f>SUM(H118:H122)</f>
        <v>-36525.060000000005</v>
      </c>
      <c r="AY9" s="33">
        <f>SUM(H123:H126)</f>
        <v>-19334.983333333323</v>
      </c>
    </row>
    <row r="10" spans="1:51" ht="18.75" x14ac:dyDescent="0.25">
      <c r="A10">
        <f t="shared" si="1"/>
        <v>12</v>
      </c>
      <c r="B10">
        <f t="shared" si="2"/>
        <v>2023</v>
      </c>
      <c r="D10" s="21" cm="1">
        <f t="array" ref="D10">IF(ROWS($D$7:D10)&gt;COUNTIF('[1]U$S'!$H$5:$H$1008,$L$5),"",INDEX(CuentaUS,_xlfn.AGGREGATE(15,6,ROW('[1]U$S'!$H$5:$H$1008)-ROW('[1]U$S'!$O$5)+1/--('[1]U$S'!$H$5:$H$1008=$L$5),ROWS($D$7:D10)),1))</f>
        <v>45279</v>
      </c>
      <c r="E10" s="22" cm="1">
        <f t="array" ref="E10">IF(ROWS($E$7:E10)&gt;COUNTIF('[1]U$S'!$H$5:$H$1008,$L$5),"",INDEX(CuentaUS,_xlfn.AGGREGATE(15,6,ROW('[1]U$S'!$H$5:$H$1008)-ROW('[1]U$S'!$O$5)+1/--('[1]U$S'!$H$5:$H$1008=$L$5),ROWS($E$7:E10)),6))</f>
        <v>1278.77</v>
      </c>
      <c r="F10" s="22">
        <f>IF(E10="","",IF(E10&gt;0,SUMIFS('[1]UY$'!$L$5:$L$993,'[1]UY$'!$O$5:$O$993,"Cambio",'[1]UY$'!$E$5:$E$993,'Efecto TC'!D10),""))</f>
        <v>50000</v>
      </c>
      <c r="G10" s="23">
        <f t="shared" ref="G10:G73" si="7">IF(F10="","",F10/E10)</f>
        <v>39.100072726135274</v>
      </c>
      <c r="H10" s="22">
        <f>IF(E10="","",F10/$F$2-F10/G10)</f>
        <v>-88.293809523809614</v>
      </c>
      <c r="I10" s="22">
        <f t="shared" ref="I10:I73" si="8">IF(H10="","",+H10+I9)</f>
        <v>-1047.086666666667</v>
      </c>
      <c r="K10" s="34" t="s">
        <v>17</v>
      </c>
      <c r="L10" s="35">
        <f>+[1]Presupuesto!C9*F2</f>
        <v>613337046</v>
      </c>
      <c r="M10" s="29"/>
      <c r="N10" s="29"/>
      <c r="O10" s="29"/>
      <c r="P10" s="29"/>
      <c r="R10" s="24">
        <f t="shared" si="3"/>
        <v>1.502591833140017E-4</v>
      </c>
      <c r="S10" s="25">
        <f t="shared" si="4"/>
        <v>5.8751449953471585E-3</v>
      </c>
    </row>
    <row r="11" spans="1:51" ht="18.75" x14ac:dyDescent="0.25">
      <c r="A11">
        <f t="shared" si="1"/>
        <v>12</v>
      </c>
      <c r="B11">
        <f t="shared" si="2"/>
        <v>2023</v>
      </c>
      <c r="D11" s="21" cm="1">
        <f t="array" ref="D11">IF(ROWS($D$7:D11)&gt;COUNTIF('[1]U$S'!$H$5:$H$1008,$L$5),"",INDEX(CuentaUS,_xlfn.AGGREGATE(15,6,ROW('[1]U$S'!$H$5:$H$1008)-ROW('[1]U$S'!$O$5)+1/--('[1]U$S'!$H$5:$H$1008=$L$5),ROWS($D$7:D11)),1))</f>
        <v>45288</v>
      </c>
      <c r="E11" s="22" cm="1">
        <f t="array" ref="E11">IF(ROWS($E$7:E11)&gt;COUNTIF('[1]U$S'!$H$5:$H$1008,$L$5),"",INDEX(CuentaUS,_xlfn.AGGREGATE(15,6,ROW('[1]U$S'!$H$5:$H$1008)-ROW('[1]U$S'!$O$5)+1/--('[1]U$S'!$H$5:$H$1008=$L$5),ROWS($E$7:E11)),6))</f>
        <v>9027.59</v>
      </c>
      <c r="F11" s="22">
        <f>IF(E11="","",IF(E11&gt;0,SUMIFS('[1]UY$'!$L$5:$L$993,'[1]UY$'!$O$5:$O$993,"Cambio",'[1]UY$'!$E$5:$E$993,'Efecto TC'!D11),""))</f>
        <v>350000</v>
      </c>
      <c r="G11" s="23">
        <f t="shared" si="7"/>
        <v>38.770037186004238</v>
      </c>
      <c r="H11" s="22">
        <f t="shared" ref="H11:H70" si="9">IF(E11="","",F11/$F$2-F11/G11)</f>
        <v>-694.25666666666621</v>
      </c>
      <c r="I11" s="22">
        <f t="shared" si="8"/>
        <v>-1741.3433333333332</v>
      </c>
      <c r="K11" s="34" t="s">
        <v>18</v>
      </c>
      <c r="L11" s="35">
        <f>+[1]Presupuesto!C11*F2</f>
        <v>102842560</v>
      </c>
      <c r="M11" s="31"/>
      <c r="N11" s="31"/>
      <c r="O11" s="31"/>
      <c r="P11" s="32"/>
      <c r="R11" s="24">
        <f t="shared" si="3"/>
        <v>1.0607680041709211E-3</v>
      </c>
      <c r="S11" s="25">
        <f t="shared" si="4"/>
        <v>4.1126014967430111E-2</v>
      </c>
      <c r="T11" s="25"/>
    </row>
    <row r="12" spans="1:51" ht="18.75" x14ac:dyDescent="0.25">
      <c r="A12">
        <f t="shared" si="1"/>
        <v>3</v>
      </c>
      <c r="B12">
        <f t="shared" si="2"/>
        <v>2024</v>
      </c>
      <c r="D12" s="21" cm="1">
        <f t="array" ref="D12">IF(ROWS($D$7:D12)&gt;COUNTIF('[1]U$S'!$H$5:$H$1008,$L$5),"",INDEX(CuentaUS,_xlfn.AGGREGATE(15,6,ROW('[1]U$S'!$H$5:$H$1008)-ROW('[1]U$S'!$O$5)+1/--('[1]U$S'!$H$5:$H$1008=$L$5),ROWS($D$7:D12)),1))</f>
        <v>45352</v>
      </c>
      <c r="E12" s="22" cm="1">
        <f t="array" ref="E12">IF(ROWS($E$7:E12)&gt;COUNTIF('[1]U$S'!$H$5:$H$1008,$L$5),"",INDEX(CuentaUS,_xlfn.AGGREGATE(15,6,ROW('[1]U$S'!$H$5:$H$1008)-ROW('[1]U$S'!$O$5)+1/--('[1]U$S'!$H$5:$H$1008=$L$5),ROWS($E$7:E12)),6))</f>
        <v>3608.24</v>
      </c>
      <c r="F12" s="22">
        <f>IF(E12="","",IF(E12&gt;0,SUMIFS('[1]UY$'!$L$5:$L$993,'[1]UY$'!$O$5:$O$993,"Cambio",'[1]UY$'!$E$5:$E$993,'Efecto TC'!D12),""))</f>
        <v>140000</v>
      </c>
      <c r="G12" s="23">
        <f t="shared" si="7"/>
        <v>38.800079817307058</v>
      </c>
      <c r="H12" s="22">
        <f>IF(E12="","",F12/$F$2-F12/G12)</f>
        <v>-274.90666666666584</v>
      </c>
      <c r="I12" s="22">
        <f t="shared" si="8"/>
        <v>-2016.2499999999991</v>
      </c>
      <c r="K12" s="34" t="s">
        <v>19</v>
      </c>
      <c r="L12" s="35">
        <f>+[1]Presupuesto!C53*F2</f>
        <v>44780716</v>
      </c>
      <c r="O12" s="36"/>
      <c r="P12" s="37"/>
      <c r="R12" s="24">
        <f t="shared" si="3"/>
        <v>4.2397866356022856E-4</v>
      </c>
      <c r="S12" s="25">
        <f t="shared" si="4"/>
        <v>1.6450405986972044E-2</v>
      </c>
    </row>
    <row r="13" spans="1:51" ht="18.75" x14ac:dyDescent="0.25">
      <c r="A13">
        <f t="shared" si="1"/>
        <v>3</v>
      </c>
      <c r="B13">
        <f t="shared" si="2"/>
        <v>2024</v>
      </c>
      <c r="D13" s="21" cm="1">
        <f t="array" ref="D13">IF(ROWS($D$7:D13)&gt;COUNTIF('[1]U$S'!$H$5:$H$1008,$L$5),"",INDEX(CuentaUS,_xlfn.AGGREGATE(15,6,ROW('[1]U$S'!$H$5:$H$1008)-ROW('[1]U$S'!$O$5)+1/--('[1]U$S'!$H$5:$H$1008=$L$5),ROWS($D$7:D13)),1))</f>
        <v>45370</v>
      </c>
      <c r="E13" s="22" cm="1">
        <f t="array" ref="E13">IF(ROWS($E$7:E13)&gt;COUNTIF('[1]U$S'!$H$5:$H$1008,$L$5),"",INDEX(CuentaUS,_xlfn.AGGREGATE(15,6,ROW('[1]U$S'!$H$5:$H$1008)-ROW('[1]U$S'!$O$5)+1/--('[1]U$S'!$H$5:$H$1008=$L$5),ROWS($E$7:E13)),6))</f>
        <v>31054.27</v>
      </c>
      <c r="F13" s="22">
        <f>IF(E13="","",IF(E13&gt;0,SUMIFS('[1]UY$'!$L$5:$L$993,'[1]UY$'!$O$5:$O$993,"Cambio",'[1]UY$'!$E$5:$E$993,'Efecto TC'!D13),""))</f>
        <v>1190000</v>
      </c>
      <c r="G13" s="23">
        <f t="shared" si="7"/>
        <v>38.320012030551673</v>
      </c>
      <c r="H13" s="22">
        <f t="shared" ref="H13:H72" si="10">IF(E13="","",F13/$F$2-F13/G13)</f>
        <v>-2720.9366666666683</v>
      </c>
      <c r="I13" s="22">
        <f t="shared" si="8"/>
        <v>-4737.1866666666674</v>
      </c>
      <c r="K13" s="38" t="s">
        <v>20</v>
      </c>
      <c r="L13" s="39">
        <f>+L10+L11+L12</f>
        <v>760960322</v>
      </c>
      <c r="O13" s="36"/>
      <c r="P13" s="40"/>
      <c r="R13" s="24">
        <f t="shared" si="3"/>
        <v>3.6489667794931879E-3</v>
      </c>
      <c r="S13" s="25">
        <f t="shared" si="4"/>
        <v>0.13982845088926235</v>
      </c>
    </row>
    <row r="14" spans="1:51" x14ac:dyDescent="0.25">
      <c r="A14">
        <f t="shared" si="1"/>
        <v>3</v>
      </c>
      <c r="B14">
        <f t="shared" si="2"/>
        <v>2024</v>
      </c>
      <c r="D14" s="21" cm="1">
        <f t="array" ref="D14">IF(ROWS($D$7:D14)&gt;COUNTIF('[1]U$S'!$H$5:$H$1008,$L$5),"",INDEX(CuentaUS,_xlfn.AGGREGATE(15,6,ROW('[1]U$S'!$H$5:$H$1008)-ROW('[1]U$S'!$O$5)+1/--('[1]U$S'!$H$5:$H$1008=$L$5),ROWS($D$7:D14)),1))</f>
        <v>45371</v>
      </c>
      <c r="E14" s="22" cm="1">
        <f t="array" ref="E14">IF(ROWS($E$7:E14)&gt;COUNTIF('[1]U$S'!$H$5:$H$1008,$L$5),"",INDEX(CuentaUS,_xlfn.AGGREGATE(15,6,ROW('[1]U$S'!$H$5:$H$1008)-ROW('[1]U$S'!$O$5)+1/--('[1]U$S'!$H$5:$H$1008=$L$5),ROWS($E$7:E14)),6))</f>
        <v>20927.150000000001</v>
      </c>
      <c r="F14" s="22">
        <f>IF(E14="","",IF(E14&gt;0,SUMIFS('[1]UY$'!$L$5:$L$993,'[1]UY$'!$O$5:$O$993,"Cambio",'[1]UY$'!$E$5:$E$993,'Efecto TC'!D14),""))</f>
        <v>790000</v>
      </c>
      <c r="G14" s="23">
        <f t="shared" si="7"/>
        <v>37.750004181171349</v>
      </c>
      <c r="H14" s="22">
        <f>IF(E14="","",F14/$F$2-F14/G14)</f>
        <v>-2117.6261904761923</v>
      </c>
      <c r="I14" s="22">
        <f t="shared" si="8"/>
        <v>-6854.8128571428597</v>
      </c>
      <c r="K14" s="41"/>
      <c r="L14" s="41"/>
      <c r="R14" s="24">
        <f t="shared" si="3"/>
        <v>2.4590008117875858E-3</v>
      </c>
      <c r="S14" s="25">
        <f t="shared" si="4"/>
        <v>9.2827290926485104E-2</v>
      </c>
    </row>
    <row r="15" spans="1:51" ht="18.75" x14ac:dyDescent="0.25">
      <c r="A15">
        <f t="shared" si="1"/>
        <v>3</v>
      </c>
      <c r="B15">
        <f t="shared" si="2"/>
        <v>2024</v>
      </c>
      <c r="D15" s="21" cm="1">
        <f t="array" ref="D15">IF(ROWS($D$7:D15)&gt;COUNTIF('[1]U$S'!$H$5:$H$1008,$L$5),"",INDEX(CuentaUS,_xlfn.AGGREGATE(15,6,ROW('[1]U$S'!$H$5:$H$1008)-ROW('[1]U$S'!$O$5)+1/--('[1]U$S'!$H$5:$H$1008=$L$5),ROWS($D$7:D15)),1))</f>
        <v>45373</v>
      </c>
      <c r="E15" s="22" cm="1">
        <f t="array" ref="E15">IF(ROWS($E$7:E15)&gt;COUNTIF('[1]U$S'!$H$5:$H$1008,$L$5),"",INDEX(CuentaUS,_xlfn.AGGREGATE(15,6,ROW('[1]U$S'!$H$5:$H$1008)-ROW('[1]U$S'!$O$5)+1/--('[1]U$S'!$H$5:$H$1008=$L$5),ROWS($E$7:E15)),6))</f>
        <v>5066.66</v>
      </c>
      <c r="F15" s="22">
        <f>IF(E15="","",IF(E15&gt;0,SUMIFS('[1]UY$'!$L$5:$L$993,'[1]UY$'!$O$5:$O$993,"Cambio",'[1]UY$'!$E$5:$E$993,'Efecto TC'!D15),""))</f>
        <v>190000</v>
      </c>
      <c r="G15" s="23">
        <f t="shared" si="7"/>
        <v>37.500049342170186</v>
      </c>
      <c r="H15" s="22">
        <f t="shared" ref="H15:H74" si="11">IF(E15="","",F15/$F$2-F15/G15)</f>
        <v>-542.850476190476</v>
      </c>
      <c r="I15" s="22">
        <f t="shared" si="8"/>
        <v>-7397.6633333333357</v>
      </c>
      <c r="K15" s="27" t="s">
        <v>21</v>
      </c>
      <c r="L15" s="28"/>
      <c r="M15" s="36"/>
      <c r="N15" s="36"/>
      <c r="R15" s="24">
        <f t="shared" si="3"/>
        <v>5.9534724284251268E-4</v>
      </c>
      <c r="S15" s="25">
        <f t="shared" si="4"/>
        <v>2.2325550982319201E-2</v>
      </c>
    </row>
    <row r="16" spans="1:51" ht="15" customHeight="1" x14ac:dyDescent="0.25">
      <c r="A16">
        <f t="shared" si="1"/>
        <v>4</v>
      </c>
      <c r="B16">
        <f t="shared" si="2"/>
        <v>2024</v>
      </c>
      <c r="D16" s="21" cm="1">
        <f t="array" ref="D16">IF(ROWS($D$7:D16)&gt;COUNTIF('[1]U$S'!$H$5:$H$1008,$L$5),"",INDEX(CuentaUS,_xlfn.AGGREGATE(15,6,ROW('[1]U$S'!$H$5:$H$1008)-ROW('[1]U$S'!$O$5)+1/--('[1]U$S'!$H$5:$H$1008=$L$5),ROWS($D$7:D16)),1))</f>
        <v>45383</v>
      </c>
      <c r="E16" s="22" cm="1">
        <f t="array" ref="E16">IF(ROWS($E$7:E16)&gt;COUNTIF('[1]U$S'!$H$5:$H$1008,$L$5),"",INDEX(CuentaUS,_xlfn.AGGREGATE(15,6,ROW('[1]U$S'!$H$5:$H$1008)-ROW('[1]U$S'!$O$5)+1/--('[1]U$S'!$H$5:$H$1008=$L$5),ROWS($E$7:E16)),6))</f>
        <v>26490.06</v>
      </c>
      <c r="F16" s="22">
        <f>IF(E16="","",IF(E16&gt;0,SUMIFS('[1]UY$'!$L$5:$L$993,'[1]UY$'!$O$5:$O$993,"Cambio",'[1]UY$'!$E$5:$E$993,'Efecto TC'!D16),""))</f>
        <v>1000000</v>
      </c>
      <c r="G16" s="23">
        <f t="shared" si="7"/>
        <v>37.750008871252085</v>
      </c>
      <c r="H16" s="22">
        <f t="shared" si="11"/>
        <v>-2680.5361904761921</v>
      </c>
      <c r="I16" s="22">
        <f t="shared" si="8"/>
        <v>-10078.199523809528</v>
      </c>
      <c r="K16" s="42"/>
      <c r="L16" s="43"/>
      <c r="M16" s="36"/>
      <c r="N16" s="36"/>
      <c r="R16" s="24">
        <f t="shared" si="3"/>
        <v>3.112658868708919E-3</v>
      </c>
      <c r="S16" s="25">
        <f t="shared" si="4"/>
        <v>0.11750289990694317</v>
      </c>
    </row>
    <row r="17" spans="1:25" ht="19.5" thickBot="1" x14ac:dyDescent="0.3">
      <c r="A17">
        <f t="shared" si="1"/>
        <v>7</v>
      </c>
      <c r="B17">
        <f t="shared" si="2"/>
        <v>2024</v>
      </c>
      <c r="D17" s="21" cm="1">
        <f t="array" ref="D17">IF(ROWS($D$7:D17)&gt;COUNTIF('[1]U$S'!$H$5:$H$1008,$L$5),"",INDEX(CuentaUS,_xlfn.AGGREGATE(15,6,ROW('[1]U$S'!$H$5:$H$1008)-ROW('[1]U$S'!$O$5)+1/--('[1]U$S'!$H$5:$H$1008=$L$5),ROWS($D$7:D17)),1))</f>
        <v>45475</v>
      </c>
      <c r="E17" s="22" cm="1">
        <f t="array" ref="E17">IF(ROWS($E$7:E17)&gt;COUNTIF('[1]U$S'!$H$5:$H$1008,$L$5),"",INDEX(CuentaUS,_xlfn.AGGREGATE(15,6,ROW('[1]U$S'!$H$5:$H$1008)-ROW('[1]U$S'!$O$5)+1/--('[1]U$S'!$H$5:$H$1008=$L$5),ROWS($E$7:E17)),6))</f>
        <v>27930.17</v>
      </c>
      <c r="F17" s="22">
        <f>IF(E17="","",IF(E17&gt;0,SUMIFS('[1]UY$'!$L$5:$L$993,'[1]UY$'!$O$5:$O$993,"Cambio",'[1]UY$'!$E$5:$E$993,'Efecto TC'!D17),""))</f>
        <v>1120000</v>
      </c>
      <c r="G17" s="23">
        <f t="shared" si="7"/>
        <v>40.100006552054644</v>
      </c>
      <c r="H17" s="22">
        <f t="shared" si="11"/>
        <v>-1263.5033333333304</v>
      </c>
      <c r="I17" s="22">
        <f t="shared" si="8"/>
        <v>-11341.702857142858</v>
      </c>
      <c r="K17" s="34" t="s">
        <v>22</v>
      </c>
      <c r="L17" s="35">
        <f>+'[1]Flujo Gastos (con iva)'!F133*F4</f>
        <v>236097821.7675209</v>
      </c>
      <c r="M17" s="44"/>
      <c r="R17" s="24">
        <f t="shared" si="3"/>
        <v>3.2818759698939066E-3</v>
      </c>
      <c r="S17" s="25">
        <f t="shared" si="4"/>
        <v>0.13160324789577635</v>
      </c>
    </row>
    <row r="18" spans="1:25" ht="19.5" thickBot="1" x14ac:dyDescent="0.3">
      <c r="A18">
        <f t="shared" si="1"/>
        <v>7</v>
      </c>
      <c r="B18">
        <f t="shared" si="2"/>
        <v>2024</v>
      </c>
      <c r="D18" s="21" cm="1">
        <f t="array" ref="D18">IF(ROWS($D$7:D18)&gt;COUNTIF('[1]U$S'!$H$5:$H$1008,$L$5),"",INDEX(CuentaUS,_xlfn.AGGREGATE(15,6,ROW('[1]U$S'!$H$5:$H$1008)-ROW('[1]U$S'!$O$5)+1/--('[1]U$S'!$H$5:$H$1008=$L$5),ROWS($D$7:D18)),1))</f>
        <v>45482</v>
      </c>
      <c r="E18" s="22" cm="1">
        <f t="array" ref="E18">IF(ROWS($E$7:E18)&gt;COUNTIF('[1]U$S'!$H$5:$H$1008,$L$5),"",INDEX(CuentaUS,_xlfn.AGGREGATE(15,6,ROW('[1]U$S'!$H$5:$H$1008)-ROW('[1]U$S'!$O$5)+1/--('[1]U$S'!$H$5:$H$1008=$L$5),ROWS($E$7:E18)),6))</f>
        <v>5527.63</v>
      </c>
      <c r="F18" s="22">
        <f>IF(E18="","",IF(E18&gt;0,SUMIFS('[1]UY$'!$L$5:$L$993,'[1]UY$'!$O$5:$O$993,"Cambio",'[1]UY$'!$E$5:$E$993,'Efecto TC'!D18),""))</f>
        <v>220000</v>
      </c>
      <c r="G18" s="23">
        <f t="shared" si="7"/>
        <v>39.800058976451027</v>
      </c>
      <c r="H18" s="22">
        <f t="shared" si="11"/>
        <v>-289.53476190476158</v>
      </c>
      <c r="I18" s="22">
        <f t="shared" si="8"/>
        <v>-11631.237619047621</v>
      </c>
      <c r="K18" s="34" t="s">
        <v>23</v>
      </c>
      <c r="L18" s="35">
        <f>+'[1]Flujo Gastos (con iva)'!F141*F4</f>
        <v>46764071.610957719</v>
      </c>
      <c r="M18" s="45"/>
      <c r="O18" s="33"/>
      <c r="P18" s="46"/>
      <c r="R18" s="24">
        <f t="shared" si="3"/>
        <v>6.4951255461261623E-4</v>
      </c>
      <c r="S18" s="25">
        <f t="shared" si="4"/>
        <v>2.5850637979527493E-2</v>
      </c>
      <c r="V18" s="47">
        <v>45231</v>
      </c>
      <c r="W18" s="48"/>
      <c r="X18" s="48"/>
      <c r="Y18" s="49"/>
    </row>
    <row r="19" spans="1:25" ht="18.75" x14ac:dyDescent="0.25">
      <c r="A19">
        <f t="shared" si="1"/>
        <v>7</v>
      </c>
      <c r="B19">
        <f t="shared" si="2"/>
        <v>2024</v>
      </c>
      <c r="D19" s="21" cm="1">
        <f t="array" ref="D19">IF(ROWS($D$7:D19)&gt;COUNTIF('[1]U$S'!$H$5:$H$1008,$L$5),"",INDEX(CuentaUS,_xlfn.AGGREGATE(15,6,ROW('[1]U$S'!$H$5:$H$1008)-ROW('[1]U$S'!$O$5)+1/--('[1]U$S'!$H$5:$H$1008=$L$5),ROWS($D$7:D19)),1))</f>
        <v>45496</v>
      </c>
      <c r="E19" s="22" cm="1">
        <f t="array" ref="E19">IF(ROWS($E$7:E19)&gt;COUNTIF('[1]U$S'!$H$5:$H$1008,$L$5),"",INDEX(CuentaUS,_xlfn.AGGREGATE(15,6,ROW('[1]U$S'!$H$5:$H$1008)-ROW('[1]U$S'!$O$5)+1/--('[1]U$S'!$H$5:$H$1008=$L$5),ROWS($E$7:E19)),6))</f>
        <v>3624.09</v>
      </c>
      <c r="F19" s="22">
        <f>IF(E19="","",IF(E19&gt;0,SUMIFS('[1]UY$'!$L$5:$L$993,'[1]UY$'!$O$5:$O$993,"Cambio",'[1]UY$'!$E$5:$E$993,'Efecto TC'!D19),""))</f>
        <v>145000</v>
      </c>
      <c r="G19" s="23">
        <f t="shared" si="7"/>
        <v>40.010043900675754</v>
      </c>
      <c r="H19" s="22">
        <f t="shared" si="11"/>
        <v>-171.70904761904785</v>
      </c>
      <c r="I19" s="22">
        <f t="shared" si="8"/>
        <v>-11802.946666666669</v>
      </c>
      <c r="K19" s="34" t="s">
        <v>24</v>
      </c>
      <c r="L19" s="35">
        <f>+'[1]Flujo Gastos (con iva)'!F129*F4</f>
        <v>11465254.594750337</v>
      </c>
      <c r="M19" s="50"/>
      <c r="P19" s="33"/>
      <c r="Q19" s="26"/>
      <c r="R19" s="24">
        <f t="shared" si="3"/>
        <v>4.2584108452375366E-4</v>
      </c>
      <c r="S19" s="25">
        <f t="shared" si="4"/>
        <v>1.7037920486506757E-2</v>
      </c>
      <c r="V19" t="s">
        <v>25</v>
      </c>
      <c r="W19" t="s">
        <v>26</v>
      </c>
      <c r="X19" t="s">
        <v>27</v>
      </c>
      <c r="Y19" t="s">
        <v>28</v>
      </c>
    </row>
    <row r="20" spans="1:25" ht="18.75" x14ac:dyDescent="0.25">
      <c r="A20">
        <f t="shared" si="1"/>
        <v>7</v>
      </c>
      <c r="B20">
        <f t="shared" si="2"/>
        <v>2024</v>
      </c>
      <c r="D20" s="21" cm="1">
        <f t="array" ref="D20">IF(ROWS($D$7:D20)&gt;COUNTIF('[1]U$S'!$H$5:$H$1008,$L$5),"",INDEX(CuentaUS,_xlfn.AGGREGATE(15,6,ROW('[1]U$S'!$H$5:$H$1008)-ROW('[1]U$S'!$O$5)+1/--('[1]U$S'!$H$5:$H$1008=$L$5),ROWS($D$7:D20)),1))</f>
        <v>45497</v>
      </c>
      <c r="E20" s="22" cm="1">
        <f t="array" ref="E20">IF(ROWS($E$7:E20)&gt;COUNTIF('[1]U$S'!$H$5:$H$1008,$L$5),"",INDEX(CuentaUS,_xlfn.AGGREGATE(15,6,ROW('[1]U$S'!$H$5:$H$1008)-ROW('[1]U$S'!$O$5)+1/--('[1]U$S'!$H$5:$H$1008=$L$5),ROWS($E$7:E20)),6))</f>
        <v>1747.81</v>
      </c>
      <c r="F20" s="22">
        <f>IF(E20="","",IF(E20&gt;0,SUMIFS('[1]UY$'!$L$5:$L$993,'[1]UY$'!$O$5:$O$993,"Cambio",'[1]UY$'!$E$5:$E$993,'Efecto TC'!D20),""))</f>
        <v>70000</v>
      </c>
      <c r="G20" s="23">
        <f t="shared" si="7"/>
        <v>40.050119864287311</v>
      </c>
      <c r="H20" s="22">
        <f t="shared" si="11"/>
        <v>-81.143333333333203</v>
      </c>
      <c r="I20" s="22">
        <f t="shared" si="8"/>
        <v>-11884.090000000002</v>
      </c>
      <c r="K20" s="38" t="s">
        <v>20</v>
      </c>
      <c r="L20" s="39">
        <f>+L17+L18+L19</f>
        <v>294327147.97322899</v>
      </c>
      <c r="M20" s="33"/>
      <c r="R20" s="24">
        <f t="shared" si="3"/>
        <v>2.0537274348635432E-4</v>
      </c>
      <c r="S20" s="25">
        <f t="shared" si="4"/>
        <v>8.2252029934860218E-3</v>
      </c>
      <c r="U20" s="33"/>
      <c r="V20" s="33">
        <f t="shared" ref="V20:W20" si="12">SUM(E6:E9)</f>
        <v>14101.65</v>
      </c>
      <c r="W20" s="33">
        <f t="shared" si="12"/>
        <v>552000</v>
      </c>
      <c r="X20" s="51">
        <f>AVERAGE(G6:G9)</f>
        <v>39.197574603446434</v>
      </c>
      <c r="Y20" s="33"/>
    </row>
    <row r="21" spans="1:25" x14ac:dyDescent="0.25">
      <c r="A21">
        <f t="shared" si="1"/>
        <v>8</v>
      </c>
      <c r="B21">
        <f t="shared" si="2"/>
        <v>2024</v>
      </c>
      <c r="D21" s="21" cm="1">
        <f t="array" ref="D21">IF(ROWS($D$7:D21)&gt;COUNTIF('[1]U$S'!$H$5:$H$1008,$L$5),"",INDEX(CuentaUS,_xlfn.AGGREGATE(15,6,ROW('[1]U$S'!$H$5:$H$1008)-ROW('[1]U$S'!$O$5)+1/--('[1]U$S'!$H$5:$H$1008=$L$5),ROWS($D$7:D21)),1))</f>
        <v>45506</v>
      </c>
      <c r="E21" s="22" cm="1">
        <f t="array" ref="E21">IF(ROWS($E$7:E21)&gt;COUNTIF('[1]U$S'!$H$5:$H$1008,$L$5),"",INDEX(CuentaUS,_xlfn.AGGREGATE(15,6,ROW('[1]U$S'!$H$5:$H$1008)-ROW('[1]U$S'!$O$5)+1/--('[1]U$S'!$H$5:$H$1008=$L$5),ROWS($E$7:E21)),6))</f>
        <v>6203.47</v>
      </c>
      <c r="F21" s="22">
        <f>IF(E21="","",IF(E21&gt;0,SUMIFS('[1]UY$'!$L$5:$L$993,'[1]UY$'!$O$5:$O$993,"Cambio",'[1]UY$'!$E$5:$E$993,'Efecto TC'!D21),""))</f>
        <v>250000</v>
      </c>
      <c r="G21" s="23">
        <f t="shared" si="7"/>
        <v>40.3000256308163</v>
      </c>
      <c r="H21" s="22">
        <f t="shared" si="11"/>
        <v>-251.08904761904796</v>
      </c>
      <c r="I21" s="22">
        <f t="shared" si="8"/>
        <v>-12135.179047619051</v>
      </c>
      <c r="K21" s="43"/>
      <c r="L21" s="43"/>
      <c r="M21" s="50"/>
      <c r="R21" s="24">
        <f t="shared" si="3"/>
        <v>7.2892571448572477E-4</v>
      </c>
      <c r="S21" s="25">
        <f t="shared" si="4"/>
        <v>2.9375724976735792E-2</v>
      </c>
    </row>
    <row r="22" spans="1:25" ht="18.75" x14ac:dyDescent="0.25">
      <c r="A22">
        <f t="shared" si="1"/>
        <v>8</v>
      </c>
      <c r="B22">
        <f t="shared" si="2"/>
        <v>2024</v>
      </c>
      <c r="D22" s="21" cm="1">
        <f t="array" ref="D22">IF(ROWS($D$7:D22)&gt;COUNTIF('[1]U$S'!$H$5:$H$1008,$L$5),"",INDEX(CuentaUS,_xlfn.AGGREGATE(15,6,ROW('[1]U$S'!$H$5:$H$1008)-ROW('[1]U$S'!$O$5)+1/--('[1]U$S'!$H$5:$H$1008=$L$5),ROWS($D$7:D22)),1))</f>
        <v>45517</v>
      </c>
      <c r="E22" s="22" cm="1">
        <f t="array" ref="E22">IF(ROWS($E$7:E22)&gt;COUNTIF('[1]U$S'!$H$5:$H$1008,$L$5),"",INDEX(CuentaUS,_xlfn.AGGREGATE(15,6,ROW('[1]U$S'!$H$5:$H$1008)-ROW('[1]U$S'!$O$5)+1/--('[1]U$S'!$H$5:$H$1008=$L$5),ROWS($E$7:E22)),6))</f>
        <v>1614.9</v>
      </c>
      <c r="F22" s="22">
        <f>IF(E22="","",IF(E22&gt;0,SUMIFS('[1]UY$'!$L$5:$L$993,'[1]UY$'!$O$5:$O$993,"Cambio",'[1]UY$'!$E$5:$E$993,'Efecto TC'!D22),""))</f>
        <v>65000</v>
      </c>
      <c r="G22" s="23">
        <f t="shared" si="7"/>
        <v>40.250170289181987</v>
      </c>
      <c r="H22" s="22">
        <f t="shared" si="11"/>
        <v>-67.280952380952613</v>
      </c>
      <c r="I22" s="22">
        <f t="shared" si="8"/>
        <v>-12202.460000000003</v>
      </c>
      <c r="K22" s="27" t="s">
        <v>29</v>
      </c>
      <c r="L22" s="28"/>
      <c r="M22" s="52"/>
      <c r="R22" s="24">
        <f t="shared" si="3"/>
        <v>1.8975543305972252E-4</v>
      </c>
      <c r="S22" s="25">
        <f t="shared" si="4"/>
        <v>7.6376884939513053E-3</v>
      </c>
    </row>
    <row r="23" spans="1:25" x14ac:dyDescent="0.25">
      <c r="A23">
        <f t="shared" si="1"/>
        <v>8</v>
      </c>
      <c r="B23">
        <f t="shared" si="2"/>
        <v>2024</v>
      </c>
      <c r="D23" s="21" cm="1">
        <f t="array" ref="D23">IF(ROWS($D$7:D23)&gt;COUNTIF('[1]U$S'!$H$5:$H$1008,$L$5),"",INDEX(CuentaUS,_xlfn.AGGREGATE(15,6,ROW('[1]U$S'!$H$5:$H$1008)-ROW('[1]U$S'!$O$5)+1/--('[1]U$S'!$H$5:$H$1008=$L$5),ROWS($D$7:D23)),1))</f>
        <v>45520</v>
      </c>
      <c r="E23" s="22" cm="1">
        <f t="array" ref="E23">IF(ROWS($E$7:E23)&gt;COUNTIF('[1]U$S'!$H$5:$H$1008,$L$5),"",INDEX(CuentaUS,_xlfn.AGGREGATE(15,6,ROW('[1]U$S'!$H$5:$H$1008)-ROW('[1]U$S'!$O$5)+1/--('[1]U$S'!$H$5:$H$1008=$L$5),ROWS($E$7:E23)),6))</f>
        <v>7098.38</v>
      </c>
      <c r="F23" s="22">
        <f>IF(E23="","",IF(E23&gt;0,SUMIFS('[1]UY$'!$L$5:$L$993,'[1]UY$'!$O$5:$O$993,"Cambio",'[1]UY$'!$E$5:$E$993,'Efecto TC'!D23),""))</f>
        <v>285000</v>
      </c>
      <c r="G23" s="23">
        <f t="shared" si="7"/>
        <v>40.150006057720212</v>
      </c>
      <c r="H23" s="22">
        <f t="shared" si="11"/>
        <v>-312.66571428571478</v>
      </c>
      <c r="I23" s="22">
        <f t="shared" si="8"/>
        <v>-12515.125714285718</v>
      </c>
      <c r="R23" s="24">
        <f t="shared" si="3"/>
        <v>8.3408023464144718E-4</v>
      </c>
      <c r="S23" s="25">
        <f t="shared" si="4"/>
        <v>3.3488326473478797E-2</v>
      </c>
    </row>
    <row r="24" spans="1:25" ht="18.75" x14ac:dyDescent="0.25">
      <c r="A24">
        <f t="shared" si="1"/>
        <v>8</v>
      </c>
      <c r="B24">
        <f t="shared" si="2"/>
        <v>2024</v>
      </c>
      <c r="D24" s="21" cm="1">
        <f t="array" ref="D24">IF(ROWS($D$7:D24)&gt;COUNTIF('[1]U$S'!$H$5:$H$1008,$L$5),"",INDEX(CuentaUS,_xlfn.AGGREGATE(15,6,ROW('[1]U$S'!$H$5:$H$1008)-ROW('[1]U$S'!$O$5)+1/--('[1]U$S'!$H$5:$H$1008=$L$5),ROWS($D$7:D24)),1))</f>
        <v>45530</v>
      </c>
      <c r="E24" s="22" cm="1">
        <f t="array" ref="E24">IF(ROWS($E$7:E24)&gt;COUNTIF('[1]U$S'!$H$5:$H$1008,$L$5),"",INDEX(CuentaUS,_xlfn.AGGREGATE(15,6,ROW('[1]U$S'!$H$5:$H$1008)-ROW('[1]U$S'!$O$5)+1/--('[1]U$S'!$H$5:$H$1008=$L$5),ROWS($E$7:E24)),6))</f>
        <v>4119.8500000000004</v>
      </c>
      <c r="F24" s="22">
        <f>IF(E24="","",IF(E24&gt;0,SUMIFS('[1]UY$'!$L$5:$L$993,'[1]UY$'!$O$5:$O$993,"Cambio",'[1]UY$'!$E$5:$E$993,'Efecto TC'!D24),""))</f>
        <v>165000</v>
      </c>
      <c r="G24" s="23">
        <f t="shared" si="7"/>
        <v>40.050001820454625</v>
      </c>
      <c r="H24" s="22">
        <f t="shared" si="11"/>
        <v>-191.27857142857192</v>
      </c>
      <c r="I24" s="22">
        <f t="shared" si="8"/>
        <v>-12706.404285714289</v>
      </c>
      <c r="K24" s="38" t="s">
        <v>30</v>
      </c>
      <c r="L24" s="39">
        <f>+L13-L20</f>
        <v>466633174.02677101</v>
      </c>
      <c r="R24" s="24">
        <f t="shared" si="3"/>
        <v>4.8409432218161983E-4</v>
      </c>
      <c r="S24" s="25">
        <f t="shared" si="4"/>
        <v>1.9387978484645622E-2</v>
      </c>
    </row>
    <row r="25" spans="1:25" x14ac:dyDescent="0.25">
      <c r="A25">
        <f t="shared" si="1"/>
        <v>9</v>
      </c>
      <c r="B25">
        <f t="shared" si="2"/>
        <v>2024</v>
      </c>
      <c r="D25" s="21" cm="1">
        <f t="array" ref="D25">IF(ROWS($D$7:D25)&gt;COUNTIF('[1]U$S'!$H$5:$H$1008,$L$5),"",INDEX(CuentaUS,_xlfn.AGGREGATE(15,6,ROW('[1]U$S'!$H$5:$H$1008)-ROW('[1]U$S'!$O$5)+1/--('[1]U$S'!$H$5:$H$1008=$L$5),ROWS($D$7:D25)),1))</f>
        <v>45540</v>
      </c>
      <c r="E25" s="22" cm="1">
        <f t="array" ref="E25">IF(ROWS($E$7:E25)&gt;COUNTIF('[1]U$S'!$H$5:$H$1008,$L$5),"",INDEX(CuentaUS,_xlfn.AGGREGATE(15,6,ROW('[1]U$S'!$H$5:$H$1008)-ROW('[1]U$S'!$O$5)+1/--('[1]U$S'!$H$5:$H$1008=$L$5),ROWS($E$7:E25)),6))</f>
        <v>1245.01</v>
      </c>
      <c r="F25" s="22">
        <f>IF(E25="","",IF(E25&gt;0,SUMIFS('[1]UY$'!$L$5:$L$993,'[1]UY$'!$O$5:$O$993,"Cambio",'[1]UY$'!$E$5:$E$993,'Efecto TC'!D25),""))</f>
        <v>50000</v>
      </c>
      <c r="G25" s="23">
        <f t="shared" si="7"/>
        <v>40.160319997429738</v>
      </c>
      <c r="H25" s="22">
        <f t="shared" si="11"/>
        <v>-54.533809523809623</v>
      </c>
      <c r="I25" s="22">
        <f t="shared" si="8"/>
        <v>-12760.938095238098</v>
      </c>
      <c r="R25" s="24">
        <f t="shared" si="3"/>
        <v>1.462922854131433E-4</v>
      </c>
      <c r="S25" s="25">
        <f t="shared" si="4"/>
        <v>5.8751449953471577E-3</v>
      </c>
    </row>
    <row r="26" spans="1:25" ht="18.75" x14ac:dyDescent="0.25">
      <c r="A26">
        <f t="shared" si="1"/>
        <v>9</v>
      </c>
      <c r="B26">
        <f t="shared" si="2"/>
        <v>2024</v>
      </c>
      <c r="D26" s="21" cm="1">
        <f t="array" ref="D26">IF(ROWS($D$7:D26)&gt;COUNTIF('[1]U$S'!$H$5:$H$1008,$L$5),"",INDEX(CuentaUS,_xlfn.AGGREGATE(15,6,ROW('[1]U$S'!$H$5:$H$1008)-ROW('[1]U$S'!$O$5)+1/--('[1]U$S'!$H$5:$H$1008=$L$5),ROWS($D$7:D26)),1))</f>
        <v>45545</v>
      </c>
      <c r="E26" s="22" cm="1">
        <f t="array" ref="E26">IF(ROWS($E$7:E26)&gt;COUNTIF('[1]U$S'!$H$5:$H$1008,$L$5),"",INDEX(CuentaUS,_xlfn.AGGREGATE(15,6,ROW('[1]U$S'!$H$5:$H$1008)-ROW('[1]U$S'!$O$5)+1/--('[1]U$S'!$H$5:$H$1008=$L$5),ROWS($E$7:E26)),6))</f>
        <v>1241.92</v>
      </c>
      <c r="F26" s="22">
        <f>IF(E26="","",IF(E26&gt;0,SUMIFS('[1]UY$'!$L$5:$L$993,'[1]UY$'!$O$5:$O$993,"Cambio",'[1]UY$'!$E$5:$E$993,'Efecto TC'!D26),""))</f>
        <v>50000</v>
      </c>
      <c r="G26" s="23">
        <f t="shared" si="7"/>
        <v>40.260242205617104</v>
      </c>
      <c r="H26" s="22">
        <f t="shared" si="11"/>
        <v>-51.443809523809705</v>
      </c>
      <c r="I26" s="22">
        <f t="shared" si="8"/>
        <v>-12812.381904761907</v>
      </c>
      <c r="K26" s="27" t="s">
        <v>31</v>
      </c>
      <c r="L26" s="28"/>
      <c r="R26" s="24">
        <f t="shared" si="3"/>
        <v>1.4592920145243087E-4</v>
      </c>
      <c r="S26" s="25">
        <f t="shared" si="4"/>
        <v>5.8751449953471585E-3</v>
      </c>
    </row>
    <row r="27" spans="1:25" x14ac:dyDescent="0.25">
      <c r="A27">
        <f t="shared" si="1"/>
        <v>9</v>
      </c>
      <c r="B27">
        <f t="shared" si="2"/>
        <v>2024</v>
      </c>
      <c r="D27" s="21" cm="1">
        <f t="array" ref="D27">IF(ROWS($D$7:D27)&gt;COUNTIF('[1]U$S'!$H$5:$H$1008,$L$5),"",INDEX(CuentaUS,_xlfn.AGGREGATE(15,6,ROW('[1]U$S'!$H$5:$H$1008)-ROW('[1]U$S'!$O$5)+1/--('[1]U$S'!$H$5:$H$1008=$L$5),ROWS($D$7:D27)),1))</f>
        <v>45559</v>
      </c>
      <c r="E27" s="22" cm="1">
        <f t="array" ref="E27">IF(ROWS($E$7:E27)&gt;COUNTIF('[1]U$S'!$H$5:$H$1008,$L$5),"",INDEX(CuentaUS,_xlfn.AGGREGATE(15,6,ROW('[1]U$S'!$H$5:$H$1008)-ROW('[1]U$S'!$O$5)+1/--('[1]U$S'!$H$5:$H$1008=$L$5),ROWS($E$7:E27)),6))</f>
        <v>4996.68</v>
      </c>
      <c r="F27" s="22">
        <f>IF(E27="","",IF(E27&gt;0,SUMIFS('[1]UY$'!$L$5:$L$993,'[1]UY$'!$O$5:$O$993,"Cambio",'[1]UY$'!$E$5:$E$993,'Efecto TC'!D27),""))</f>
        <v>210000</v>
      </c>
      <c r="G27" s="23">
        <f t="shared" si="7"/>
        <v>42.027906529935876</v>
      </c>
      <c r="H27" s="22">
        <f t="shared" si="11"/>
        <v>3.319999999999709</v>
      </c>
      <c r="I27" s="22">
        <f t="shared" si="8"/>
        <v>-12809.061904761907</v>
      </c>
      <c r="R27" s="24">
        <f t="shared" si="3"/>
        <v>5.8712438990702481E-4</v>
      </c>
      <c r="S27" s="25">
        <f t="shared" si="4"/>
        <v>2.4675608980458067E-2</v>
      </c>
    </row>
    <row r="28" spans="1:25" x14ac:dyDescent="0.25">
      <c r="A28">
        <f t="shared" si="1"/>
        <v>10</v>
      </c>
      <c r="B28">
        <f t="shared" si="2"/>
        <v>2024</v>
      </c>
      <c r="D28" s="21" cm="1">
        <f t="array" ref="D28">IF(ROWS($D$7:D28)&gt;COUNTIF('[1]U$S'!$H$5:$H$1008,$L$5),"",INDEX(CuentaUS,_xlfn.AGGREGATE(15,6,ROW('[1]U$S'!$H$5:$H$1008)-ROW('[1]U$S'!$O$5)+1/--('[1]U$S'!$H$5:$H$1008=$L$5),ROWS($D$7:D28)),1))</f>
        <v>45582</v>
      </c>
      <c r="E28" s="22" cm="1">
        <f t="array" ref="E28">IF(ROWS($E$7:E28)&gt;COUNTIF('[1]U$S'!$H$5:$H$1008,$L$5),"",INDEX(CuentaUS,_xlfn.AGGREGATE(15,6,ROW('[1]U$S'!$H$5:$H$1008)-ROW('[1]U$S'!$O$5)+1/--('[1]U$S'!$H$5:$H$1008=$L$5),ROWS($E$7:E28)),6))</f>
        <v>1811.59</v>
      </c>
      <c r="F28" s="22">
        <f>IF(E28="","",IF(E28&gt;0,SUMIFS('[1]UY$'!$L$5:$L$993,'[1]UY$'!$O$5:$O$993,"Cambio",'[1]UY$'!$E$5:$E$993,'Efecto TC'!D28),""))</f>
        <v>75000</v>
      </c>
      <c r="G28" s="23">
        <f t="shared" si="7"/>
        <v>41.400096048222835</v>
      </c>
      <c r="H28" s="22">
        <f t="shared" si="11"/>
        <v>-25.875714285714139</v>
      </c>
      <c r="I28" s="22">
        <f t="shared" si="8"/>
        <v>-12834.937619047621</v>
      </c>
      <c r="K28" s="53">
        <v>39</v>
      </c>
      <c r="L28" s="22">
        <f>+N33-N28</f>
        <v>-854639.51286954246</v>
      </c>
      <c r="N28" s="26">
        <f>+$L$24/K28</f>
        <v>11964953.180173615</v>
      </c>
      <c r="R28" s="24">
        <f t="shared" si="3"/>
        <v>2.1286707844241917E-4</v>
      </c>
      <c r="S28" s="25">
        <f t="shared" si="4"/>
        <v>8.8127174930207382E-3</v>
      </c>
    </row>
    <row r="29" spans="1:25" x14ac:dyDescent="0.25">
      <c r="A29">
        <f t="shared" si="1"/>
        <v>10</v>
      </c>
      <c r="B29">
        <f t="shared" si="2"/>
        <v>2024</v>
      </c>
      <c r="D29" s="21" cm="1">
        <f t="array" ref="D29">IF(ROWS($D$7:D29)&gt;COUNTIF('[1]U$S'!$H$5:$H$1008,$L$5),"",INDEX(CuentaUS,_xlfn.AGGREGATE(15,6,ROW('[1]U$S'!$H$5:$H$1008)-ROW('[1]U$S'!$O$5)+1/--('[1]U$S'!$H$5:$H$1008=$L$5),ROWS($D$7:D29)),1))</f>
        <v>45595</v>
      </c>
      <c r="E29" s="22" cm="1">
        <f t="array" ref="E29">IF(ROWS($E$7:E29)&gt;COUNTIF('[1]U$S'!$H$5:$H$1008,$L$5),"",INDEX(CuentaUS,_xlfn.AGGREGATE(15,6,ROW('[1]U$S'!$H$5:$H$1008)-ROW('[1]U$S'!$O$5)+1/--('[1]U$S'!$H$5:$H$1008=$L$5),ROWS($E$7:E29)),6))</f>
        <v>2184.46</v>
      </c>
      <c r="F29" s="22">
        <f>IF(E29="","",IF(E29&gt;0,SUMIFS('[1]UY$'!$L$5:$L$993,'[1]UY$'!$O$5:$O$993,"Cambio",'[1]UY$'!$E$5:$E$993,'Efecto TC'!D29),""))</f>
        <v>90000</v>
      </c>
      <c r="G29" s="23">
        <f t="shared" si="7"/>
        <v>41.200113529201722</v>
      </c>
      <c r="H29" s="22">
        <f t="shared" si="11"/>
        <v>-41.602857142857374</v>
      </c>
      <c r="I29" s="22">
        <f t="shared" si="8"/>
        <v>-12876.540476190479</v>
      </c>
      <c r="K29" s="54">
        <v>39.81</v>
      </c>
      <c r="L29" s="22">
        <f>+N34-N29</f>
        <v>-621764.02258951776</v>
      </c>
      <c r="N29" s="26">
        <f>+$L$24/K29</f>
        <v>11721506.506575508</v>
      </c>
      <c r="R29" s="24">
        <f t="shared" si="3"/>
        <v>2.5668038473072109E-4</v>
      </c>
      <c r="S29" s="25">
        <f t="shared" si="4"/>
        <v>1.0575260991624886E-2</v>
      </c>
    </row>
    <row r="30" spans="1:25" x14ac:dyDescent="0.25">
      <c r="A30">
        <f t="shared" si="1"/>
        <v>10</v>
      </c>
      <c r="B30">
        <f t="shared" si="2"/>
        <v>2024</v>
      </c>
      <c r="D30" s="21" cm="1">
        <f t="array" ref="D30">IF(ROWS($D$7:D30)&gt;COUNTIF('[1]U$S'!$H$5:$H$1008,$L$5),"",INDEX(CuentaUS,_xlfn.AGGREGATE(15,6,ROW('[1]U$S'!$H$5:$H$1008)-ROW('[1]U$S'!$O$5)+1/--('[1]U$S'!$H$5:$H$1008=$L$5),ROWS($D$7:D30)),1))</f>
        <v>45596</v>
      </c>
      <c r="E30" s="22" cm="1">
        <f t="array" ref="E30">IF(ROWS($E$7:E30)&gt;COUNTIF('[1]U$S'!$H$5:$H$1008,$L$5),"",INDEX(CuentaUS,_xlfn.AGGREGATE(15,6,ROW('[1]U$S'!$H$5:$H$1008)-ROW('[1]U$S'!$O$5)+1/--('[1]U$S'!$H$5:$H$1008=$L$5),ROWS($E$7:E30)),6))</f>
        <v>1206.27</v>
      </c>
      <c r="F30" s="22">
        <f>IF(E30="","",IF(E30&gt;0,SUMIFS('[1]UY$'!$L$5:$L$993,'[1]UY$'!$O$5:$O$993,"Cambio",'[1]UY$'!$E$5:$E$993,'Efecto TC'!D30),""))</f>
        <v>50000</v>
      </c>
      <c r="G30" s="23">
        <f t="shared" si="7"/>
        <v>41.450089946695186</v>
      </c>
      <c r="H30" s="22">
        <f t="shared" si="11"/>
        <v>-15.793809523809614</v>
      </c>
      <c r="I30" s="22">
        <f t="shared" si="8"/>
        <v>-12892.334285714289</v>
      </c>
      <c r="K30" s="53">
        <v>40</v>
      </c>
      <c r="L30" s="22">
        <f>+N33-N30</f>
        <v>-555515.68336520344</v>
      </c>
      <c r="N30" s="26">
        <f t="shared" ref="N30:N32" si="13">+$L$24/K30</f>
        <v>11665829.350669276</v>
      </c>
      <c r="R30" s="24">
        <f t="shared" si="3"/>
        <v>1.4174022307074832E-4</v>
      </c>
      <c r="S30" s="25">
        <f t="shared" si="4"/>
        <v>5.8751449953471585E-3</v>
      </c>
    </row>
    <row r="31" spans="1:25" x14ac:dyDescent="0.25">
      <c r="A31">
        <f t="shared" si="1"/>
        <v>11</v>
      </c>
      <c r="B31">
        <f t="shared" si="2"/>
        <v>2024</v>
      </c>
      <c r="D31" s="21" cm="1">
        <f t="array" ref="D31">IF(ROWS($D$7:D31)&gt;COUNTIF('[1]U$S'!$H$5:$H$1008,$L$5),"",INDEX(CuentaUS,_xlfn.AGGREGATE(15,6,ROW('[1]U$S'!$H$5:$H$1008)-ROW('[1]U$S'!$O$5)+1/--('[1]U$S'!$H$5:$H$1008=$L$5),ROWS($D$7:D31)),1))</f>
        <v>45602</v>
      </c>
      <c r="E31" s="22" cm="1">
        <f t="array" ref="E31">IF(ROWS($E$7:E31)&gt;COUNTIF('[1]U$S'!$H$5:$H$1008,$L$5),"",INDEX(CuentaUS,_xlfn.AGGREGATE(15,6,ROW('[1]U$S'!$H$5:$H$1008)-ROW('[1]U$S'!$O$5)+1/--('[1]U$S'!$H$5:$H$1008=$L$5),ROWS($E$7:E31)),6))</f>
        <v>1201.92</v>
      </c>
      <c r="F31" s="22">
        <f>IF(E31="","",IF(E31&gt;0,SUMIFS('[1]UY$'!$L$5:$L$993,'[1]UY$'!$O$5:$O$993,"Cambio",'[1]UY$'!$E$5:$E$993,'Efecto TC'!D31),""))</f>
        <v>50000</v>
      </c>
      <c r="G31" s="23">
        <f t="shared" si="7"/>
        <v>41.60010649627263</v>
      </c>
      <c r="H31" s="22">
        <f t="shared" si="11"/>
        <v>-11.443809523809705</v>
      </c>
      <c r="I31" s="22">
        <f t="shared" si="8"/>
        <v>-12903.778095238098</v>
      </c>
      <c r="K31" s="53">
        <v>41</v>
      </c>
      <c r="L31" s="22">
        <f>+N33-N31</f>
        <v>-270983.26017814688</v>
      </c>
      <c r="N31" s="26">
        <f t="shared" si="13"/>
        <v>11381296.927482219</v>
      </c>
      <c r="R31" s="24">
        <f t="shared" si="3"/>
        <v>1.4122908545615313E-4</v>
      </c>
      <c r="S31" s="25">
        <f t="shared" si="4"/>
        <v>5.8751449953471577E-3</v>
      </c>
    </row>
    <row r="32" spans="1:25" x14ac:dyDescent="0.25">
      <c r="A32">
        <f t="shared" si="1"/>
        <v>11</v>
      </c>
      <c r="B32">
        <f t="shared" si="2"/>
        <v>2024</v>
      </c>
      <c r="D32" s="21" cm="1">
        <f t="array" ref="D32">IF(ROWS($D$7:D32)&gt;COUNTIF('[1]U$S'!$H$5:$H$1008,$L$5),"",INDEX(CuentaUS,_xlfn.AGGREGATE(15,6,ROW('[1]U$S'!$H$5:$H$1008)-ROW('[1]U$S'!$O$5)+1/--('[1]U$S'!$H$5:$H$1008=$L$5),ROWS($D$7:D32)),1))</f>
        <v>45607</v>
      </c>
      <c r="E32" s="22" cm="1">
        <f t="array" ref="E32">IF(ROWS($E$7:E32)&gt;COUNTIF('[1]U$S'!$H$5:$H$1008,$L$5),"",INDEX(CuentaUS,_xlfn.AGGREGATE(15,6,ROW('[1]U$S'!$H$5:$H$1008)-ROW('[1]U$S'!$O$5)+1/--('[1]U$S'!$H$5:$H$1008=$L$5),ROWS($E$7:E32)),6))</f>
        <v>1185.95</v>
      </c>
      <c r="F32" s="22">
        <f>IF(E32="","",IF(E32&gt;0,SUMIFS('[1]UY$'!$L$5:$L$993,'[1]UY$'!$O$5:$O$993,"Cambio",'[1]UY$'!$E$5:$E$993,'Efecto TC'!D32),""))</f>
        <v>50000</v>
      </c>
      <c r="G32" s="23">
        <f t="shared" si="7"/>
        <v>42.160293435642309</v>
      </c>
      <c r="H32" s="22">
        <f t="shared" si="11"/>
        <v>4.5261904761903224</v>
      </c>
      <c r="I32" s="22">
        <f t="shared" si="8"/>
        <v>-12899.251904761908</v>
      </c>
      <c r="K32" s="55">
        <v>41.31</v>
      </c>
      <c r="L32" s="22">
        <f>+N33-N32</f>
        <v>-185575.31906172261</v>
      </c>
      <c r="N32" s="26">
        <f t="shared" si="13"/>
        <v>11295888.986365795</v>
      </c>
      <c r="R32" s="24">
        <f t="shared" si="3"/>
        <v>1.3935256414463924E-4</v>
      </c>
      <c r="S32" s="25">
        <f t="shared" si="4"/>
        <v>5.8751449953471577E-3</v>
      </c>
    </row>
    <row r="33" spans="1:19" x14ac:dyDescent="0.25">
      <c r="A33">
        <f t="shared" si="1"/>
        <v>11</v>
      </c>
      <c r="B33">
        <f t="shared" si="2"/>
        <v>2024</v>
      </c>
      <c r="D33" s="21" cm="1">
        <f t="array" ref="D33">IF(ROWS($D$7:D33)&gt;COUNTIF('[1]U$S'!$H$5:$H$1008,$L$5),"",INDEX(CuentaUS,_xlfn.AGGREGATE(15,6,ROW('[1]U$S'!$H$5:$H$1008)-ROW('[1]U$S'!$O$5)+1/--('[1]U$S'!$H$5:$H$1008=$L$5),ROWS($D$7:D33)),1))</f>
        <v>45621</v>
      </c>
      <c r="E33" s="22" cm="1">
        <f t="array" ref="E33">IF(ROWS($E$7:E33)&gt;COUNTIF('[1]U$S'!$H$5:$H$1008,$L$5),"",INDEX(CuentaUS,_xlfn.AGGREGATE(15,6,ROW('[1]U$S'!$H$5:$H$1008)-ROW('[1]U$S'!$O$5)+1/--('[1]U$S'!$H$5:$H$1008=$L$5),ROWS($E$7:E33)),6))</f>
        <v>47563.26</v>
      </c>
      <c r="F33" s="22">
        <f>IF(E33="","",IF(E33&gt;0,SUMIFS('[1]UY$'!$L$5:$L$993,'[1]UY$'!$O$5:$O$993,"Cambio",'[1]UY$'!$E$5:$E$993,'Efecto TC'!D33),""))</f>
        <v>2030000</v>
      </c>
      <c r="G33" s="23">
        <f t="shared" si="7"/>
        <v>42.680001328756688</v>
      </c>
      <c r="H33" s="22">
        <f t="shared" si="11"/>
        <v>770.07333333333372</v>
      </c>
      <c r="I33" s="22">
        <f t="shared" si="8"/>
        <v>-12129.178571428574</v>
      </c>
      <c r="K33" s="56">
        <v>42</v>
      </c>
      <c r="L33" s="57">
        <v>0</v>
      </c>
      <c r="M33" s="58"/>
      <c r="N33" s="26">
        <f>+$L$24/K33</f>
        <v>11110313.667304073</v>
      </c>
      <c r="R33" s="24">
        <f t="shared" si="3"/>
        <v>5.5888209790279138E-3</v>
      </c>
      <c r="S33" s="25">
        <f t="shared" si="4"/>
        <v>0.23853088681109461</v>
      </c>
    </row>
    <row r="34" spans="1:19" x14ac:dyDescent="0.25">
      <c r="A34">
        <f t="shared" si="1"/>
        <v>11</v>
      </c>
      <c r="B34">
        <f t="shared" si="2"/>
        <v>2024</v>
      </c>
      <c r="D34" s="21" cm="1">
        <f t="array" ref="D34">IF(ROWS($D$7:D34)&gt;COUNTIF('[1]U$S'!$H$5:$H$1008,$L$5),"",INDEX(CuentaUS,_xlfn.AGGREGATE(15,6,ROW('[1]U$S'!$H$5:$H$1008)-ROW('[1]U$S'!$O$5)+1/--('[1]U$S'!$H$5:$H$1008=$L$5),ROWS($D$7:D34)),1))</f>
        <v>45622</v>
      </c>
      <c r="E34" s="22" cm="1">
        <f t="array" ref="E34">IF(ROWS($E$7:E34)&gt;COUNTIF('[1]U$S'!$H$5:$H$1008,$L$5),"",INDEX(CuentaUS,_xlfn.AGGREGATE(15,6,ROW('[1]U$S'!$H$5:$H$1008)-ROW('[1]U$S'!$O$5)+1/--('[1]U$S'!$H$5:$H$1008=$L$5),ROWS($E$7:E34)),6))</f>
        <v>12895.66</v>
      </c>
      <c r="F34" s="22">
        <f>IF(E34="","",IF(E34&gt;0,SUMIFS('[1]UY$'!$L$5:$L$993,'[1]UY$'!$O$5:$O$993,"Cambio",'[1]UY$'!$E$5:$E$993,'Efecto TC'!D34),""))</f>
        <v>550000</v>
      </c>
      <c r="G34" s="23">
        <f t="shared" si="7"/>
        <v>42.650007832092349</v>
      </c>
      <c r="H34" s="22">
        <f t="shared" si="11"/>
        <v>199.57809523809556</v>
      </c>
      <c r="I34" s="22">
        <f t="shared" si="8"/>
        <v>-11929.600476190479</v>
      </c>
      <c r="K34" s="55">
        <v>42.04</v>
      </c>
      <c r="L34" s="22">
        <f>+N33-N34</f>
        <v>10571.183318082243</v>
      </c>
      <c r="N34" s="26">
        <f>+$L$24/K34</f>
        <v>11099742.48398599</v>
      </c>
      <c r="O34" s="59"/>
      <c r="R34" s="24">
        <f t="shared" si="3"/>
        <v>1.5152774462139707E-3</v>
      </c>
      <c r="S34" s="25">
        <f t="shared" si="4"/>
        <v>6.4626594948818741E-2</v>
      </c>
    </row>
    <row r="35" spans="1:19" x14ac:dyDescent="0.25">
      <c r="A35">
        <f t="shared" si="1"/>
        <v>12</v>
      </c>
      <c r="B35">
        <f t="shared" si="2"/>
        <v>2024</v>
      </c>
      <c r="D35" s="21" cm="1">
        <f t="array" ref="D35">IF(ROWS($D$7:D35)&gt;COUNTIF('[1]U$S'!$H$5:$H$1008,$L$5),"",INDEX(CuentaUS,_xlfn.AGGREGATE(15,6,ROW('[1]U$S'!$H$5:$H$1008)-ROW('[1]U$S'!$O$5)+1/--('[1]U$S'!$H$5:$H$1008=$L$5),ROWS($D$7:D35)),1))</f>
        <v>45629</v>
      </c>
      <c r="E35" s="22" cm="1">
        <f t="array" ref="E35">IF(ROWS($E$7:E35)&gt;COUNTIF('[1]U$S'!$H$5:$H$1008,$L$5),"",INDEX(CuentaUS,_xlfn.AGGREGATE(15,6,ROW('[1]U$S'!$H$5:$H$1008)-ROW('[1]U$S'!$O$5)+1/--('[1]U$S'!$H$5:$H$1008=$L$5),ROWS($E$7:E35)),6))</f>
        <v>11157.6</v>
      </c>
      <c r="F35" s="22">
        <f>IF(E35="","",IF(E35&gt;0,SUMIFS('[1]UY$'!$L$5:$L$993,'[1]UY$'!$O$5:$O$993,"Cambio",'[1]UY$'!$E$5:$E$993,'Efecto TC'!D35),""))</f>
        <v>480000</v>
      </c>
      <c r="G35" s="23">
        <f t="shared" si="7"/>
        <v>43.02000430200043</v>
      </c>
      <c r="H35" s="22">
        <f t="shared" si="11"/>
        <v>270.97142857142899</v>
      </c>
      <c r="I35" s="22">
        <f t="shared" si="8"/>
        <v>-11658.62904761905</v>
      </c>
      <c r="K35" s="53">
        <v>43</v>
      </c>
      <c r="L35" s="22">
        <f>+N33-N35</f>
        <v>258379.38761172257</v>
      </c>
      <c r="N35" s="26">
        <f>+$L$24/K35</f>
        <v>10851934.27969235</v>
      </c>
      <c r="R35" s="24">
        <f t="shared" si="3"/>
        <v>1.311050356001709E-3</v>
      </c>
      <c r="S35" s="25">
        <f t="shared" si="4"/>
        <v>5.6401391955332718E-2</v>
      </c>
    </row>
    <row r="36" spans="1:19" x14ac:dyDescent="0.25">
      <c r="A36">
        <f t="shared" si="1"/>
        <v>12</v>
      </c>
      <c r="B36">
        <f t="shared" si="2"/>
        <v>2024</v>
      </c>
      <c r="D36" s="21" cm="1">
        <f t="array" ref="D36">IF(ROWS($D$7:D36)&gt;COUNTIF('[1]U$S'!$H$5:$H$1008,$L$5),"",INDEX(CuentaUS,_xlfn.AGGREGATE(15,6,ROW('[1]U$S'!$H$5:$H$1008)-ROW('[1]U$S'!$O$5)+1/--('[1]U$S'!$H$5:$H$1008=$L$5),ROWS($D$7:D36)),1))</f>
        <v>45638</v>
      </c>
      <c r="E36" s="22" cm="1">
        <f t="array" ref="E36">IF(ROWS($E$7:E36)&gt;COUNTIF('[1]U$S'!$H$5:$H$1008,$L$5),"",INDEX(CuentaUS,_xlfn.AGGREGATE(15,6,ROW('[1]U$S'!$H$5:$H$1008)-ROW('[1]U$S'!$O$5)+1/--('[1]U$S'!$H$5:$H$1008=$L$5),ROWS($E$7:E36)),6))</f>
        <v>16949.150000000001</v>
      </c>
      <c r="F36" s="22">
        <f>IF(E36="","",IF(E36&gt;0,SUMIFS('[1]UY$'!$L$5:$L$993,'[1]UY$'!$O$5:$O$993,"Cambio",'[1]UY$'!$E$5:$E$993,'Efecto TC'!D36),""))</f>
        <v>750000</v>
      </c>
      <c r="G36" s="23">
        <f t="shared" si="7"/>
        <v>44.250006637500995</v>
      </c>
      <c r="H36" s="22">
        <f t="shared" si="11"/>
        <v>907.99285714285725</v>
      </c>
      <c r="I36" s="22">
        <f t="shared" si="8"/>
        <v>-10750.636190476192</v>
      </c>
      <c r="K36" s="53">
        <v>44</v>
      </c>
      <c r="L36" s="22">
        <f>+N33-N36</f>
        <v>505014.25760473125</v>
      </c>
      <c r="M36" s="60"/>
      <c r="N36" s="26">
        <f>+$L$24/K36</f>
        <v>10605299.409699341</v>
      </c>
      <c r="R36" s="24">
        <f t="shared" si="3"/>
        <v>1.991574275957766E-3</v>
      </c>
      <c r="S36" s="25">
        <f t="shared" si="4"/>
        <v>8.8127174930207386E-2</v>
      </c>
    </row>
    <row r="37" spans="1:19" x14ac:dyDescent="0.25">
      <c r="A37">
        <f t="shared" si="1"/>
        <v>12</v>
      </c>
      <c r="B37">
        <f t="shared" si="2"/>
        <v>2024</v>
      </c>
      <c r="D37" s="21" cm="1">
        <f t="array" ref="D37">IF(ROWS($D$7:D37)&gt;COUNTIF('[1]U$S'!$H$5:$H$1008,$L$5),"",INDEX(CuentaUS,_xlfn.AGGREGATE(15,6,ROW('[1]U$S'!$H$5:$H$1008)-ROW('[1]U$S'!$O$5)+1/--('[1]U$S'!$H$5:$H$1008=$L$5),ROWS($D$7:D37)),1))</f>
        <v>45644</v>
      </c>
      <c r="E37" s="22" cm="1">
        <f t="array" ref="E37">IF(ROWS($E$7:E37)&gt;COUNTIF('[1]U$S'!$H$5:$H$1008,$L$5),"",INDEX(CuentaUS,_xlfn.AGGREGATE(15,6,ROW('[1]U$S'!$H$5:$H$1008)-ROW('[1]U$S'!$O$5)+1/--('[1]U$S'!$H$5:$H$1008=$L$5),ROWS($E$7:E37)),6))</f>
        <v>14179.599999999999</v>
      </c>
      <c r="F37" s="22">
        <f>IF(E37="","",IF(E37&gt;0,SUMIFS('[1]UY$'!$L$5:$L$993,'[1]UY$'!$O$5:$O$993,"Cambio",'[1]UY$'!$E$5:$E$993,'Efecto TC'!D37),""))</f>
        <v>630000</v>
      </c>
      <c r="G37" s="23">
        <f t="shared" si="7"/>
        <v>44.430026234872642</v>
      </c>
      <c r="H37" s="22">
        <f t="shared" si="11"/>
        <v>820.40000000000327</v>
      </c>
      <c r="I37" s="22">
        <f t="shared" si="8"/>
        <v>-9930.2361904761892</v>
      </c>
      <c r="K37" s="61">
        <v>45</v>
      </c>
      <c r="L37" s="62">
        <f>+N33-N37</f>
        <v>740687.57782027312</v>
      </c>
      <c r="M37" s="33"/>
      <c r="N37" s="26">
        <f>+$L$24/K37</f>
        <v>10369626.089483799</v>
      </c>
      <c r="P37" s="33"/>
      <c r="R37" s="24">
        <f t="shared" si="3"/>
        <v>1.6661441195204912E-3</v>
      </c>
      <c r="S37" s="25">
        <f t="shared" si="4"/>
        <v>7.4026826941374205E-2</v>
      </c>
    </row>
    <row r="38" spans="1:19" x14ac:dyDescent="0.25">
      <c r="A38">
        <f t="shared" si="1"/>
        <v>12</v>
      </c>
      <c r="B38">
        <f t="shared" si="2"/>
        <v>2024</v>
      </c>
      <c r="D38" s="21" cm="1">
        <f t="array" ref="D38">IF(ROWS($D$7:D38)&gt;COUNTIF('[1]U$S'!$H$5:$H$1008,$L$5),"",INDEX(CuentaUS,_xlfn.AGGREGATE(15,6,ROW('[1]U$S'!$H$5:$H$1008)-ROW('[1]U$S'!$O$5)+1/--('[1]U$S'!$H$5:$H$1008=$L$5),ROWS($D$7:D38)),1))</f>
        <v>45646</v>
      </c>
      <c r="E38" s="22" cm="1">
        <f t="array" ref="E38">IF(ROWS($E$7:E38)&gt;COUNTIF('[1]U$S'!$H$5:$H$1008,$L$5),"",INDEX(CuentaUS,_xlfn.AGGREGATE(15,6,ROW('[1]U$S'!$H$5:$H$1008)-ROW('[1]U$S'!$O$5)+1/--('[1]U$S'!$H$5:$H$1008=$L$5),ROWS($E$7:E38)),6))</f>
        <v>63091.48</v>
      </c>
      <c r="F38" s="22">
        <f>IF(E38="","",IF(E38&gt;0,SUMIFS('[1]UY$'!$L$5:$L$993,'[1]UY$'!$O$5:$O$993,"Cambio",'[1]UY$'!$E$5:$E$993,'Efecto TC'!D38),""))</f>
        <v>2800000</v>
      </c>
      <c r="G38" s="23">
        <f t="shared" si="7"/>
        <v>44.380001863960075</v>
      </c>
      <c r="H38" s="22">
        <f t="shared" si="11"/>
        <v>3575.1866666666683</v>
      </c>
      <c r="I38" s="22">
        <f t="shared" si="8"/>
        <v>-6355.0495238095209</v>
      </c>
      <c r="K38" s="43"/>
      <c r="L38" s="43"/>
      <c r="M38" s="33"/>
      <c r="N38" s="33"/>
      <c r="R38" s="24">
        <f t="shared" si="3"/>
        <v>7.4134318594209067E-3</v>
      </c>
      <c r="S38" s="25">
        <f t="shared" si="4"/>
        <v>0.32900811973944083</v>
      </c>
    </row>
    <row r="39" spans="1:19" x14ac:dyDescent="0.25">
      <c r="A39">
        <f t="shared" si="1"/>
        <v>1</v>
      </c>
      <c r="B39">
        <f t="shared" si="2"/>
        <v>2025</v>
      </c>
      <c r="D39" s="21" cm="1">
        <f t="array" ref="D39">IF(ROWS($D$7:D39)&gt;COUNTIF('[1]U$S'!$H$5:$H$1008,$L$5),"",INDEX(CuentaUS,_xlfn.AGGREGATE(15,6,ROW('[1]U$S'!$H$5:$H$1008)-ROW('[1]U$S'!$O$5)+1/--('[1]U$S'!$H$5:$H$1008=$L$5),ROWS($D$7:D39)),1))</f>
        <v>45667</v>
      </c>
      <c r="E39" s="22" cm="1">
        <f t="array" ref="E39">IF(ROWS($E$7:E39)&gt;COUNTIF('[1]U$S'!$H$5:$H$1008,$L$5),"",INDEX(CuentaUS,_xlfn.AGGREGATE(15,6,ROW('[1]U$S'!$H$5:$H$1008)-ROW('[1]U$S'!$O$5)+1/--('[1]U$S'!$H$5:$H$1008=$L$5),ROWS($E$7:E39)),6))</f>
        <v>4566.21</v>
      </c>
      <c r="F39" s="22">
        <f>IF(E39="","",IF(E39&gt;0,SUMIFS('[1]UY$'!$L$5:$L$993,'[1]UY$'!$O$5:$O$993,"Cambio",'[1]UY$'!$E$5:$E$993,'Efecto TC'!D39),""))</f>
        <v>200000</v>
      </c>
      <c r="G39" s="23">
        <f t="shared" si="7"/>
        <v>43.800000438000005</v>
      </c>
      <c r="H39" s="22">
        <f t="shared" si="11"/>
        <v>195.69476190476144</v>
      </c>
      <c r="I39" s="22">
        <f t="shared" si="8"/>
        <v>-6159.3547619047595</v>
      </c>
      <c r="K39" s="43"/>
      <c r="L39" s="43"/>
      <c r="M39" s="33"/>
      <c r="N39" s="33"/>
      <c r="R39" s="24">
        <f t="shared" si="3"/>
        <v>5.3654291658408293E-4</v>
      </c>
      <c r="S39" s="25">
        <f t="shared" si="4"/>
        <v>2.3500579981388631E-2</v>
      </c>
    </row>
    <row r="40" spans="1:19" x14ac:dyDescent="0.25">
      <c r="A40">
        <f t="shared" si="1"/>
        <v>1</v>
      </c>
      <c r="B40">
        <f t="shared" si="2"/>
        <v>2025</v>
      </c>
      <c r="D40" s="21" cm="1">
        <f t="array" ref="D40">IF(ROWS($D$7:D40)&gt;COUNTIF('[1]U$S'!$H$5:$H$1008,$L$5),"",INDEX(CuentaUS,_xlfn.AGGREGATE(15,6,ROW('[1]U$S'!$H$5:$H$1008)-ROW('[1]U$S'!$O$5)+1/--('[1]U$S'!$H$5:$H$1008=$L$5),ROWS($D$7:D40)),1))</f>
        <v>45671</v>
      </c>
      <c r="E40" s="22" cm="1">
        <f t="array" ref="E40">IF(ROWS($E$7:E40)&gt;COUNTIF('[1]U$S'!$H$5:$H$1008,$L$5),"",INDEX(CuentaUS,_xlfn.AGGREGATE(15,6,ROW('[1]U$S'!$H$5:$H$1008)-ROW('[1]U$S'!$O$5)+1/--('[1]U$S'!$H$5:$H$1008=$L$5),ROWS($E$7:E40)),6))</f>
        <v>1715.46</v>
      </c>
      <c r="F40" s="22">
        <f>IF(E40="","",IF(E40&gt;0,SUMIFS('[1]UY$'!$L$5:$L$993,'[1]UY$'!$O$5:$O$993,"Cambio",'[1]UY$'!$E$5:$E$993,'Efecto TC'!D40),""))</f>
        <v>75000</v>
      </c>
      <c r="G40" s="23">
        <f t="shared" si="7"/>
        <v>43.720051764541289</v>
      </c>
      <c r="H40" s="22">
        <f t="shared" si="11"/>
        <v>70.254285714285743</v>
      </c>
      <c r="I40" s="22">
        <f t="shared" si="8"/>
        <v>-6089.1004761904733</v>
      </c>
      <c r="K40" s="43"/>
      <c r="L40" s="43"/>
      <c r="R40" s="24">
        <f t="shared" si="3"/>
        <v>2.0157152467436472E-4</v>
      </c>
      <c r="S40" s="25">
        <f t="shared" si="4"/>
        <v>8.8127174930207365E-3</v>
      </c>
    </row>
    <row r="41" spans="1:19" x14ac:dyDescent="0.25">
      <c r="A41">
        <f t="shared" si="1"/>
        <v>1</v>
      </c>
      <c r="B41">
        <f t="shared" si="2"/>
        <v>2025</v>
      </c>
      <c r="D41" s="21" cm="1">
        <f t="array" ref="D41">IF(ROWS($D$7:D41)&gt;COUNTIF('[1]U$S'!$H$5:$H$1008,$L$5),"",INDEX(CuentaUS,_xlfn.AGGREGATE(15,6,ROW('[1]U$S'!$H$5:$H$1008)-ROW('[1]U$S'!$O$5)+1/--('[1]U$S'!$H$5:$H$1008=$L$5),ROWS($D$7:D41)),1))</f>
        <v>45672</v>
      </c>
      <c r="E41" s="22" cm="1">
        <f t="array" ref="E41">IF(ROWS($E$7:E41)&gt;COUNTIF('[1]U$S'!$H$5:$H$1008,$L$5),"",INDEX(CuentaUS,_xlfn.AGGREGATE(15,6,ROW('[1]U$S'!$H$5:$H$1008)-ROW('[1]U$S'!$O$5)+1/--('[1]U$S'!$H$5:$H$1008=$L$5),ROWS($E$7:E41)),6))</f>
        <v>3199.26</v>
      </c>
      <c r="F41" s="22">
        <f>IF(E41="","",IF(E41&gt;0,SUMIFS('[1]UY$'!$L$5:$L$993,'[1]UY$'!$O$5:$O$993,"Cambio",'[1]UY$'!$E$5:$E$993,'Efecto TC'!D41),""))</f>
        <v>140000</v>
      </c>
      <c r="G41" s="23">
        <f t="shared" si="7"/>
        <v>43.760119527640761</v>
      </c>
      <c r="H41" s="22">
        <f t="shared" si="11"/>
        <v>134.07333333333327</v>
      </c>
      <c r="I41" s="22">
        <f t="shared" si="8"/>
        <v>-5955.0271428571396</v>
      </c>
      <c r="M41" s="33"/>
      <c r="R41" s="24">
        <f t="shared" si="3"/>
        <v>3.75922327556287E-4</v>
      </c>
      <c r="S41" s="25">
        <f t="shared" si="4"/>
        <v>1.645040598697204E-2</v>
      </c>
    </row>
    <row r="42" spans="1:19" x14ac:dyDescent="0.25">
      <c r="A42">
        <f t="shared" si="1"/>
        <v>1</v>
      </c>
      <c r="B42">
        <f t="shared" si="2"/>
        <v>2025</v>
      </c>
      <c r="D42" s="21" cm="1">
        <f t="array" ref="D42">IF(ROWS($D$7:D42)&gt;COUNTIF('[1]U$S'!$H$5:$H$1008,$L$5),"",INDEX(CuentaUS,_xlfn.AGGREGATE(15,6,ROW('[1]U$S'!$H$5:$H$1008)-ROW('[1]U$S'!$O$5)+1/--('[1]U$S'!$H$5:$H$1008=$L$5),ROWS($D$7:D42)),1))</f>
        <v>45673</v>
      </c>
      <c r="E42" s="22" cm="1">
        <f t="array" ref="E42">IF(ROWS($E$7:E42)&gt;COUNTIF('[1]U$S'!$H$5:$H$1008,$L$5),"",INDEX(CuentaUS,_xlfn.AGGREGATE(15,6,ROW('[1]U$S'!$H$5:$H$1008)-ROW('[1]U$S'!$O$5)+1/--('[1]U$S'!$H$5:$H$1008=$L$5),ROWS($E$7:E42)),6))</f>
        <v>1141.55</v>
      </c>
      <c r="F42" s="22">
        <f>IF(E42="","",IF(E42&gt;0,SUMIFS('[1]UY$'!$L$5:$L$993,'[1]UY$'!$O$5:$O$993,"Cambio",'[1]UY$'!$E$5:$E$993,'Efecto TC'!D42),""))</f>
        <v>50000</v>
      </c>
      <c r="G42" s="23">
        <f t="shared" si="7"/>
        <v>43.800096360211995</v>
      </c>
      <c r="H42" s="22">
        <f t="shared" si="11"/>
        <v>48.926190476190413</v>
      </c>
      <c r="I42" s="22">
        <f t="shared" si="8"/>
        <v>-5906.1009523809489</v>
      </c>
      <c r="K42" s="63"/>
      <c r="L42" s="63"/>
      <c r="R42" s="24">
        <f t="shared" si="3"/>
        <v>1.3413543538877095E-4</v>
      </c>
      <c r="S42" s="25">
        <f t="shared" si="4"/>
        <v>5.8751449953471577E-3</v>
      </c>
    </row>
    <row r="43" spans="1:19" x14ac:dyDescent="0.25">
      <c r="A43">
        <f t="shared" si="1"/>
        <v>1</v>
      </c>
      <c r="B43">
        <f t="shared" si="2"/>
        <v>2025</v>
      </c>
      <c r="D43" s="21" cm="1">
        <f t="array" ref="D43">IF(ROWS($D$7:D43)&gt;COUNTIF('[1]U$S'!$H$5:$H$1008,$L$5),"",INDEX(CuentaUS,_xlfn.AGGREGATE(15,6,ROW('[1]U$S'!$H$5:$H$1008)-ROW('[1]U$S'!$O$5)+1/--('[1]U$S'!$H$5:$H$1008=$L$5),ROWS($D$7:D43)),1))</f>
        <v>45681</v>
      </c>
      <c r="E43" s="22" cm="1">
        <f t="array" ref="E43">IF(ROWS($E$7:E43)&gt;COUNTIF('[1]U$S'!$H$5:$H$1008,$L$5),"",INDEX(CuentaUS,_xlfn.AGGREGATE(15,6,ROW('[1]U$S'!$H$5:$H$1008)-ROW('[1]U$S'!$O$5)+1/--('[1]U$S'!$H$5:$H$1008=$L$5),ROWS($E$7:E43)),6))</f>
        <v>2088.16</v>
      </c>
      <c r="F43" s="22">
        <f>IF(E43="","",IF(E43&gt;0,SUMIFS('[1]UY$'!$L$5:$L$993,'[1]UY$'!$O$5:$O$993,"Cambio",'[1]UY$'!$E$5:$E$993,'Efecto TC'!D43),""))</f>
        <v>90000</v>
      </c>
      <c r="G43" s="23">
        <f t="shared" si="7"/>
        <v>43.100145582713971</v>
      </c>
      <c r="H43" s="22">
        <f t="shared" si="11"/>
        <v>54.697142857142808</v>
      </c>
      <c r="I43" s="22">
        <f t="shared" si="8"/>
        <v>-5851.4038095238066</v>
      </c>
      <c r="K43" s="64"/>
      <c r="M43" s="63"/>
      <c r="R43" s="24">
        <f t="shared" si="3"/>
        <v>2.4536485546968243E-4</v>
      </c>
      <c r="S43" s="25">
        <f t="shared" si="4"/>
        <v>1.0575260991624884E-2</v>
      </c>
    </row>
    <row r="44" spans="1:19" x14ac:dyDescent="0.25">
      <c r="A44">
        <f t="shared" si="1"/>
        <v>1</v>
      </c>
      <c r="B44">
        <f t="shared" si="2"/>
        <v>2025</v>
      </c>
      <c r="D44" s="21" cm="1">
        <f t="array" ref="D44">IF(ROWS($D$7:D44)&gt;COUNTIF('[1]U$S'!$H$5:$H$1008,$L$5),"",INDEX(CuentaUS,_xlfn.AGGREGATE(15,6,ROW('[1]U$S'!$H$5:$H$1008)-ROW('[1]U$S'!$O$5)+1/--('[1]U$S'!$H$5:$H$1008=$L$5),ROWS($D$7:D44)),1))</f>
        <v>45686</v>
      </c>
      <c r="E44" s="22" cm="1">
        <f t="array" ref="E44">IF(ROWS($E$7:E44)&gt;COUNTIF('[1]U$S'!$H$5:$H$1008,$L$5),"",INDEX(CuentaUS,_xlfn.AGGREGATE(15,6,ROW('[1]U$S'!$H$5:$H$1008)-ROW('[1]U$S'!$O$5)+1/--('[1]U$S'!$H$5:$H$1008=$L$5),ROWS($E$7:E44)),6))</f>
        <v>1162.79</v>
      </c>
      <c r="F44" s="22">
        <f>IF(E44="","",IF(E44&gt;0,SUMIFS('[1]UY$'!$L$5:$L$993,'[1]UY$'!$O$5:$O$993,"Cambio",'[1]UY$'!$E$5:$E$993,'Efecto TC'!D44),""))</f>
        <v>50000</v>
      </c>
      <c r="G44" s="23">
        <f t="shared" si="7"/>
        <v>43.000025800015479</v>
      </c>
      <c r="H44" s="22">
        <f t="shared" si="11"/>
        <v>27.686190476190404</v>
      </c>
      <c r="I44" s="22">
        <f t="shared" si="8"/>
        <v>-5823.7176190476166</v>
      </c>
      <c r="K44" s="64"/>
      <c r="M44" s="43"/>
      <c r="R44" s="24">
        <f t="shared" si="3"/>
        <v>1.3663119698279443E-4</v>
      </c>
      <c r="S44" s="25">
        <f t="shared" si="4"/>
        <v>5.8751449953471577E-3</v>
      </c>
    </row>
    <row r="45" spans="1:19" x14ac:dyDescent="0.25">
      <c r="A45">
        <f t="shared" si="1"/>
        <v>2</v>
      </c>
      <c r="B45">
        <f t="shared" si="2"/>
        <v>2025</v>
      </c>
      <c r="D45" s="21" cm="1">
        <f t="array" ref="D45">IF(ROWS($D$7:D45)&gt;COUNTIF('[1]U$S'!$H$5:$H$1008,$L$5),"",INDEX(CuentaUS,_xlfn.AGGREGATE(15,6,ROW('[1]U$S'!$H$5:$H$1008)-ROW('[1]U$S'!$O$5)+1/--('[1]U$S'!$H$5:$H$1008=$L$5),ROWS($D$7:D45)),1))</f>
        <v>45698</v>
      </c>
      <c r="E45" s="22" cm="1">
        <f t="array" ref="E45">IF(ROWS($E$7:E45)&gt;COUNTIF('[1]U$S'!$H$5:$H$1008,$L$5),"",INDEX(CuentaUS,_xlfn.AGGREGATE(15,6,ROW('[1]U$S'!$H$5:$H$1008)-ROW('[1]U$S'!$O$5)+1/--('[1]U$S'!$H$5:$H$1008=$L$5),ROWS($E$7:E45)),6))</f>
        <v>54272.52</v>
      </c>
      <c r="F45" s="22">
        <f>IF(E45="","",IF(E45&gt;0,SUMIFS('[1]UY$'!$L$5:$L$993,'[1]UY$'!$O$5:$O$993,"Cambio",'[1]UY$'!$E$5:$E$993,'Efecto TC'!D45),""))</f>
        <v>2350000</v>
      </c>
      <c r="G45" s="23">
        <f t="shared" si="7"/>
        <v>43.299997862638406</v>
      </c>
      <c r="H45" s="22">
        <f t="shared" si="11"/>
        <v>1679.8609523809573</v>
      </c>
      <c r="I45" s="22">
        <f t="shared" si="8"/>
        <v>-4143.8566666666593</v>
      </c>
      <c r="K45" s="64"/>
      <c r="M45" s="43"/>
      <c r="R45" s="24">
        <f t="shared" si="3"/>
        <v>6.3771784852575709E-3</v>
      </c>
      <c r="S45" s="25">
        <f t="shared" si="4"/>
        <v>0.27613181478131643</v>
      </c>
    </row>
    <row r="46" spans="1:19" x14ac:dyDescent="0.25">
      <c r="A46">
        <f t="shared" si="1"/>
        <v>2</v>
      </c>
      <c r="B46">
        <f t="shared" si="2"/>
        <v>2025</v>
      </c>
      <c r="D46" s="21" cm="1">
        <f t="array" ref="D46">IF(ROWS($D$7:D46)&gt;COUNTIF('[1]U$S'!$H$5:$H$1008,$L$5),"",INDEX(CuentaUS,_xlfn.AGGREGATE(15,6,ROW('[1]U$S'!$H$5:$H$1008)-ROW('[1]U$S'!$O$5)+1/--('[1]U$S'!$H$5:$H$1008=$L$5),ROWS($D$7:D46)),1))</f>
        <v>45714</v>
      </c>
      <c r="E46" s="22" cm="1">
        <f t="array" ref="E46">IF(ROWS($E$7:E46)&gt;COUNTIF('[1]U$S'!$H$5:$H$1008,$L$5),"",INDEX(CuentaUS,_xlfn.AGGREGATE(15,6,ROW('[1]U$S'!$H$5:$H$1008)-ROW('[1]U$S'!$O$5)+1/--('[1]U$S'!$H$5:$H$1008=$L$5),ROWS($E$7:E46)),6))</f>
        <v>68203.3</v>
      </c>
      <c r="F46" s="22">
        <f>IF(E46="","",IF(E46&gt;0,SUMIFS('[1]UY$'!$L$5:$L$993,'[1]UY$'!$O$5:$O$993,"Cambio",'[1]UY$'!$E$5:$E$993,'Efecto TC'!D46),""))</f>
        <v>2885000</v>
      </c>
      <c r="G46" s="23">
        <f t="shared" si="7"/>
        <v>42.300006011439329</v>
      </c>
      <c r="H46" s="22">
        <f t="shared" si="11"/>
        <v>487.17619047618064</v>
      </c>
      <c r="I46" s="22">
        <f t="shared" si="8"/>
        <v>-3656.6804761904787</v>
      </c>
      <c r="K46" s="64"/>
      <c r="M46" s="43"/>
      <c r="N46" s="43"/>
      <c r="R46" s="24">
        <f t="shared" si="3"/>
        <v>8.0140855332232162E-3</v>
      </c>
      <c r="S46" s="25">
        <f t="shared" si="4"/>
        <v>0.338995866231531</v>
      </c>
    </row>
    <row r="47" spans="1:19" x14ac:dyDescent="0.25">
      <c r="A47">
        <f t="shared" si="1"/>
        <v>3</v>
      </c>
      <c r="B47">
        <f t="shared" si="2"/>
        <v>2025</v>
      </c>
      <c r="D47" s="21" cm="1">
        <f t="array" ref="D47">IF(ROWS($D$7:D47)&gt;COUNTIF('[1]U$S'!$H$5:$H$1008,$L$5),"",INDEX(CuentaUS,_xlfn.AGGREGATE(15,6,ROW('[1]U$S'!$H$5:$H$1008)-ROW('[1]U$S'!$O$5)+1/--('[1]U$S'!$H$5:$H$1008=$L$5),ROWS($D$7:D47)),1))</f>
        <v>45736</v>
      </c>
      <c r="E47" s="22" cm="1">
        <f t="array" ref="E47">IF(ROWS($E$7:E47)&gt;COUNTIF('[1]U$S'!$H$5:$H$1008,$L$5),"",INDEX(CuentaUS,_xlfn.AGGREGATE(15,6,ROW('[1]U$S'!$H$5:$H$1008)-ROW('[1]U$S'!$O$5)+1/--('[1]U$S'!$H$5:$H$1008=$L$5),ROWS($E$7:E47)),6))</f>
        <v>166270.78</v>
      </c>
      <c r="F47" s="22">
        <f>IF(E47="","",IF(E47&gt;0,SUMIFS('[1]UY$'!$L$5:$L$993,'[1]UY$'!$O$5:$O$993,"Cambio",'[1]UY$'!$E$5:$E$993,'Efecto TC'!D47),""))</f>
        <v>7000000</v>
      </c>
      <c r="G47" s="23">
        <f t="shared" si="7"/>
        <v>42.100000974314305</v>
      </c>
      <c r="H47" s="22">
        <f t="shared" si="11"/>
        <v>395.88666666665813</v>
      </c>
      <c r="I47" s="22">
        <f t="shared" si="8"/>
        <v>-3260.7938095238205</v>
      </c>
      <c r="K47" s="64"/>
      <c r="M47" s="43"/>
      <c r="R47" s="24">
        <f t="shared" si="3"/>
        <v>1.9537298819789366E-2</v>
      </c>
      <c r="S47" s="25">
        <f t="shared" si="4"/>
        <v>0.82252029934860205</v>
      </c>
    </row>
    <row r="48" spans="1:19" x14ac:dyDescent="0.25">
      <c r="A48">
        <f t="shared" si="1"/>
        <v>3</v>
      </c>
      <c r="B48">
        <f t="shared" si="2"/>
        <v>2025</v>
      </c>
      <c r="D48" s="21" cm="1">
        <f t="array" ref="D48">IF(ROWS($D$7:D48)&gt;COUNTIF('[1]U$S'!$H$5:$H$1008,$L$5),"",INDEX(CuentaUS,_xlfn.AGGREGATE(15,6,ROW('[1]U$S'!$H$5:$H$1008)-ROW('[1]U$S'!$O$5)+1/--('[1]U$S'!$H$5:$H$1008=$L$5),ROWS($D$7:D48)),1))</f>
        <v>45740</v>
      </c>
      <c r="E48" s="22" cm="1">
        <f t="array" ref="E48">IF(ROWS($E$7:E48)&gt;COUNTIF('[1]U$S'!$H$5:$H$1008,$L$5),"",INDEX(CuentaUS,_xlfn.AGGREGATE(15,6,ROW('[1]U$S'!$H$5:$H$1008)-ROW('[1]U$S'!$O$5)+1/--('[1]U$S'!$H$5:$H$1008=$L$5),ROWS($E$7:E48)),6))</f>
        <v>35671.82</v>
      </c>
      <c r="F48" s="22">
        <f>IF(E48="","",IF(E48&gt;0,SUMIFS('[1]UY$'!$L$5:$L$993,'[1]UY$'!$O$5:$O$993,"Cambio",'[1]UY$'!$E$5:$E$993,'Efecto TC'!D48),""))</f>
        <v>1500000</v>
      </c>
      <c r="G48" s="23">
        <f t="shared" si="7"/>
        <v>42.049999130966683</v>
      </c>
      <c r="H48" s="22">
        <f t="shared" si="11"/>
        <v>42.465714285717695</v>
      </c>
      <c r="I48" s="22">
        <f t="shared" si="8"/>
        <v>-3218.3280952381028</v>
      </c>
      <c r="K48" s="64"/>
      <c r="M48" s="43"/>
      <c r="N48" s="43"/>
      <c r="R48" s="24">
        <f t="shared" si="3"/>
        <v>4.1915422949584929E-3</v>
      </c>
      <c r="S48" s="25">
        <f t="shared" si="4"/>
        <v>0.17625434986041472</v>
      </c>
    </row>
    <row r="49" spans="1:19" x14ac:dyDescent="0.25">
      <c r="A49">
        <f t="shared" si="1"/>
        <v>3</v>
      </c>
      <c r="B49">
        <f t="shared" si="2"/>
        <v>2025</v>
      </c>
      <c r="D49" s="21" cm="1">
        <f t="array" ref="D49">IF(ROWS($D$7:D49)&gt;COUNTIF('[1]U$S'!$H$5:$H$1008,$L$5),"",INDEX(CuentaUS,_xlfn.AGGREGATE(15,6,ROW('[1]U$S'!$H$5:$H$1008)-ROW('[1]U$S'!$O$5)+1/--('[1]U$S'!$H$5:$H$1008=$L$5),ROWS($D$7:D49)),1))</f>
        <v>45744</v>
      </c>
      <c r="E49" s="22" cm="1">
        <f t="array" ref="E49">IF(ROWS($E$7:E49)&gt;COUNTIF('[1]U$S'!$H$5:$H$1008,$L$5),"",INDEX(CuentaUS,_xlfn.AGGREGATE(15,6,ROW('[1]U$S'!$H$5:$H$1008)-ROW('[1]U$S'!$O$5)+1/--('[1]U$S'!$H$5:$H$1008=$L$5),ROWS($E$7:E49)),6))</f>
        <v>76190.48</v>
      </c>
      <c r="F49" s="22">
        <f>IF(E49="","",IF(E49&gt;0,SUMIFS('[1]UY$'!$L$5:$L$993,'[1]UY$'!$O$5:$O$993,"Cambio",'[1]UY$'!$E$5:$E$993,'Efecto TC'!D49),""))</f>
        <v>3200000</v>
      </c>
      <c r="G49" s="23">
        <f t="shared" si="7"/>
        <v>41.99999790000011</v>
      </c>
      <c r="H49" s="22">
        <f t="shared" si="11"/>
        <v>-3.8095238123787567E-3</v>
      </c>
      <c r="I49" s="22">
        <f t="shared" si="8"/>
        <v>-3218.3319047619152</v>
      </c>
      <c r="M49" s="43"/>
      <c r="N49" s="43"/>
      <c r="R49" s="24">
        <f t="shared" si="3"/>
        <v>8.9526023453019542E-3</v>
      </c>
      <c r="S49" s="25">
        <f t="shared" si="4"/>
        <v>0.37600927970221815</v>
      </c>
    </row>
    <row r="50" spans="1:19" x14ac:dyDescent="0.25">
      <c r="A50">
        <f t="shared" si="1"/>
        <v>3</v>
      </c>
      <c r="B50">
        <f t="shared" si="2"/>
        <v>2025</v>
      </c>
      <c r="D50" s="21" cm="1">
        <f t="array" ref="D50">IF(ROWS($D$7:D50)&gt;COUNTIF('[1]U$S'!$H$5:$H$1008,$L$5),"",INDEX(CuentaUS,_xlfn.AGGREGATE(15,6,ROW('[1]U$S'!$H$5:$H$1008)-ROW('[1]U$S'!$O$5)+1/--('[1]U$S'!$H$5:$H$1008=$L$5),ROWS($D$7:D50)),1))</f>
        <v>45747</v>
      </c>
      <c r="E50" s="22" cm="1">
        <f t="array" ref="E50">IF(ROWS($E$7:E50)&gt;COUNTIF('[1]U$S'!$H$5:$H$1008,$L$5),"",INDEX(CuentaUS,_xlfn.AGGREGATE(15,6,ROW('[1]U$S'!$H$5:$H$1008)-ROW('[1]U$S'!$O$5)+1/--('[1]U$S'!$H$5:$H$1008=$L$5),ROWS($E$7:E50)),6))</f>
        <v>1905.66</v>
      </c>
      <c r="F50" s="22">
        <f>IF(E50="","",IF(E50&gt;0,SUMIFS('[1]UY$'!$L$5:$L$993,'[1]UY$'!$O$5:$O$993,"Cambio",'[1]UY$'!$E$5:$E$993,'Efecto TC'!D50),""))</f>
        <v>80000</v>
      </c>
      <c r="G50" s="23">
        <f t="shared" si="7"/>
        <v>41.980206332714125</v>
      </c>
      <c r="H50" s="22">
        <f t="shared" si="11"/>
        <v>-0.89809523809526581</v>
      </c>
      <c r="I50" s="22">
        <f t="shared" si="8"/>
        <v>-3219.2300000000105</v>
      </c>
      <c r="K50" s="65"/>
      <c r="L50" s="66"/>
      <c r="R50" s="24">
        <f t="shared" si="3"/>
        <v>2.2392057623666533E-4</v>
      </c>
      <c r="S50" s="25">
        <f t="shared" si="4"/>
        <v>9.4002319925554547E-3</v>
      </c>
    </row>
    <row r="51" spans="1:19" x14ac:dyDescent="0.25">
      <c r="A51">
        <f t="shared" si="1"/>
        <v>4</v>
      </c>
      <c r="B51">
        <f t="shared" si="2"/>
        <v>2025</v>
      </c>
      <c r="D51" s="21" cm="1">
        <f t="array" ref="D51">IF(ROWS($D$7:D51)&gt;COUNTIF('[1]U$S'!$H$5:$H$1008,$L$5),"",INDEX(CuentaUS,_xlfn.AGGREGATE(15,6,ROW('[1]U$S'!$H$5:$H$1008)-ROW('[1]U$S'!$O$5)+1/--('[1]U$S'!$H$5:$H$1008=$L$5),ROWS($D$7:D51)),1))</f>
        <v>45750</v>
      </c>
      <c r="E51" s="22" cm="1">
        <f t="array" ref="E51">IF(ROWS($E$7:E51)&gt;COUNTIF('[1]U$S'!$H$5:$H$1008,$L$5),"",INDEX(CuentaUS,_xlfn.AGGREGATE(15,6,ROW('[1]U$S'!$H$5:$H$1008)-ROW('[1]U$S'!$O$5)+1/--('[1]U$S'!$H$5:$H$1008=$L$5),ROWS($E$7:E51)),6))</f>
        <v>1431.29</v>
      </c>
      <c r="F51" s="22">
        <f>IF(E51="","",IF(E51&gt;0,SUMIFS('[1]UY$'!$L$5:$L$993,'[1]UY$'!$O$5:$O$993,"Cambio",'[1]UY$'!$E$5:$E$993,'Efecto TC'!D51),""))</f>
        <v>60000</v>
      </c>
      <c r="G51" s="23">
        <f t="shared" si="7"/>
        <v>41.920225810283036</v>
      </c>
      <c r="H51" s="22">
        <f t="shared" si="11"/>
        <v>-2.7185714285712947</v>
      </c>
      <c r="I51" s="22">
        <f t="shared" si="8"/>
        <v>-3221.948571428582</v>
      </c>
      <c r="L51" s="67"/>
      <c r="N51" s="33"/>
      <c r="R51" s="24">
        <f t="shared" si="3"/>
        <v>1.6818072560780868E-4</v>
      </c>
      <c r="S51" s="25">
        <f t="shared" si="4"/>
        <v>7.0501739944165906E-3</v>
      </c>
    </row>
    <row r="52" spans="1:19" x14ac:dyDescent="0.25">
      <c r="A52">
        <f t="shared" si="1"/>
        <v>4</v>
      </c>
      <c r="B52">
        <f t="shared" si="2"/>
        <v>2025</v>
      </c>
      <c r="D52" s="21" cm="1">
        <f t="array" ref="D52">IF(ROWS($D$7:D52)&gt;COUNTIF('[1]U$S'!$H$5:$H$1008,$L$5),"",INDEX(CuentaUS,_xlfn.AGGREGATE(15,6,ROW('[1]U$S'!$H$5:$H$1008)-ROW('[1]U$S'!$O$5)+1/--('[1]U$S'!$H$5:$H$1008=$L$5),ROWS($D$7:D52)),1))</f>
        <v>45751</v>
      </c>
      <c r="E52" s="22" cm="1">
        <f t="array" ref="E52">IF(ROWS($E$7:E52)&gt;COUNTIF('[1]U$S'!$H$5:$H$1008,$L$5),"",INDEX(CuentaUS,_xlfn.AGGREGATE(15,6,ROW('[1]U$S'!$H$5:$H$1008)-ROW('[1]U$S'!$O$5)+1/--('[1]U$S'!$H$5:$H$1008=$L$5),ROWS($E$7:E52)),6))</f>
        <v>16292.8</v>
      </c>
      <c r="F52" s="22">
        <f>IF(E52="","",IF(E52&gt;0,SUMIFS('[1]UY$'!$L$5:$L$993,'[1]UY$'!$O$5:$O$993,"Cambio",'[1]UY$'!$E$5:$E$993,'Efecto TC'!D52),""))</f>
        <v>690000</v>
      </c>
      <c r="G52" s="23">
        <f t="shared" si="7"/>
        <v>42.349995089855646</v>
      </c>
      <c r="H52" s="22">
        <f t="shared" si="11"/>
        <v>135.77142857143008</v>
      </c>
      <c r="I52" s="22">
        <f t="shared" si="8"/>
        <v>-3086.1771428571519</v>
      </c>
      <c r="L52" s="68"/>
      <c r="R52" s="24">
        <f t="shared" si="3"/>
        <v>1.9144512476038434E-3</v>
      </c>
      <c r="S52" s="25">
        <f t="shared" si="4"/>
        <v>8.1077000935790788E-2</v>
      </c>
    </row>
    <row r="53" spans="1:19" x14ac:dyDescent="0.25">
      <c r="A53">
        <f t="shared" si="1"/>
        <v>4</v>
      </c>
      <c r="B53">
        <f t="shared" si="2"/>
        <v>2025</v>
      </c>
      <c r="D53" s="21" cm="1">
        <f t="array" ref="D53">IF(ROWS($D$7:D53)&gt;COUNTIF('[1]U$S'!$H$5:$H$1008,$L$5),"",INDEX(CuentaUS,_xlfn.AGGREGATE(15,6,ROW('[1]U$S'!$H$5:$H$1008)-ROW('[1]U$S'!$O$5)+1/--('[1]U$S'!$H$5:$H$1008=$L$5),ROWS($D$7:D53)),1))</f>
        <v>45755</v>
      </c>
      <c r="E53" s="22" cm="1">
        <f t="array" ref="E53">IF(ROWS($E$7:E53)&gt;COUNTIF('[1]U$S'!$H$5:$H$1008,$L$5),"",INDEX(CuentaUS,_xlfn.AGGREGATE(15,6,ROW('[1]U$S'!$H$5:$H$1008)-ROW('[1]U$S'!$O$5)+1/--('[1]U$S'!$H$5:$H$1008=$L$5),ROWS($E$7:E53)),6))</f>
        <v>5275.49</v>
      </c>
      <c r="F53" s="22">
        <f>IF(E53="","",IF(E53&gt;0,SUMIFS('[1]UY$'!$L$5:$L$993,'[1]UY$'!$O$5:$O$993,"Cambio",'[1]UY$'!$E$5:$E$993,'Efecto TC'!D53),""))</f>
        <v>225000</v>
      </c>
      <c r="G53" s="23">
        <f t="shared" si="7"/>
        <v>42.650066628881866</v>
      </c>
      <c r="H53" s="22">
        <f t="shared" si="11"/>
        <v>81.652857142857101</v>
      </c>
      <c r="I53" s="22">
        <f t="shared" si="8"/>
        <v>-3004.5242857142948</v>
      </c>
      <c r="K53" s="65"/>
      <c r="L53" s="69"/>
      <c r="R53" s="24">
        <f t="shared" si="3"/>
        <v>6.1988537343007953E-4</v>
      </c>
      <c r="S53" s="25">
        <f t="shared" si="4"/>
        <v>2.643815247906221E-2</v>
      </c>
    </row>
    <row r="54" spans="1:19" x14ac:dyDescent="0.25">
      <c r="A54">
        <f t="shared" si="1"/>
        <v>4</v>
      </c>
      <c r="B54">
        <f t="shared" si="2"/>
        <v>2025</v>
      </c>
      <c r="D54" s="21" cm="1">
        <f t="array" ref="D54">IF(ROWS($D$7:D54)&gt;COUNTIF('[1]U$S'!$H$5:$H$1008,$L$5),"",INDEX(CuentaUS,_xlfn.AGGREGATE(15,6,ROW('[1]U$S'!$H$5:$H$1008)-ROW('[1]U$S'!$O$5)+1/--('[1]U$S'!$H$5:$H$1008=$L$5),ROWS($D$7:D54)),1))</f>
        <v>45756</v>
      </c>
      <c r="E54" s="22" cm="1">
        <f t="array" ref="E54">IF(ROWS($E$7:E54)&gt;COUNTIF('[1]U$S'!$H$5:$H$1008,$L$5),"",INDEX(CuentaUS,_xlfn.AGGREGATE(15,6,ROW('[1]U$S'!$H$5:$H$1008)-ROW('[1]U$S'!$O$5)+1/--('[1]U$S'!$H$5:$H$1008=$L$5),ROWS($E$7:E54)),6))</f>
        <v>3139.53</v>
      </c>
      <c r="F54" s="22">
        <f>IF(E54="","",IF(E54&gt;0,SUMIFS('[1]UY$'!$L$5:$L$993,'[1]UY$'!$O$5:$O$993,"Cambio",'[1]UY$'!$E$5:$E$993,'Efecto TC'!D54),""))</f>
        <v>135000</v>
      </c>
      <c r="G54" s="23">
        <f t="shared" si="7"/>
        <v>43.000066888992933</v>
      </c>
      <c r="H54" s="22">
        <f t="shared" si="11"/>
        <v>74.755714285714021</v>
      </c>
      <c r="I54" s="22">
        <f t="shared" si="8"/>
        <v>-2929.7685714285808</v>
      </c>
      <c r="R54" s="24">
        <f t="shared" si="3"/>
        <v>3.6890387934484527E-4</v>
      </c>
      <c r="S54" s="25">
        <f t="shared" si="4"/>
        <v>1.5862891487437324E-2</v>
      </c>
    </row>
    <row r="55" spans="1:19" x14ac:dyDescent="0.25">
      <c r="A55">
        <f t="shared" si="1"/>
        <v>4</v>
      </c>
      <c r="B55">
        <f t="shared" si="2"/>
        <v>2025</v>
      </c>
      <c r="D55" s="21" cm="1">
        <f t="array" ref="D55">IF(ROWS($D$7:D55)&gt;COUNTIF('[1]U$S'!$H$5:$H$1008,$L$5),"",INDEX(CuentaUS,_xlfn.AGGREGATE(15,6,ROW('[1]U$S'!$H$5:$H$1008)-ROW('[1]U$S'!$O$5)+1/--('[1]U$S'!$H$5:$H$1008=$L$5),ROWS($D$7:D55)),1))</f>
        <v>45757</v>
      </c>
      <c r="E55" s="22" cm="1">
        <f t="array" ref="E55">IF(ROWS($E$7:E55)&gt;COUNTIF('[1]U$S'!$H$5:$H$1008,$L$5),"",INDEX(CuentaUS,_xlfn.AGGREGATE(15,6,ROW('[1]U$S'!$H$5:$H$1008)-ROW('[1]U$S'!$O$5)+1/--('[1]U$S'!$H$5:$H$1008=$L$5),ROWS($E$7:E55)),6))</f>
        <v>304428.90000000002</v>
      </c>
      <c r="F55" s="22">
        <f>IF(E55="","",IF(E55&gt;0,SUMIFS('[1]UY$'!$L$5:$L$993,'[1]UY$'!$O$5:$O$993,"Cambio",'[1]UY$'!$E$5:$E$993,'Efecto TC'!D55),""))</f>
        <v>13060000</v>
      </c>
      <c r="G55" s="23">
        <f t="shared" si="7"/>
        <v>42.900000624119457</v>
      </c>
      <c r="H55" s="22">
        <f t="shared" si="11"/>
        <v>6523.4809523809236</v>
      </c>
      <c r="I55" s="22">
        <f t="shared" si="8"/>
        <v>3593.7123809523428</v>
      </c>
      <c r="R55" s="24">
        <f t="shared" si="3"/>
        <v>3.5771278565480812E-2</v>
      </c>
      <c r="S55" s="25">
        <f t="shared" si="4"/>
        <v>1.5345878727846778</v>
      </c>
    </row>
    <row r="56" spans="1:19" x14ac:dyDescent="0.25">
      <c r="A56">
        <f t="shared" si="1"/>
        <v>4</v>
      </c>
      <c r="B56">
        <f t="shared" si="2"/>
        <v>2025</v>
      </c>
      <c r="D56" s="21" cm="1">
        <f t="array" ref="D56">IF(ROWS($D$7:D56)&gt;COUNTIF('[1]U$S'!$H$5:$H$1008,$L$5),"",INDEX(CuentaUS,_xlfn.AGGREGATE(15,6,ROW('[1]U$S'!$H$5:$H$1008)-ROW('[1]U$S'!$O$5)+1/--('[1]U$S'!$H$5:$H$1008=$L$5),ROWS($D$7:D56)),1))</f>
        <v>45769</v>
      </c>
      <c r="E56" s="22" cm="1">
        <f t="array" ref="E56">IF(ROWS($E$7:E56)&gt;COUNTIF('[1]U$S'!$H$5:$H$1008,$L$5),"",INDEX(CuentaUS,_xlfn.AGGREGATE(15,6,ROW('[1]U$S'!$H$5:$H$1008)-ROW('[1]U$S'!$O$5)+1/--('[1]U$S'!$H$5:$H$1008=$L$5),ROWS($E$7:E56)),6))</f>
        <v>1915.25</v>
      </c>
      <c r="F56" s="22">
        <f>IF(E56="","",IF(E56&gt;0,SUMIFS('[1]UY$'!$L$5:$L$993,'[1]UY$'!$O$5:$O$993,"Cambio",'[1]UY$'!$E$5:$E$993,'Efecto TC'!D56),""))</f>
        <v>80000</v>
      </c>
      <c r="G56" s="23">
        <f t="shared" si="7"/>
        <v>41.77000391593787</v>
      </c>
      <c r="H56" s="22">
        <f t="shared" si="11"/>
        <v>-10.488095238094957</v>
      </c>
      <c r="I56" s="22">
        <f t="shared" si="8"/>
        <v>3583.2242857142478</v>
      </c>
      <c r="R56" s="24">
        <f t="shared" si="3"/>
        <v>2.2504742904677288E-4</v>
      </c>
      <c r="S56" s="25">
        <f t="shared" si="4"/>
        <v>9.400231992555453E-3</v>
      </c>
    </row>
    <row r="57" spans="1:19" x14ac:dyDescent="0.25">
      <c r="A57">
        <f t="shared" si="1"/>
        <v>4</v>
      </c>
      <c r="B57">
        <f t="shared" si="2"/>
        <v>2025</v>
      </c>
      <c r="D57" s="21" cm="1">
        <f t="array" ref="D57">IF(ROWS($D$7:D57)&gt;COUNTIF('[1]U$S'!$H$5:$H$1008,$L$5),"",INDEX(CuentaUS,_xlfn.AGGREGATE(15,6,ROW('[1]U$S'!$H$5:$H$1008)-ROW('[1]U$S'!$O$5)+1/--('[1]U$S'!$H$5:$H$1008=$L$5),ROWS($D$7:D57)),1))</f>
        <v>45770</v>
      </c>
      <c r="E57" s="22" cm="1">
        <f t="array" ref="E57">IF(ROWS($E$7:E57)&gt;COUNTIF('[1]U$S'!$H$5:$H$1008,$L$5),"",INDEX(CuentaUS,_xlfn.AGGREGATE(15,6,ROW('[1]U$S'!$H$5:$H$1008)-ROW('[1]U$S'!$O$5)+1/--('[1]U$S'!$H$5:$H$1008=$L$5),ROWS($E$7:E57)),6))</f>
        <v>2403.84</v>
      </c>
      <c r="F57" s="22">
        <f>IF(E57="","",IF(E57&gt;0,SUMIFS('[1]UY$'!$L$5:$L$993,'[1]UY$'!$O$5:$O$993,"Cambio",'[1]UY$'!$E$5:$E$993,'Efecto TC'!D57),""))</f>
        <v>100000</v>
      </c>
      <c r="G57" s="23">
        <f t="shared" si="7"/>
        <v>41.60010649627263</v>
      </c>
      <c r="H57" s="22">
        <f t="shared" si="11"/>
        <v>-22.88761904761941</v>
      </c>
      <c r="I57" s="22">
        <f t="shared" si="8"/>
        <v>3560.3366666666284</v>
      </c>
      <c r="R57" s="24">
        <f t="shared" si="3"/>
        <v>2.8245817091230625E-4</v>
      </c>
      <c r="S57" s="25">
        <f t="shared" si="4"/>
        <v>1.1750289990694315E-2</v>
      </c>
    </row>
    <row r="58" spans="1:19" x14ac:dyDescent="0.25">
      <c r="A58">
        <f t="shared" si="1"/>
        <v>4</v>
      </c>
      <c r="B58">
        <f t="shared" si="2"/>
        <v>2025</v>
      </c>
      <c r="D58" s="21" cm="1">
        <f t="array" ref="D58">IF(ROWS($D$7:D58)&gt;COUNTIF('[1]U$S'!$H$5:$H$1008,$L$5),"",INDEX(CuentaUS,_xlfn.AGGREGATE(15,6,ROW('[1]U$S'!$H$5:$H$1008)-ROW('[1]U$S'!$O$5)+1/--('[1]U$S'!$H$5:$H$1008=$L$5),ROWS($D$7:D58)),1))</f>
        <v>45772</v>
      </c>
      <c r="E58" s="22" cm="1">
        <f t="array" ref="E58">IF(ROWS($E$7:E58)&gt;COUNTIF('[1]U$S'!$H$5:$H$1008,$L$5),"",INDEX(CuentaUS,_xlfn.AGGREGATE(15,6,ROW('[1]U$S'!$H$5:$H$1008)-ROW('[1]U$S'!$O$5)+1/--('[1]U$S'!$H$5:$H$1008=$L$5),ROWS($E$7:E58)),6))</f>
        <v>52556.480000000003</v>
      </c>
      <c r="F58" s="22">
        <f>IF(E58="","",IF(E58&gt;0,SUMIFS('[1]UY$'!$L$5:$L$993,'[1]UY$'!$O$5:$O$993,"Cambio",'[1]UY$'!$E$5:$E$993,'Efecto TC'!D58),""))</f>
        <v>2210000</v>
      </c>
      <c r="G58" s="23">
        <f t="shared" si="7"/>
        <v>42.050000304434391</v>
      </c>
      <c r="H58" s="22">
        <f t="shared" si="11"/>
        <v>62.567619047615153</v>
      </c>
      <c r="I58" s="22">
        <f t="shared" si="8"/>
        <v>3622.9042857142435</v>
      </c>
      <c r="R58" s="24">
        <f t="shared" si="3"/>
        <v>6.1755388089012606E-3</v>
      </c>
      <c r="S58" s="25">
        <f t="shared" si="4"/>
        <v>0.25968140879434443</v>
      </c>
    </row>
    <row r="59" spans="1:19" x14ac:dyDescent="0.25">
      <c r="A59">
        <f t="shared" si="1"/>
        <v>4</v>
      </c>
      <c r="B59">
        <f t="shared" si="2"/>
        <v>2025</v>
      </c>
      <c r="D59" s="21" cm="1">
        <f t="array" ref="D59">IF(ROWS($D$7:D59)&gt;COUNTIF('[1]U$S'!$H$5:$H$1008,$L$5),"",INDEX(CuentaUS,_xlfn.AGGREGATE(15,6,ROW('[1]U$S'!$H$5:$H$1008)-ROW('[1]U$S'!$O$5)+1/--('[1]U$S'!$H$5:$H$1008=$L$5),ROWS($D$7:D59)),1))</f>
        <v>45777</v>
      </c>
      <c r="E59" s="22" cm="1">
        <f t="array" ref="E59">IF(ROWS($E$7:E59)&gt;COUNTIF('[1]U$S'!$H$5:$H$1008,$L$5),"",INDEX(CuentaUS,_xlfn.AGGREGATE(15,6,ROW('[1]U$S'!$H$5:$H$1008)-ROW('[1]U$S'!$O$5)+1/--('[1]U$S'!$H$5:$H$1008=$L$5),ROWS($E$7:E59)),6))</f>
        <v>1436.09</v>
      </c>
      <c r="F59" s="22">
        <f>IF(E59="","",IF(E59&gt;0,SUMIFS('[1]UY$'!$L$5:$L$993,'[1]UY$'!$O$5:$O$993,"Cambio",'[1]UY$'!$E$5:$E$993,'Efecto TC'!D59),""))</f>
        <v>60000</v>
      </c>
      <c r="G59" s="23">
        <f t="shared" si="7"/>
        <v>41.78011127436303</v>
      </c>
      <c r="H59" s="22">
        <f t="shared" si="11"/>
        <v>-7.5185714285712493</v>
      </c>
      <c r="I59" s="22">
        <f t="shared" si="8"/>
        <v>3615.3857142856723</v>
      </c>
      <c r="R59" s="24">
        <f t="shared" si="3"/>
        <v>1.6874473952736201E-4</v>
      </c>
      <c r="S59" s="25">
        <f t="shared" si="4"/>
        <v>7.0501739944165897E-3</v>
      </c>
    </row>
    <row r="60" spans="1:19" x14ac:dyDescent="0.25">
      <c r="A60">
        <f t="shared" si="1"/>
        <v>5</v>
      </c>
      <c r="B60">
        <f t="shared" si="2"/>
        <v>2025</v>
      </c>
      <c r="D60" s="21" cm="1">
        <f t="array" ref="D60">IF(ROWS($D$7:D60)&gt;COUNTIF('[1]U$S'!$H$5:$H$1008,$L$5),"",INDEX(CuentaUS,_xlfn.AGGREGATE(15,6,ROW('[1]U$S'!$H$5:$H$1008)-ROW('[1]U$S'!$O$5)+1/--('[1]U$S'!$H$5:$H$1008=$L$5),ROWS($D$7:D60)),1))</f>
        <v>45783</v>
      </c>
      <c r="E60" s="22" cm="1">
        <f t="array" ref="E60">IF(ROWS($E$7:E60)&gt;COUNTIF('[1]U$S'!$H$5:$H$1008,$L$5),"",INDEX(CuentaUS,_xlfn.AGGREGATE(15,6,ROW('[1]U$S'!$H$5:$H$1008)-ROW('[1]U$S'!$O$5)+1/--('[1]U$S'!$H$5:$H$1008=$L$5),ROWS($E$7:E60)),6))</f>
        <v>2409.63</v>
      </c>
      <c r="F60" s="22">
        <f>IF(E60="","",IF(E60&gt;0,SUMIFS('[1]UY$'!$L$5:$L$993,'[1]UY$'!$O$5:$O$993,"Cambio",'[1]UY$'!$E$5:$E$993,'Efecto TC'!D60),""))</f>
        <v>100000</v>
      </c>
      <c r="G60" s="23">
        <f t="shared" si="7"/>
        <v>41.500147325523002</v>
      </c>
      <c r="H60" s="22">
        <f t="shared" si="11"/>
        <v>-28.677619047619373</v>
      </c>
      <c r="I60" s="22">
        <f t="shared" si="8"/>
        <v>3586.7080952380529</v>
      </c>
      <c r="R60" s="24">
        <f t="shared" si="3"/>
        <v>2.8313851270276745E-4</v>
      </c>
      <c r="S60" s="25">
        <f t="shared" si="4"/>
        <v>1.1750289990694315E-2</v>
      </c>
    </row>
    <row r="61" spans="1:19" x14ac:dyDescent="0.25">
      <c r="A61">
        <f t="shared" si="1"/>
        <v>5</v>
      </c>
      <c r="B61">
        <f t="shared" si="2"/>
        <v>2025</v>
      </c>
      <c r="D61" s="21" cm="1">
        <f t="array" ref="D61">IF(ROWS($D$7:D61)&gt;COUNTIF('[1]U$S'!$H$5:$H$1008,$L$5),"",INDEX(CuentaUS,_xlfn.AGGREGATE(15,6,ROW('[1]U$S'!$H$5:$H$1008)-ROW('[1]U$S'!$O$5)+1/--('[1]U$S'!$H$5:$H$1008=$L$5),ROWS($D$7:D61)),1))</f>
        <v>45784</v>
      </c>
      <c r="E61" s="22" cm="1">
        <f t="array" ref="E61">IF(ROWS($E$7:E61)&gt;COUNTIF('[1]U$S'!$H$5:$H$1008,$L$5),"",INDEX(CuentaUS,_xlfn.AGGREGATE(15,6,ROW('[1]U$S'!$H$5:$H$1008)-ROW('[1]U$S'!$O$5)+1/--('[1]U$S'!$H$5:$H$1008=$L$5),ROWS($E$7:E61)),6))</f>
        <v>2442</v>
      </c>
      <c r="F61" s="22">
        <f>IF(E61="","",IF(E61&gt;0,SUMIFS('[1]UY$'!$L$5:$L$993,'[1]UY$'!$O$5:$O$993,"Cambio",'[1]UY$'!$E$5:$E$993,'Efecto TC'!D61),""))</f>
        <v>100000</v>
      </c>
      <c r="G61" s="23">
        <f t="shared" si="7"/>
        <v>40.95004095004095</v>
      </c>
      <c r="H61" s="22">
        <f t="shared" si="11"/>
        <v>-61.047619047619264</v>
      </c>
      <c r="I61" s="22">
        <f t="shared" si="8"/>
        <v>3525.6604761904337</v>
      </c>
      <c r="R61" s="24">
        <f t="shared" si="3"/>
        <v>2.8694208157275522E-4</v>
      </c>
      <c r="S61" s="25">
        <f t="shared" si="4"/>
        <v>1.1750289990694317E-2</v>
      </c>
    </row>
    <row r="62" spans="1:19" x14ac:dyDescent="0.25">
      <c r="A62">
        <f t="shared" si="1"/>
        <v>5</v>
      </c>
      <c r="B62">
        <f t="shared" si="2"/>
        <v>2025</v>
      </c>
      <c r="D62" s="21" cm="1">
        <f t="array" ref="D62">IF(ROWS($D$7:D62)&gt;COUNTIF('[1]U$S'!$H$5:$H$1008,$L$5),"",INDEX(CuentaUS,_xlfn.AGGREGATE(15,6,ROW('[1]U$S'!$H$5:$H$1008)-ROW('[1]U$S'!$O$5)+1/--('[1]U$S'!$H$5:$H$1008=$L$5),ROWS($D$7:D62)),1))</f>
        <v>45793</v>
      </c>
      <c r="E62" s="22" cm="1">
        <f t="array" ref="E62">IF(ROWS($E$7:E62)&gt;COUNTIF('[1]U$S'!$H$5:$H$1008,$L$5),"",INDEX(CuentaUS,_xlfn.AGGREGATE(15,6,ROW('[1]U$S'!$H$5:$H$1008)-ROW('[1]U$S'!$O$5)+1/--('[1]U$S'!$H$5:$H$1008=$L$5),ROWS($E$7:E62)),6))</f>
        <v>26347.31</v>
      </c>
      <c r="F62" s="22">
        <f>IF(E62="","",IF(E62&gt;0,SUMIFS('[1]UY$'!$L$5:$L$993,'[1]UY$'!$O$5:$O$993,"Cambio",'[1]UY$'!$E$5:$E$993,'Efecto TC'!D62),""))</f>
        <v>1100000</v>
      </c>
      <c r="G62" s="23">
        <f t="shared" si="7"/>
        <v>41.749992693751274</v>
      </c>
      <c r="H62" s="22">
        <f t="shared" si="11"/>
        <v>-156.83380952381049</v>
      </c>
      <c r="I62" s="22">
        <f t="shared" si="8"/>
        <v>3368.8266666666232</v>
      </c>
      <c r="R62" s="24">
        <f t="shared" si="3"/>
        <v>3.0958853297472027E-3</v>
      </c>
      <c r="S62" s="25">
        <f t="shared" si="4"/>
        <v>0.12925318989763745</v>
      </c>
    </row>
    <row r="63" spans="1:19" x14ac:dyDescent="0.25">
      <c r="A63">
        <f t="shared" si="1"/>
        <v>5</v>
      </c>
      <c r="B63">
        <f t="shared" si="2"/>
        <v>2025</v>
      </c>
      <c r="D63" s="21" cm="1">
        <f t="array" ref="D63">IF(ROWS($D$7:D63)&gt;COUNTIF('[1]U$S'!$H$5:$H$1008,$L$5),"",INDEX(CuentaUS,_xlfn.AGGREGATE(15,6,ROW('[1]U$S'!$H$5:$H$1008)-ROW('[1]U$S'!$O$5)+1/--('[1]U$S'!$H$5:$H$1008=$L$5),ROWS($D$7:D63)),1))</f>
        <v>45796</v>
      </c>
      <c r="E63" s="22" cm="1">
        <f t="array" ref="E63">IF(ROWS($E$7:E63)&gt;COUNTIF('[1]U$S'!$H$5:$H$1008,$L$5),"",INDEX(CuentaUS,_xlfn.AGGREGATE(15,6,ROW('[1]U$S'!$H$5:$H$1008)-ROW('[1]U$S'!$O$5)+1/--('[1]U$S'!$H$5:$H$1008=$L$5),ROWS($E$7:E63)),6))</f>
        <v>174488.57</v>
      </c>
      <c r="F63" s="22">
        <f>IF(E63="","",IF(E63&gt;0,SUMIFS('[1]UY$'!$L$5:$L$993,'[1]UY$'!$O$5:$O$993,"Cambio",'[1]UY$'!$E$5:$E$993,'Efecto TC'!D63),""))</f>
        <v>7250000</v>
      </c>
      <c r="G63" s="23">
        <f t="shared" si="7"/>
        <v>41.549999521458624</v>
      </c>
      <c r="H63" s="22">
        <f t="shared" si="11"/>
        <v>-1869.5223809523741</v>
      </c>
      <c r="I63" s="22">
        <f t="shared" si="8"/>
        <v>1499.3042857142491</v>
      </c>
      <c r="R63" s="24">
        <f t="shared" si="3"/>
        <v>2.0502912975615645E-2</v>
      </c>
      <c r="S63" s="25">
        <f t="shared" si="4"/>
        <v>0.85189602432533784</v>
      </c>
    </row>
    <row r="64" spans="1:19" x14ac:dyDescent="0.25">
      <c r="A64">
        <f t="shared" si="1"/>
        <v>5</v>
      </c>
      <c r="B64">
        <f t="shared" si="2"/>
        <v>2025</v>
      </c>
      <c r="D64" s="21" cm="1">
        <f t="array" ref="D64">IF(ROWS($D$7:D64)&gt;COUNTIF('[1]U$S'!$H$5:$H$1008,$L$5),"",INDEX(CuentaUS,_xlfn.AGGREGATE(15,6,ROW('[1]U$S'!$H$5:$H$1008)-ROW('[1]U$S'!$O$5)+1/--('[1]U$S'!$H$5:$H$1008=$L$5),ROWS($D$7:D64)),1))</f>
        <v>45799</v>
      </c>
      <c r="E64" s="22" cm="1">
        <f t="array" ref="E64">IF(ROWS($E$7:E64)&gt;COUNTIF('[1]U$S'!$H$5:$H$1008,$L$5),"",INDEX(CuentaUS,_xlfn.AGGREGATE(15,6,ROW('[1]U$S'!$H$5:$H$1008)-ROW('[1]U$S'!$O$5)+1/--('[1]U$S'!$H$5:$H$1008=$L$5),ROWS($E$7:E64)),6))</f>
        <v>40289.51</v>
      </c>
      <c r="F64" s="22">
        <f>IF(E64="","",IF(E64&gt;0,SUMIFS('[1]UY$'!$L$5:$L$993,'[1]UY$'!$O$5:$O$993,"Cambio",'[1]UY$'!$E$5:$E$993,'Efecto TC'!D64),""))</f>
        <v>1670000</v>
      </c>
      <c r="G64" s="23">
        <f t="shared" si="7"/>
        <v>41.449995296542447</v>
      </c>
      <c r="H64" s="22">
        <f t="shared" si="11"/>
        <v>-527.60523809523875</v>
      </c>
      <c r="I64" s="22">
        <f t="shared" si="8"/>
        <v>971.69904761901034</v>
      </c>
      <c r="R64" s="24">
        <f t="shared" si="3"/>
        <v>4.7341342608297858E-3</v>
      </c>
      <c r="S64" s="25">
        <f t="shared" si="4"/>
        <v>0.19622984284459508</v>
      </c>
    </row>
    <row r="65" spans="1:19" x14ac:dyDescent="0.25">
      <c r="A65">
        <f t="shared" si="1"/>
        <v>5</v>
      </c>
      <c r="B65">
        <f t="shared" si="2"/>
        <v>2025</v>
      </c>
      <c r="D65" s="21" cm="1">
        <f t="array" ref="D65">IF(ROWS($D$7:D65)&gt;COUNTIF('[1]U$S'!$H$5:$H$1008,$L$5),"",INDEX(CuentaUS,_xlfn.AGGREGATE(15,6,ROW('[1]U$S'!$H$5:$H$1008)-ROW('[1]U$S'!$O$5)+1/--('[1]U$S'!$H$5:$H$1008=$L$5),ROWS($D$7:D65)),1))</f>
        <v>45804</v>
      </c>
      <c r="E65" s="22" cm="1">
        <f t="array" ref="E65">IF(ROWS($E$7:E65)&gt;COUNTIF('[1]U$S'!$H$5:$H$1008,$L$5),"",INDEX(CuentaUS,_xlfn.AGGREGATE(15,6,ROW('[1]U$S'!$H$5:$H$1008)-ROW('[1]U$S'!$O$5)+1/--('[1]U$S'!$H$5:$H$1008=$L$5),ROWS($E$7:E65)),6))</f>
        <v>216525.93</v>
      </c>
      <c r="F65" s="22">
        <f>IF(E65="","",IF(E65&gt;0,SUMIFS('[1]UY$'!$L$5:$L$993,'[1]UY$'!$O$5:$O$993,"Cambio",'[1]UY$'!$E$5:$E$993,'Efecto TC'!D65),""))</f>
        <v>8975000</v>
      </c>
      <c r="G65" s="23">
        <f t="shared" si="7"/>
        <v>41.450000930604482</v>
      </c>
      <c r="H65" s="22">
        <f t="shared" si="11"/>
        <v>-2835.4538095238095</v>
      </c>
      <c r="I65" s="22">
        <f t="shared" si="8"/>
        <v>-1863.7547619047991</v>
      </c>
      <c r="R65" s="24">
        <f t="shared" si="3"/>
        <v>2.544242468004778E-2</v>
      </c>
      <c r="S65" s="25">
        <f t="shared" si="4"/>
        <v>1.054588526664815</v>
      </c>
    </row>
    <row r="66" spans="1:19" x14ac:dyDescent="0.25">
      <c r="A66">
        <f t="shared" si="1"/>
        <v>5</v>
      </c>
      <c r="B66">
        <f t="shared" si="2"/>
        <v>2025</v>
      </c>
      <c r="D66" s="21" cm="1">
        <f t="array" ref="D66">IF(ROWS($D$7:D66)&gt;COUNTIF('[1]U$S'!$H$5:$H$1008,$L$5),"",INDEX(CuentaUS,_xlfn.AGGREGATE(15,6,ROW('[1]U$S'!$H$5:$H$1008)-ROW('[1]U$S'!$O$5)+1/--('[1]U$S'!$H$5:$H$1008=$L$5),ROWS($D$7:D66)),1))</f>
        <v>45807</v>
      </c>
      <c r="E66" s="22" cm="1">
        <f t="array" ref="E66">IF(ROWS($E$7:E66)&gt;COUNTIF('[1]U$S'!$H$5:$H$1008,$L$5),"",INDEX(CuentaUS,_xlfn.AGGREGATE(15,6,ROW('[1]U$S'!$H$5:$H$1008)-ROW('[1]U$S'!$O$5)+1/--('[1]U$S'!$H$5:$H$1008=$L$5),ROWS($E$7:E66)),6))</f>
        <v>3617.07</v>
      </c>
      <c r="F66" s="22">
        <f>IF(E66="","",IF(E66&gt;0,SUMIFS('[1]UY$'!$L$5:$L$993,'[1]UY$'!$O$5:$O$993,"Cambio",'[1]UY$'!$E$5:$E$993,'Efecto TC'!D66),""))</f>
        <v>150000</v>
      </c>
      <c r="G66" s="23">
        <f>IF(F66="","",F66/E66)</f>
        <v>41.470029609601141</v>
      </c>
      <c r="H66" s="22">
        <f>IF(E66="","",F66/$F$2-F66/G66)</f>
        <v>-45.641428571428605</v>
      </c>
      <c r="I66" s="22">
        <f t="shared" si="8"/>
        <v>-1909.3961904762277</v>
      </c>
      <c r="K66" s="45">
        <v>401356</v>
      </c>
      <c r="R66" s="24">
        <f t="shared" si="3"/>
        <v>4.2501621416640695E-4</v>
      </c>
      <c r="S66" s="25">
        <f t="shared" si="4"/>
        <v>1.7625434986041476E-2</v>
      </c>
    </row>
    <row r="67" spans="1:19" x14ac:dyDescent="0.25">
      <c r="A67">
        <f t="shared" si="1"/>
        <v>6</v>
      </c>
      <c r="B67">
        <f t="shared" si="2"/>
        <v>2025</v>
      </c>
      <c r="D67" s="21" cm="1">
        <f t="array" ref="D67">IF(ROWS($D$7:D67)&gt;COUNTIF('[1]U$S'!$H$5:$H$1008,$L$5),"",INDEX(CuentaUS,_xlfn.AGGREGATE(15,6,ROW('[1]U$S'!$H$5:$H$1008)-ROW('[1]U$S'!$O$5)+1/--('[1]U$S'!$H$5:$H$1008=$L$5),ROWS($D$7:D67)),1))</f>
        <v>45812</v>
      </c>
      <c r="E67" s="22" cm="1">
        <f t="array" ref="E67">IF(ROWS($E$7:E67)&gt;COUNTIF('[1]U$S'!$H$5:$H$1008,$L$5),"",INDEX(CuentaUS,_xlfn.AGGREGATE(15,6,ROW('[1]U$S'!$H$5:$H$1008)-ROW('[1]U$S'!$O$5)+1/--('[1]U$S'!$H$5:$H$1008=$L$5),ROWS($E$7:E67)),6))</f>
        <v>3690.03</v>
      </c>
      <c r="F67" s="22">
        <f>IF(E67="","",IF(E67&gt;0,SUMIFS('[1]UY$'!$L$5:$L$993,'[1]UY$'!$O$5:$O$993,"Cambio",'[1]UY$'!$E$5:$E$993,'Efecto TC'!D67),""))</f>
        <v>150000</v>
      </c>
      <c r="G67" s="23">
        <f t="shared" ref="G67:G130" si="14">IF(F67="","",F67/E67)</f>
        <v>40.650076015642149</v>
      </c>
      <c r="H67" s="22">
        <f t="shared" ref="H67:H126" si="15">IF(E67="","",F67/$F$2-F67/G67)</f>
        <v>-118.60142857142864</v>
      </c>
      <c r="I67" s="22">
        <f t="shared" si="8"/>
        <v>-2027.9976190476564</v>
      </c>
      <c r="K67" s="45">
        <v>16000000</v>
      </c>
      <c r="R67" s="24">
        <f t="shared" si="3"/>
        <v>4.335892257436175E-4</v>
      </c>
      <c r="S67" s="25">
        <f t="shared" si="4"/>
        <v>1.7625434986041476E-2</v>
      </c>
    </row>
    <row r="68" spans="1:19" x14ac:dyDescent="0.25">
      <c r="A68">
        <f t="shared" si="1"/>
        <v>6</v>
      </c>
      <c r="B68">
        <f t="shared" si="2"/>
        <v>2025</v>
      </c>
      <c r="D68" s="21" cm="1">
        <f t="array" ref="D68">IF(ROWS($D$7:D68)&gt;COUNTIF('[1]U$S'!$H$5:$H$1008,$L$5),"",INDEX(CuentaUS,_xlfn.AGGREGATE(15,6,ROW('[1]U$S'!$H$5:$H$1008)-ROW('[1]U$S'!$O$5)+1/--('[1]U$S'!$H$5:$H$1008=$L$5),ROWS($D$7:D68)),1))</f>
        <v>45813</v>
      </c>
      <c r="E68" s="22" cm="1">
        <f t="array" ref="E68">IF(ROWS($E$7:E68)&gt;COUNTIF('[1]U$S'!$H$5:$H$1008,$L$5),"",INDEX(CuentaUS,_xlfn.AGGREGATE(15,6,ROW('[1]U$S'!$H$5:$H$1008)-ROW('[1]U$S'!$O$5)+1/--('[1]U$S'!$H$5:$H$1008=$L$5),ROWS($E$7:E68)),6))</f>
        <v>6782.51</v>
      </c>
      <c r="F68" s="22">
        <f>IF(E68="","",IF(E68&gt;0,SUMIFS('[1]UY$'!$L$5:$L$993,'[1]UY$'!$O$5:$O$993,"Cambio",'[1]UY$'!$E$5:$E$993,'Efecto TC'!D68),""))</f>
        <v>280000</v>
      </c>
      <c r="G68" s="23">
        <f t="shared" si="14"/>
        <v>41.282651997564322</v>
      </c>
      <c r="H68" s="22">
        <f t="shared" si="15"/>
        <v>-115.84333333333325</v>
      </c>
      <c r="I68" s="22">
        <f t="shared" si="8"/>
        <v>-2143.8409523809896</v>
      </c>
      <c r="R68" s="24">
        <f t="shared" si="3"/>
        <v>7.9696459364784111E-4</v>
      </c>
      <c r="S68" s="25">
        <f t="shared" si="4"/>
        <v>3.2900811973944087E-2</v>
      </c>
    </row>
    <row r="69" spans="1:19" x14ac:dyDescent="0.25">
      <c r="A69">
        <f t="shared" si="1"/>
        <v>6</v>
      </c>
      <c r="B69">
        <f t="shared" si="2"/>
        <v>2025</v>
      </c>
      <c r="D69" s="21" cm="1">
        <f t="array" ref="D69">IF(ROWS($D$7:D69)&gt;COUNTIF('[1]U$S'!$H$5:$H$1008,$L$5),"",INDEX(CuentaUS,_xlfn.AGGREGATE(15,6,ROW('[1]U$S'!$H$5:$H$1008)-ROW('[1]U$S'!$O$5)+1/--('[1]U$S'!$H$5:$H$1008=$L$5),ROWS($D$7:D69)),1))</f>
        <v>45814</v>
      </c>
      <c r="E69" s="22" cm="1">
        <f t="array" ref="E69">IF(ROWS($E$7:E69)&gt;COUNTIF('[1]U$S'!$H$5:$H$1008,$L$5),"",INDEX(CuentaUS,_xlfn.AGGREGATE(15,6,ROW('[1]U$S'!$H$5:$H$1008)-ROW('[1]U$S'!$O$5)+1/--('[1]U$S'!$H$5:$H$1008=$L$5),ROWS($E$7:E69)),6))</f>
        <v>2908.38</v>
      </c>
      <c r="F69" s="22">
        <f>IF(E69="","",IF(E69&gt;0,SUMIFS('[1]UY$'!$L$5:$L$993,'[1]UY$'!$O$5:$O$993,"Cambio",'[1]UY$'!$E$5:$E$993,'Efecto TC'!D69),""))</f>
        <v>120000</v>
      </c>
      <c r="G69" s="23">
        <f t="shared" si="14"/>
        <v>41.260082932766693</v>
      </c>
      <c r="H69" s="22">
        <f t="shared" si="15"/>
        <v>-51.237142857142771</v>
      </c>
      <c r="I69" s="22">
        <f t="shared" si="8"/>
        <v>-2195.0780952381324</v>
      </c>
      <c r="K69">
        <f>+K67/K66</f>
        <v>39.864858130936128</v>
      </c>
      <c r="R69" s="24">
        <f t="shared" si="3"/>
        <v>3.4174308403135537E-4</v>
      </c>
      <c r="S69" s="25">
        <f t="shared" si="4"/>
        <v>1.4100347988833179E-2</v>
      </c>
    </row>
    <row r="70" spans="1:19" x14ac:dyDescent="0.25">
      <c r="A70">
        <f t="shared" si="1"/>
        <v>6</v>
      </c>
      <c r="B70">
        <f t="shared" si="2"/>
        <v>2025</v>
      </c>
      <c r="D70" s="21" cm="1">
        <f t="array" ref="D70">IF(ROWS($D$7:D70)&gt;COUNTIF('[1]U$S'!$H$5:$H$1008,$L$5),"",INDEX(CuentaUS,_xlfn.AGGREGATE(15,6,ROW('[1]U$S'!$H$5:$H$1008)-ROW('[1]U$S'!$O$5)+1/--('[1]U$S'!$H$5:$H$1008=$L$5),ROWS($D$7:D70)),1))</f>
        <v>45831</v>
      </c>
      <c r="E70" s="22" cm="1">
        <f t="array" ref="E70">IF(ROWS($E$7:E70)&gt;COUNTIF('[1]U$S'!$H$5:$H$1008,$L$5),"",INDEX(CuentaUS,_xlfn.AGGREGATE(15,6,ROW('[1]U$S'!$H$5:$H$1008)-ROW('[1]U$S'!$O$5)+1/--('[1]U$S'!$H$5:$H$1008=$L$5),ROWS($E$7:E70)),6))</f>
        <v>62189.05</v>
      </c>
      <c r="F70" s="22">
        <f>IF(E70="","",IF(E70&gt;0,SUMIFS('[1]UY$'!$L$5:$L$993,'[1]UY$'!$O$5:$O$993,"Cambio",'[1]UY$'!$E$5:$E$993,'Efecto TC'!D70),""))</f>
        <v>2500000</v>
      </c>
      <c r="G70" s="23">
        <f t="shared" si="14"/>
        <v>40.200003055200227</v>
      </c>
      <c r="H70" s="22">
        <f t="shared" si="15"/>
        <v>-2665.2404761904836</v>
      </c>
      <c r="I70" s="22">
        <f t="shared" si="8"/>
        <v>-4860.3185714286155</v>
      </c>
      <c r="R70" s="24">
        <f t="shared" si="3"/>
        <v>7.3073937174578845E-3</v>
      </c>
      <c r="S70" s="25">
        <f t="shared" si="4"/>
        <v>0.2937572497673579</v>
      </c>
    </row>
    <row r="71" spans="1:19" x14ac:dyDescent="0.25">
      <c r="A71">
        <f t="shared" ref="A71:A134" si="16">MONTH(D71)</f>
        <v>6</v>
      </c>
      <c r="B71">
        <f t="shared" ref="B71:B134" si="17">YEAR(D71)</f>
        <v>2025</v>
      </c>
      <c r="D71" s="21" cm="1">
        <f t="array" ref="D71">IF(ROWS($D$7:D71)&gt;COUNTIF('[1]U$S'!$H$5:$H$1008,$L$5),"",INDEX(CuentaUS,_xlfn.AGGREGATE(15,6,ROW('[1]U$S'!$H$5:$H$1008)-ROW('[1]U$S'!$O$5)+1/--('[1]U$S'!$H$5:$H$1008=$L$5),ROWS($D$7:D71)),1))</f>
        <v>45835</v>
      </c>
      <c r="E71" s="22" cm="1">
        <f t="array" ref="E71">IF(ROWS($E$7:E71)&gt;COUNTIF('[1]U$S'!$H$5:$H$1008,$L$5),"",INDEX(CuentaUS,_xlfn.AGGREGATE(15,6,ROW('[1]U$S'!$H$5:$H$1008)-ROW('[1]U$S'!$O$5)+1/--('[1]U$S'!$H$5:$H$1008=$L$5),ROWS($E$7:E71)),6))</f>
        <v>325786.15999999997</v>
      </c>
      <c r="F71" s="22">
        <f>IF(E71="","",IF(E71&gt;0,SUMIFS('[1]UY$'!$L$5:$L$993,'[1]UY$'!$O$5:$O$993,"Cambio",'[1]UY$'!$E$5:$E$993,'Efecto TC'!D71),""))</f>
        <v>12950000</v>
      </c>
      <c r="G71" s="23">
        <f t="shared" si="14"/>
        <v>39.750000429729738</v>
      </c>
      <c r="H71" s="22">
        <f t="shared" si="15"/>
        <v>-17452.82666666666</v>
      </c>
      <c r="I71" s="22">
        <f t="shared" si="8"/>
        <v>-22313.145238095276</v>
      </c>
      <c r="K71" s="45">
        <v>466120</v>
      </c>
      <c r="R71" s="24">
        <f t="shared" ref="R71:R134" si="18">E71/$E$1001</f>
        <v>3.8280818549547367E-2</v>
      </c>
      <c r="S71" s="25">
        <f t="shared" ref="S71:S134" si="19">R71*G71</f>
        <v>1.521662553794914</v>
      </c>
    </row>
    <row r="72" spans="1:19" x14ac:dyDescent="0.25">
      <c r="A72">
        <f t="shared" si="16"/>
        <v>7</v>
      </c>
      <c r="B72">
        <f t="shared" si="17"/>
        <v>2025</v>
      </c>
      <c r="D72" s="21" cm="1">
        <f t="array" ref="D72">IF(ROWS($D$7:D72)&gt;COUNTIF('[1]U$S'!$H$5:$H$1008,$L$5),"",INDEX(CuentaUS,_xlfn.AGGREGATE(15,6,ROW('[1]U$S'!$H$5:$H$1008)-ROW('[1]U$S'!$O$5)+1/--('[1]U$S'!$H$5:$H$1008=$L$5),ROWS($D$7:D72)),1))</f>
        <v>45845</v>
      </c>
      <c r="E72" s="22" cm="1">
        <f t="array" ref="E72">IF(ROWS($E$7:E72)&gt;COUNTIF('[1]U$S'!$H$5:$H$1008,$L$5),"",INDEX(CuentaUS,_xlfn.AGGREGATE(15,6,ROW('[1]U$S'!$H$5:$H$1008)-ROW('[1]U$S'!$O$5)+1/--('[1]U$S'!$H$5:$H$1008=$L$5),ROWS($E$7:E72)),6))</f>
        <v>15644.4</v>
      </c>
      <c r="F72" s="22">
        <f>IF(E72="","",IF(E72&gt;0,SUMIFS('[1]UY$'!$L$5:$L$993,'[1]UY$'!$O$5:$O$993,"Cambio",'[1]UY$'!$E$5:$E$993,'Efecto TC'!D72),""))</f>
        <v>630000</v>
      </c>
      <c r="G72" s="23">
        <f t="shared" si="14"/>
        <v>40.270000767047634</v>
      </c>
      <c r="H72" s="22">
        <f t="shared" si="15"/>
        <v>-644.39999999999964</v>
      </c>
      <c r="I72" s="22">
        <f t="shared" si="8"/>
        <v>-22957.545238095277</v>
      </c>
      <c r="K72" s="45">
        <v>19345000</v>
      </c>
      <c r="R72" s="24">
        <f t="shared" si="18"/>
        <v>1.8382623673041817E-3</v>
      </c>
      <c r="S72" s="25">
        <f t="shared" si="19"/>
        <v>7.4026826941374191E-2</v>
      </c>
    </row>
    <row r="73" spans="1:19" x14ac:dyDescent="0.25">
      <c r="A73">
        <f t="shared" si="16"/>
        <v>7</v>
      </c>
      <c r="B73">
        <f t="shared" si="17"/>
        <v>2025</v>
      </c>
      <c r="D73" s="21" cm="1">
        <f t="array" ref="D73">IF(ROWS($D$7:D73)&gt;COUNTIF('[1]U$S'!$H$5:$H$1008,$L$5),"",INDEX(CuentaUS,_xlfn.AGGREGATE(15,6,ROW('[1]U$S'!$H$5:$H$1008)-ROW('[1]U$S'!$O$5)+1/--('[1]U$S'!$H$5:$H$1008=$L$5),ROWS($D$7:D73)),1))</f>
        <v>45847</v>
      </c>
      <c r="E73" s="22" cm="1">
        <f t="array" ref="E73">IF(ROWS($E$7:E73)&gt;COUNTIF('[1]U$S'!$H$5:$H$1008,$L$5),"",INDEX(CuentaUS,_xlfn.AGGREGATE(15,6,ROW('[1]U$S'!$H$5:$H$1008)-ROW('[1]U$S'!$O$5)+1/--('[1]U$S'!$H$5:$H$1008=$L$5),ROWS($E$7:E73)),6))</f>
        <v>7080.74</v>
      </c>
      <c r="F73" s="22">
        <f>IF(E73="","",IF(E73&gt;0,SUMIFS('[1]UY$'!$L$5:$L$993,'[1]UY$'!$O$5:$O$993,"Cambio",'[1]UY$'!$E$5:$E$993,'Efecto TC'!D73),""))</f>
        <v>285000</v>
      </c>
      <c r="G73" s="23">
        <f t="shared" si="14"/>
        <v>40.250030364057999</v>
      </c>
      <c r="H73" s="22">
        <f t="shared" si="15"/>
        <v>-295.02571428571355</v>
      </c>
      <c r="I73" s="22">
        <f t="shared" si="8"/>
        <v>-23252.570952380993</v>
      </c>
      <c r="R73" s="24">
        <f t="shared" si="18"/>
        <v>8.3200748348708875E-4</v>
      </c>
      <c r="S73" s="25">
        <f t="shared" si="19"/>
        <v>3.3488326473478804E-2</v>
      </c>
    </row>
    <row r="74" spans="1:19" x14ac:dyDescent="0.25">
      <c r="A74">
        <f t="shared" si="16"/>
        <v>7</v>
      </c>
      <c r="B74">
        <f t="shared" si="17"/>
        <v>2025</v>
      </c>
      <c r="D74" s="21" cm="1">
        <f t="array" ref="D74">IF(ROWS($D$7:D74)&gt;COUNTIF('[1]U$S'!$H$5:$H$1008,$L$5),"",INDEX(CuentaUS,_xlfn.AGGREGATE(15,6,ROW('[1]U$S'!$H$5:$H$1008)-ROW('[1]U$S'!$O$5)+1/--('[1]U$S'!$H$5:$H$1008=$L$5),ROWS($D$7:D74)),1))</f>
        <v>45859</v>
      </c>
      <c r="E74" s="22" cm="1">
        <f t="array" ref="E74">IF(ROWS($E$7:E74)&gt;COUNTIF('[1]U$S'!$H$5:$H$1008,$L$5),"",INDEX(CuentaUS,_xlfn.AGGREGATE(15,6,ROW('[1]U$S'!$H$5:$H$1008)-ROW('[1]U$S'!$O$5)+1/--('[1]U$S'!$H$5:$H$1008=$L$5),ROWS($E$7:E74)),6))</f>
        <v>336579.28</v>
      </c>
      <c r="F74" s="22">
        <f>IF(E74="","",IF(E74&gt;0,SUMIFS('[1]UY$'!$L$5:$L$993,'[1]UY$'!$O$5:$O$993,"Cambio",'[1]UY$'!$E$5:$E$993,'Efecto TC'!D74),""))</f>
        <v>13480000</v>
      </c>
      <c r="G74" s="23">
        <f t="shared" si="14"/>
        <v>40.049999512744812</v>
      </c>
      <c r="H74" s="22">
        <f t="shared" si="15"/>
        <v>-15626.899047619081</v>
      </c>
      <c r="I74" s="22">
        <f t="shared" ref="I74:I137" si="20">IF(H74="","",+H74+I73)</f>
        <v>-38879.470000000074</v>
      </c>
      <c r="K74">
        <f>+K72/K71</f>
        <v>41.502188277696732</v>
      </c>
      <c r="R74" s="24">
        <f t="shared" si="18"/>
        <v>3.9549041448590998E-2</v>
      </c>
      <c r="S74" s="25">
        <f t="shared" si="19"/>
        <v>1.5839390907455939</v>
      </c>
    </row>
    <row r="75" spans="1:19" x14ac:dyDescent="0.25">
      <c r="A75">
        <f t="shared" si="16"/>
        <v>7</v>
      </c>
      <c r="B75">
        <f t="shared" si="17"/>
        <v>2025</v>
      </c>
      <c r="D75" s="21" cm="1">
        <f t="array" ref="D75">IF(ROWS($D$7:D75)&gt;COUNTIF('[1]U$S'!$H$5:$H$1008,$L$5),"",INDEX(CuentaUS,_xlfn.AGGREGATE(15,6,ROW('[1]U$S'!$H$5:$H$1008)-ROW('[1]U$S'!$O$5)+1/--('[1]U$S'!$H$5:$H$1008=$L$5),ROWS($D$7:D75)),1))</f>
        <v>45860</v>
      </c>
      <c r="E75" s="22" cm="1">
        <f t="array" ref="E75">IF(ROWS($E$7:E75)&gt;COUNTIF('[1]U$S'!$H$5:$H$1008,$L$5),"",INDEX(CuentaUS,_xlfn.AGGREGATE(15,6,ROW('[1]U$S'!$H$5:$H$1008)-ROW('[1]U$S'!$O$5)+1/--('[1]U$S'!$H$5:$H$1008=$L$5),ROWS($E$7:E75)),6))</f>
        <v>69563.03</v>
      </c>
      <c r="F75" s="22">
        <f>IF(E75="","",IF(E75&gt;0,SUMIFS('[1]UY$'!$L$5:$L$993,'[1]UY$'!$O$5:$O$993,"Cambio",'[1]UY$'!$E$5:$E$993,'Efecto TC'!D75),""))</f>
        <v>2770000</v>
      </c>
      <c r="G75" s="23">
        <f t="shared" si="14"/>
        <v>39.820002090190727</v>
      </c>
      <c r="H75" s="22">
        <f t="shared" si="15"/>
        <v>-3610.649047619052</v>
      </c>
      <c r="I75" s="22">
        <f t="shared" si="20"/>
        <v>-42490.119047619126</v>
      </c>
      <c r="R75" s="24">
        <f t="shared" si="18"/>
        <v>8.1738577513136845E-3</v>
      </c>
      <c r="S75" s="25">
        <f t="shared" si="19"/>
        <v>0.32548303274223261</v>
      </c>
    </row>
    <row r="76" spans="1:19" x14ac:dyDescent="0.25">
      <c r="A76">
        <f t="shared" si="16"/>
        <v>7</v>
      </c>
      <c r="B76">
        <f t="shared" si="17"/>
        <v>2025</v>
      </c>
      <c r="D76" s="21" cm="1">
        <f t="array" ref="D76">IF(ROWS($D$7:D76)&gt;COUNTIF('[1]U$S'!$H$5:$H$1008,$L$5),"",INDEX(CuentaUS,_xlfn.AGGREGATE(15,6,ROW('[1]U$S'!$H$5:$H$1008)-ROW('[1]U$S'!$O$5)+1/--('[1]U$S'!$H$5:$H$1008=$L$5),ROWS($D$7:D76)),1))</f>
        <v>45868</v>
      </c>
      <c r="E76" s="22" cm="1">
        <f t="array" ref="E76">IF(ROWS($E$7:E76)&gt;COUNTIF('[1]U$S'!$H$5:$H$1008,$L$5),"",INDEX(CuentaUS,_xlfn.AGGREGATE(15,6,ROW('[1]U$S'!$H$5:$H$1008)-ROW('[1]U$S'!$O$5)+1/--('[1]U$S'!$H$5:$H$1008=$L$5),ROWS($E$7:E76)),6))</f>
        <v>45386.57</v>
      </c>
      <c r="F76" s="22">
        <f>IF(E76="","",IF(E76&gt;0,SUMIFS('[1]UY$'!$L$5:$L$993,'[1]UY$'!$O$5:$O$993,"Cambio",'[1]UY$'!$E$5:$E$993,'Efecto TC'!D76),""))</f>
        <v>1815000</v>
      </c>
      <c r="G76" s="23">
        <f t="shared" si="14"/>
        <v>39.989803151020226</v>
      </c>
      <c r="H76" s="22">
        <f t="shared" si="15"/>
        <v>-2172.2842857142823</v>
      </c>
      <c r="I76" s="22">
        <f t="shared" si="20"/>
        <v>-44662.403333333408</v>
      </c>
      <c r="R76" s="24">
        <f t="shared" si="18"/>
        <v>5.333053591829469E-3</v>
      </c>
      <c r="S76" s="25">
        <f t="shared" si="19"/>
        <v>0.21326776333110184</v>
      </c>
    </row>
    <row r="77" spans="1:19" x14ac:dyDescent="0.25">
      <c r="A77">
        <f t="shared" si="16"/>
        <v>8</v>
      </c>
      <c r="B77">
        <f t="shared" si="17"/>
        <v>2025</v>
      </c>
      <c r="D77" s="21" cm="1">
        <f t="array" ref="D77">IF(ROWS($D$7:D77)&gt;COUNTIF('[1]U$S'!$H$5:$H$1008,$L$5),"",INDEX(CuentaUS,_xlfn.AGGREGATE(15,6,ROW('[1]U$S'!$H$5:$H$1008)-ROW('[1]U$S'!$O$5)+1/--('[1]U$S'!$H$5:$H$1008=$L$5),ROWS($D$7:D77)),1))</f>
        <v>45876</v>
      </c>
      <c r="E77" s="22" cm="1">
        <f t="array" ref="E77">IF(ROWS($E$7:E77)&gt;COUNTIF('[1]U$S'!$H$5:$H$1008,$L$5),"",INDEX(CuentaUS,_xlfn.AGGREGATE(15,6,ROW('[1]U$S'!$H$5:$H$1008)-ROW('[1]U$S'!$O$5)+1/--('[1]U$S'!$H$5:$H$1008=$L$5),ROWS($E$7:E77)),6))</f>
        <v>2006.01</v>
      </c>
      <c r="F77" s="22">
        <f>IF(E77="","",IF(E77&gt;0,SUMIFS('[1]UY$'!$L$5:$L$993,'[1]UY$'!$O$5:$O$993,"Cambio",'[1]UY$'!$E$5:$E$993,'Efecto TC'!D77),""))</f>
        <v>80000</v>
      </c>
      <c r="G77" s="23">
        <f t="shared" si="14"/>
        <v>39.88016011884288</v>
      </c>
      <c r="H77" s="22">
        <f t="shared" si="15"/>
        <v>-101.24809523809495</v>
      </c>
      <c r="I77" s="22">
        <f t="shared" si="20"/>
        <v>-44763.651428571502</v>
      </c>
      <c r="L77" s="45"/>
      <c r="R77" s="24">
        <f t="shared" si="18"/>
        <v>2.3571199224232706E-4</v>
      </c>
      <c r="S77" s="25">
        <f t="shared" si="19"/>
        <v>9.4002319925554547E-3</v>
      </c>
    </row>
    <row r="78" spans="1:19" x14ac:dyDescent="0.25">
      <c r="A78">
        <f t="shared" si="16"/>
        <v>8</v>
      </c>
      <c r="B78">
        <f t="shared" si="17"/>
        <v>2025</v>
      </c>
      <c r="D78" s="21" cm="1">
        <f t="array" ref="D78">IF(ROWS($D$7:D78)&gt;COUNTIF('[1]U$S'!$H$5:$H$1008,$L$5),"",INDEX(CuentaUS,_xlfn.AGGREGATE(15,6,ROW('[1]U$S'!$H$5:$H$1008)-ROW('[1]U$S'!$O$5)+1/--('[1]U$S'!$H$5:$H$1008=$L$5),ROWS($D$7:D78)),1))</f>
        <v>45890</v>
      </c>
      <c r="E78" s="22" cm="1">
        <f t="array" ref="E78">IF(ROWS($E$7:E78)&gt;COUNTIF('[1]U$S'!$H$5:$H$1008,$L$5),"",INDEX(CuentaUS,_xlfn.AGGREGATE(15,6,ROW('[1]U$S'!$H$5:$H$1008)-ROW('[1]U$S'!$O$5)+1/--('[1]U$S'!$H$5:$H$1008=$L$5),ROWS($E$7:E78)),6))</f>
        <v>69709.119999999995</v>
      </c>
      <c r="F78" s="22">
        <f>IF(E78="","",IF(E78&gt;0,SUMIFS('[1]UY$'!$L$5:$L$993,'[1]UY$'!$O$5:$O$993,"Cambio",'[1]UY$'!$E$5:$E$993,'Efecto TC'!D78),""))</f>
        <v>2780000</v>
      </c>
      <c r="G78" s="23">
        <f t="shared" si="14"/>
        <v>39.880004223263761</v>
      </c>
      <c r="H78" s="22">
        <f t="shared" si="15"/>
        <v>-3518.6438095238118</v>
      </c>
      <c r="I78" s="22">
        <f t="shared" si="20"/>
        <v>-48282.295238095314</v>
      </c>
      <c r="R78" s="24">
        <f t="shared" si="18"/>
        <v>8.1910237499610884E-3</v>
      </c>
      <c r="S78" s="25">
        <f t="shared" si="19"/>
        <v>0.32665806174130196</v>
      </c>
    </row>
    <row r="79" spans="1:19" x14ac:dyDescent="0.25">
      <c r="A79">
        <f t="shared" si="16"/>
        <v>8</v>
      </c>
      <c r="B79">
        <f t="shared" si="17"/>
        <v>2025</v>
      </c>
      <c r="D79" s="21" cm="1">
        <f t="array" ref="D79">IF(ROWS($D$7:D79)&gt;COUNTIF('[1]U$S'!$H$5:$H$1008,$L$5),"",INDEX(CuentaUS,_xlfn.AGGREGATE(15,6,ROW('[1]U$S'!$H$5:$H$1008)-ROW('[1]U$S'!$O$5)+1/--('[1]U$S'!$H$5:$H$1008=$L$5),ROWS($D$7:D79)),1))</f>
        <v>45891</v>
      </c>
      <c r="E79" s="22" cm="1">
        <f t="array" ref="E79">IF(ROWS($E$7:E79)&gt;COUNTIF('[1]U$S'!$H$5:$H$1008,$L$5),"",INDEX(CuentaUS,_xlfn.AGGREGATE(15,6,ROW('[1]U$S'!$H$5:$H$1008)-ROW('[1]U$S'!$O$5)+1/--('[1]U$S'!$H$5:$H$1008=$L$5),ROWS($E$7:E79)),6))</f>
        <v>5403.36</v>
      </c>
      <c r="F79" s="22">
        <f>IF(E79="","",IF(E79&gt;0,SUMIFS('[1]UY$'!$L$5:$L$993,'[1]UY$'!$O$5:$O$993,"Cambio",'[1]UY$'!$E$5:$E$993,'Efecto TC'!D79),""))</f>
        <v>215000</v>
      </c>
      <c r="G79" s="23">
        <f t="shared" si="14"/>
        <v>39.790056557401321</v>
      </c>
      <c r="H79" s="22">
        <f t="shared" si="15"/>
        <v>-284.31238095238041</v>
      </c>
      <c r="I79" s="22">
        <f t="shared" si="20"/>
        <v>-48566.607619047696</v>
      </c>
      <c r="L79" s="45">
        <v>443928</v>
      </c>
      <c r="R79" s="24">
        <f t="shared" si="18"/>
        <v>6.3491046924118034E-4</v>
      </c>
      <c r="S79" s="25">
        <f t="shared" si="19"/>
        <v>2.5263123479992777E-2</v>
      </c>
    </row>
    <row r="80" spans="1:19" x14ac:dyDescent="0.25">
      <c r="A80">
        <f t="shared" si="16"/>
        <v>8</v>
      </c>
      <c r="B80">
        <f t="shared" si="17"/>
        <v>2025</v>
      </c>
      <c r="D80" s="21" cm="1">
        <f t="array" ref="D80">IF(ROWS($D$7:D80)&gt;COUNTIF('[1]U$S'!$H$5:$H$1008,$L$5),"",INDEX(CuentaUS,_xlfn.AGGREGATE(15,6,ROW('[1]U$S'!$H$5:$H$1008)-ROW('[1]U$S'!$O$5)+1/--('[1]U$S'!$H$5:$H$1008=$L$5),ROWS($D$7:D80)),1))</f>
        <v>45896</v>
      </c>
      <c r="E80" s="22" cm="1">
        <f t="array" ref="E80">IF(ROWS($E$7:E80)&gt;COUNTIF('[1]U$S'!$H$5:$H$1008,$L$5),"",INDEX(CuentaUS,_xlfn.AGGREGATE(15,6,ROW('[1]U$S'!$H$5:$H$1008)-ROW('[1]U$S'!$O$5)+1/--('[1]U$S'!$H$5:$H$1008=$L$5),ROWS($E$7:E80)),6))</f>
        <v>351337.74000000005</v>
      </c>
      <c r="F80" s="22">
        <f>IF(E80="","",IF(E80&gt;0,SUMIFS('[1]UY$'!$L$5:$L$993,'[1]UY$'!$O$5:$O$993,"Cambio",'[1]UY$'!$E$5:$E$993,'Efecto TC'!D80),""))</f>
        <v>14025000</v>
      </c>
      <c r="G80" s="23">
        <f t="shared" si="14"/>
        <v>39.918854148717408</v>
      </c>
      <c r="H80" s="22">
        <f t="shared" si="15"/>
        <v>-17409.168571428629</v>
      </c>
      <c r="I80" s="22">
        <f t="shared" si="20"/>
        <v>-65975.776190476317</v>
      </c>
      <c r="L80" s="45"/>
      <c r="R80" s="24">
        <f t="shared" si="18"/>
        <v>4.1283203296751628E-2</v>
      </c>
      <c r="S80" s="25">
        <f t="shared" si="19"/>
        <v>1.6479781711948778</v>
      </c>
    </row>
    <row r="81" spans="1:19" x14ac:dyDescent="0.25">
      <c r="A81">
        <f t="shared" si="16"/>
        <v>8</v>
      </c>
      <c r="B81">
        <f t="shared" si="17"/>
        <v>2025</v>
      </c>
      <c r="D81" s="21" cm="1">
        <f t="array" ref="D81">IF(ROWS($D$7:D81)&gt;COUNTIF('[1]U$S'!$H$5:$H$1008,$L$5),"",INDEX(CuentaUS,_xlfn.AGGREGATE(15,6,ROW('[1]U$S'!$H$5:$H$1008)-ROW('[1]U$S'!$O$5)+1/--('[1]U$S'!$H$5:$H$1008=$L$5),ROWS($D$7:D81)),1))</f>
        <v>45898</v>
      </c>
      <c r="E81" s="22" cm="1">
        <f t="array" ref="E81">IF(ROWS($E$7:E81)&gt;COUNTIF('[1]U$S'!$H$5:$H$1008,$L$5),"",INDEX(CuentaUS,_xlfn.AGGREGATE(15,6,ROW('[1]U$S'!$H$5:$H$1008)-ROW('[1]U$S'!$O$5)+1/--('[1]U$S'!$H$5:$H$1008=$L$5),ROWS($E$7:E81)),6))</f>
        <v>15471.69</v>
      </c>
      <c r="F81" s="22">
        <f>IF(E81="","",IF(E81&gt;0,SUMIFS('[1]UY$'!$L$5:$L$993,'[1]UY$'!$O$5:$O$993,"Cambio",'[1]UY$'!$E$5:$E$993,'Efecto TC'!D81),""))</f>
        <v>615000</v>
      </c>
      <c r="G81" s="23">
        <f t="shared" si="14"/>
        <v>39.750020844523128</v>
      </c>
      <c r="H81" s="22">
        <f t="shared" si="15"/>
        <v>-828.83285714285557</v>
      </c>
      <c r="I81" s="22">
        <f t="shared" si="20"/>
        <v>-66804.609047619175</v>
      </c>
      <c r="L81" s="45">
        <v>17715000</v>
      </c>
      <c r="R81" s="24">
        <f t="shared" si="18"/>
        <v>1.8179684414612535E-3</v>
      </c>
      <c r="S81" s="25">
        <f t="shared" si="19"/>
        <v>7.2264283442770055E-2</v>
      </c>
    </row>
    <row r="82" spans="1:19" x14ac:dyDescent="0.25">
      <c r="A82">
        <f t="shared" si="16"/>
        <v>9</v>
      </c>
      <c r="B82">
        <f t="shared" si="17"/>
        <v>2025</v>
      </c>
      <c r="D82" s="21" cm="1">
        <f t="array" ref="D82">IF(ROWS($D$7:D82)&gt;COUNTIF('[1]U$S'!$H$5:$H$1008,$L$5),"",INDEX(CuentaUS,_xlfn.AGGREGATE(15,6,ROW('[1]U$S'!$H$5:$H$1008)-ROW('[1]U$S'!$O$5)+1/--('[1]U$S'!$H$5:$H$1008=$L$5),ROWS($D$7:D82)),1))</f>
        <v>45919</v>
      </c>
      <c r="E82" s="22" cm="1">
        <f t="array" ref="E82">IF(ROWS($E$7:E82)&gt;COUNTIF('[1]U$S'!$H$5:$H$1008,$L$5),"",INDEX(CuentaUS,_xlfn.AGGREGATE(15,6,ROW('[1]U$S'!$H$5:$H$1008)-ROW('[1]U$S'!$O$5)+1/--('[1]U$S'!$H$5:$H$1008=$L$5),ROWS($E$7:E82)),6))</f>
        <v>595921.44999999995</v>
      </c>
      <c r="F82" s="22">
        <f>IF(E82="","",IF(E82&gt;0,SUMIFS('[1]UY$'!$L$5:$L$993,'[1]UY$'!$O$5:$O$993,"Cambio",'[1]UY$'!$E$5:$E$993,'Efecto TC'!D82),""))</f>
        <v>23670000</v>
      </c>
      <c r="G82" s="23">
        <f t="shared" si="14"/>
        <v>39.720000010068446</v>
      </c>
      <c r="H82" s="22">
        <f t="shared" si="15"/>
        <v>-32350.021428571432</v>
      </c>
      <c r="I82" s="22">
        <f t="shared" si="20"/>
        <v>-99154.630476190607</v>
      </c>
      <c r="R82" s="24">
        <f t="shared" si="18"/>
        <v>7.0022498491750435E-2</v>
      </c>
      <c r="S82" s="25">
        <f t="shared" si="19"/>
        <v>2.7812936407973452</v>
      </c>
    </row>
    <row r="83" spans="1:19" x14ac:dyDescent="0.25">
      <c r="A83">
        <f t="shared" si="16"/>
        <v>9</v>
      </c>
      <c r="B83">
        <f t="shared" si="17"/>
        <v>2025</v>
      </c>
      <c r="D83" s="21" cm="1">
        <f t="array" ref="D83">IF(ROWS($D$7:D83)&gt;COUNTIF('[1]U$S'!$H$5:$H$1008,$L$5),"",INDEX(CuentaUS,_xlfn.AGGREGATE(15,6,ROW('[1]U$S'!$H$5:$H$1008)-ROW('[1]U$S'!$O$5)+1/--('[1]U$S'!$H$5:$H$1008=$L$5),ROWS($D$7:D83)),1))</f>
        <v>45929</v>
      </c>
      <c r="E83" s="22" cm="1">
        <f t="array" ref="E83">IF(ROWS($E$7:E83)&gt;COUNTIF('[1]U$S'!$H$5:$H$1008,$L$5),"",INDEX(CuentaUS,_xlfn.AGGREGATE(15,6,ROW('[1]U$S'!$H$5:$H$1008)-ROW('[1]U$S'!$O$5)+1/--('[1]U$S'!$H$5:$H$1008=$L$5),ROWS($E$7:E83)),6))</f>
        <v>1889.16</v>
      </c>
      <c r="F83" s="22">
        <f>IF(E83="","",IF(E83&gt;0,SUMIFS('[1]UY$'!$L$5:$L$993,'[1]UY$'!$O$5:$O$993,"Cambio",'[1]UY$'!$E$5:$E$993,'Efecto TC'!D83),""))</f>
        <v>75000</v>
      </c>
      <c r="G83" s="23">
        <f t="shared" si="14"/>
        <v>39.700184208854729</v>
      </c>
      <c r="H83" s="22">
        <f t="shared" si="15"/>
        <v>-103.4457142857143</v>
      </c>
      <c r="I83" s="22">
        <f t="shared" si="20"/>
        <v>-99258.07619047632</v>
      </c>
      <c r="L83" s="45">
        <f>+L81/L79</f>
        <v>39.905119749148511</v>
      </c>
      <c r="R83" s="24">
        <f t="shared" si="18"/>
        <v>2.2198177838820077E-4</v>
      </c>
      <c r="S83" s="25">
        <f t="shared" si="19"/>
        <v>8.8127174930207382E-3</v>
      </c>
    </row>
    <row r="84" spans="1:19" x14ac:dyDescent="0.25">
      <c r="A84">
        <f t="shared" si="16"/>
        <v>10</v>
      </c>
      <c r="B84">
        <f t="shared" si="17"/>
        <v>2025</v>
      </c>
      <c r="D84" s="21" cm="1">
        <f t="array" ref="D84">IF(ROWS($D$7:D84)&gt;COUNTIF('[1]U$S'!$H$5:$H$1008,$L$5),"",INDEX(CuentaUS,_xlfn.AGGREGATE(15,6,ROW('[1]U$S'!$H$5:$H$1008)-ROW('[1]U$S'!$O$5)+1/--('[1]U$S'!$H$5:$H$1008=$L$5),ROWS($D$7:D84)),1))</f>
        <v>45932</v>
      </c>
      <c r="E84" s="22" cm="1">
        <f t="array" ref="E84">IF(ROWS($E$7:E84)&gt;COUNTIF('[1]U$S'!$H$5:$H$1008,$L$5),"",INDEX(CuentaUS,_xlfn.AGGREGATE(15,6,ROW('[1]U$S'!$H$5:$H$1008)-ROW('[1]U$S'!$O$5)+1/--('[1]U$S'!$H$5:$H$1008=$L$5),ROWS($E$7:E84)),6))</f>
        <v>4530.58</v>
      </c>
      <c r="F84" s="22">
        <f>IF(E84="","",IF(E84&gt;0,SUMIFS('[1]UY$'!$L$5:$L$993,'[1]UY$'!$O$5:$O$993,"Cambio",'[1]UY$'!$E$5:$E$993,'Efecto TC'!D84),""))</f>
        <v>180000</v>
      </c>
      <c r="G84" s="23">
        <f t="shared" si="14"/>
        <v>39.730012492881706</v>
      </c>
      <c r="H84" s="22">
        <f t="shared" si="15"/>
        <v>-244.8657142857146</v>
      </c>
      <c r="I84" s="22">
        <f t="shared" si="20"/>
        <v>-99502.941904762032</v>
      </c>
      <c r="R84" s="24">
        <f t="shared" si="18"/>
        <v>5.3235628826039851E-4</v>
      </c>
      <c r="S84" s="25">
        <f t="shared" si="19"/>
        <v>2.1150521983249768E-2</v>
      </c>
    </row>
    <row r="85" spans="1:19" x14ac:dyDescent="0.25">
      <c r="A85">
        <f t="shared" si="16"/>
        <v>10</v>
      </c>
      <c r="B85">
        <f t="shared" si="17"/>
        <v>2025</v>
      </c>
      <c r="D85" s="21" cm="1">
        <f t="array" ref="D85">IF(ROWS($D$7:D85)&gt;COUNTIF('[1]U$S'!$H$5:$H$1008,$L$5),"",INDEX(CuentaUS,_xlfn.AGGREGATE(15,6,ROW('[1]U$S'!$H$5:$H$1008)-ROW('[1]U$S'!$O$5)+1/--('[1]U$S'!$H$5:$H$1008=$L$5),ROWS($D$7:D85)),1))</f>
        <v>45936</v>
      </c>
      <c r="E85" s="22" cm="1">
        <f t="array" ref="E85">IF(ROWS($E$7:E85)&gt;COUNTIF('[1]U$S'!$H$5:$H$1008,$L$5),"",INDEX(CuentaUS,_xlfn.AGGREGATE(15,6,ROW('[1]U$S'!$H$5:$H$1008)-ROW('[1]U$S'!$O$5)+1/--('[1]U$S'!$H$5:$H$1008=$L$5),ROWS($E$7:E85)),6))</f>
        <v>15601.4</v>
      </c>
      <c r="F85" s="22">
        <f>IF(E85="","",IF(E85&gt;0,SUMIFS('[1]UY$'!$L$5:$L$993,'[1]UY$'!$O$5:$O$993,"Cambio",'[1]UY$'!$E$5:$E$993,'Efecto TC'!D85),""))</f>
        <v>620000</v>
      </c>
      <c r="G85" s="23">
        <f t="shared" si="14"/>
        <v>39.740023331239506</v>
      </c>
      <c r="H85" s="22">
        <f t="shared" si="15"/>
        <v>-839.49523809523816</v>
      </c>
      <c r="I85" s="22">
        <f t="shared" si="20"/>
        <v>-100342.43714285726</v>
      </c>
      <c r="R85" s="24">
        <f t="shared" si="18"/>
        <v>1.833209742608183E-3</v>
      </c>
      <c r="S85" s="25">
        <f t="shared" si="19"/>
        <v>7.2851797942304758E-2</v>
      </c>
    </row>
    <row r="86" spans="1:19" x14ac:dyDescent="0.25">
      <c r="A86">
        <f t="shared" si="16"/>
        <v>10</v>
      </c>
      <c r="B86">
        <f t="shared" si="17"/>
        <v>2025</v>
      </c>
      <c r="D86" s="21" cm="1">
        <f t="array" ref="D86">IF(ROWS($D$7:D86)&gt;COUNTIF('[1]U$S'!$H$5:$H$1008,$L$5),"",INDEX(CuentaUS,_xlfn.AGGREGATE(15,6,ROW('[1]U$S'!$H$5:$H$1008)-ROW('[1]U$S'!$O$5)+1/--('[1]U$S'!$H$5:$H$1008=$L$5),ROWS($D$7:D86)),1))</f>
        <v>45951</v>
      </c>
      <c r="E86" s="22" cm="1">
        <f t="array" ref="E86">IF(ROWS($E$7:E86)&gt;COUNTIF('[1]U$S'!$H$5:$H$1008,$L$5),"",INDEX(CuentaUS,_xlfn.AGGREGATE(15,6,ROW('[1]U$S'!$H$5:$H$1008)-ROW('[1]U$S'!$O$5)+1/--('[1]U$S'!$H$5:$H$1008=$L$5),ROWS($E$7:E86)),6))</f>
        <v>120186.26</v>
      </c>
      <c r="F86" s="22">
        <f>IF(E86="","",IF(E86&gt;0,SUMIFS('[1]UY$'!$L$5:$L$993,'[1]UY$'!$O$5:$O$993,"Cambio",'[1]UY$'!$E$5:$E$993,'Efecto TC'!D86),""))</f>
        <v>4775000</v>
      </c>
      <c r="G86" s="23">
        <f t="shared" si="14"/>
        <v>39.729999086418033</v>
      </c>
      <c r="H86" s="22">
        <f t="shared" si="15"/>
        <v>-6495.7838095238112</v>
      </c>
      <c r="I86" s="22">
        <f t="shared" si="20"/>
        <v>-106838.22095238107</v>
      </c>
      <c r="K86" s="45">
        <v>597811</v>
      </c>
      <c r="R86" s="24">
        <f t="shared" si="18"/>
        <v>1.4122234078969845E-2</v>
      </c>
      <c r="S86" s="25">
        <f t="shared" si="19"/>
        <v>0.56107634705565357</v>
      </c>
    </row>
    <row r="87" spans="1:19" x14ac:dyDescent="0.25">
      <c r="A87">
        <f t="shared" si="16"/>
        <v>10</v>
      </c>
      <c r="B87">
        <f t="shared" si="17"/>
        <v>2025</v>
      </c>
      <c r="D87" s="21" cm="1">
        <f t="array" ref="D87">IF(ROWS($D$7:D87)&gt;COUNTIF('[1]U$S'!$H$5:$H$1008,$L$5),"",INDEX(CuentaUS,_xlfn.AGGREGATE(15,6,ROW('[1]U$S'!$H$5:$H$1008)-ROW('[1]U$S'!$O$5)+1/--('[1]U$S'!$H$5:$H$1008=$L$5),ROWS($D$7:D87)),1))</f>
        <v>45952</v>
      </c>
      <c r="E87" s="22" cm="1">
        <f t="array" ref="E87">IF(ROWS($E$7:E87)&gt;COUNTIF('[1]U$S'!$H$5:$H$1008,$L$5),"",INDEX(CuentaUS,_xlfn.AGGREGATE(15,6,ROW('[1]U$S'!$H$5:$H$1008)-ROW('[1]U$S'!$O$5)+1/--('[1]U$S'!$H$5:$H$1008=$L$5),ROWS($E$7:E87)),6))</f>
        <v>475753.77</v>
      </c>
      <c r="F87" s="22">
        <f>IF(E87="","",IF(E87&gt;0,SUMIFS('[1]UY$'!$L$5:$L$993,'[1]UY$'!$O$5:$O$993,"Cambio",'[1]UY$'!$E$5:$E$993,'Efecto TC'!D87),""))</f>
        <v>18935000</v>
      </c>
      <c r="G87" s="23">
        <f t="shared" si="14"/>
        <v>39.799999903311324</v>
      </c>
      <c r="H87" s="22">
        <f t="shared" si="15"/>
        <v>-24920.436666666763</v>
      </c>
      <c r="I87" s="22">
        <f t="shared" si="20"/>
        <v>-131758.65761904785</v>
      </c>
      <c r="K87" s="45">
        <v>23745000</v>
      </c>
      <c r="R87" s="24">
        <f t="shared" si="18"/>
        <v>5.5902447616660862E-2</v>
      </c>
      <c r="S87" s="25">
        <f t="shared" si="19"/>
        <v>2.2249174097379685</v>
      </c>
    </row>
    <row r="88" spans="1:19" x14ac:dyDescent="0.25">
      <c r="A88">
        <f t="shared" si="16"/>
        <v>10</v>
      </c>
      <c r="B88">
        <f t="shared" si="17"/>
        <v>2025</v>
      </c>
      <c r="D88" s="21" cm="1">
        <f t="array" ref="D88">IF(ROWS($D$7:D88)&gt;COUNTIF('[1]U$S'!$H$5:$H$1008,$L$5),"",INDEX(CuentaUS,_xlfn.AGGREGATE(15,6,ROW('[1]U$S'!$H$5:$H$1008)-ROW('[1]U$S'!$O$5)+1/--('[1]U$S'!$H$5:$H$1008=$L$5),ROWS($D$7:D88)),1))</f>
        <v>45953</v>
      </c>
      <c r="E88" s="22" cm="1">
        <f t="array" ref="E88">IF(ROWS($E$7:E88)&gt;COUNTIF('[1]U$S'!$H$5:$H$1008,$L$5),"",INDEX(CuentaUS,_xlfn.AGGREGATE(15,6,ROW('[1]U$S'!$H$5:$H$1008)-ROW('[1]U$S'!$O$5)+1/--('[1]U$S'!$H$5:$H$1008=$L$5),ROWS($E$7:E88)),6))</f>
        <v>2022.24</v>
      </c>
      <c r="F88" s="22">
        <f>IF(E88="","",IF(E88&gt;0,SUMIFS('[1]UY$'!$L$5:$L$993,'[1]UY$'!$O$5:$O$993,"Cambio",'[1]UY$'!$E$5:$E$993,'Efecto TC'!D88),""))</f>
        <v>80000</v>
      </c>
      <c r="G88" s="23">
        <f t="shared" si="14"/>
        <v>39.560091779412929</v>
      </c>
      <c r="H88" s="22">
        <f t="shared" si="15"/>
        <v>-117.47809523809519</v>
      </c>
      <c r="I88" s="22">
        <f t="shared" si="20"/>
        <v>-131876.13571428595</v>
      </c>
      <c r="R88" s="24">
        <f t="shared" si="18"/>
        <v>2.3761906430781675E-4</v>
      </c>
      <c r="S88" s="25">
        <f t="shared" si="19"/>
        <v>9.400231992555453E-3</v>
      </c>
    </row>
    <row r="89" spans="1:19" x14ac:dyDescent="0.25">
      <c r="A89">
        <f t="shared" si="16"/>
        <v>10</v>
      </c>
      <c r="B89">
        <f t="shared" si="17"/>
        <v>2025</v>
      </c>
      <c r="D89" s="21" cm="1">
        <f t="array" ref="D89">IF(ROWS($D$7:D89)&gt;COUNTIF('[1]U$S'!$H$5:$H$1008,$L$5),"",INDEX(CuentaUS,_xlfn.AGGREGATE(15,6,ROW('[1]U$S'!$H$5:$H$1008)-ROW('[1]U$S'!$O$5)+1/--('[1]U$S'!$H$5:$H$1008=$L$5),ROWS($D$7:D89)),1))</f>
        <v>45960</v>
      </c>
      <c r="E89" s="22" cm="1">
        <f t="array" ref="E89">IF(ROWS($E$7:E89)&gt;COUNTIF('[1]U$S'!$H$5:$H$1008,$L$5),"",INDEX(CuentaUS,_xlfn.AGGREGATE(15,6,ROW('[1]U$S'!$H$5:$H$1008)-ROW('[1]U$S'!$O$5)+1/--('[1]U$S'!$H$5:$H$1008=$L$5),ROWS($E$7:E89)),6))</f>
        <v>4664.6400000000003</v>
      </c>
      <c r="F89" s="22">
        <f>IF(E89="","",IF(E89&gt;0,SUMIFS('[1]UY$'!$L$5:$L$993,'[1]UY$'!$O$5:$O$993,"Cambio",'[1]UY$'!$E$5:$E$993,'Efecto TC'!D89),""))</f>
        <v>185000</v>
      </c>
      <c r="G89" s="23">
        <f t="shared" si="14"/>
        <v>39.660080949440896</v>
      </c>
      <c r="H89" s="22">
        <f t="shared" si="15"/>
        <v>-259.87809523809574</v>
      </c>
      <c r="I89" s="22">
        <f t="shared" si="20"/>
        <v>-132136.01380952404</v>
      </c>
      <c r="K89">
        <f>+K87/K86</f>
        <v>39.719911477038728</v>
      </c>
      <c r="R89" s="24">
        <f t="shared" si="18"/>
        <v>5.4810872702192341E-4</v>
      </c>
      <c r="S89" s="25">
        <f t="shared" si="19"/>
        <v>2.1738036482784485E-2</v>
      </c>
    </row>
    <row r="90" spans="1:19" x14ac:dyDescent="0.25">
      <c r="A90">
        <f t="shared" si="16"/>
        <v>11</v>
      </c>
      <c r="B90">
        <f t="shared" si="17"/>
        <v>2025</v>
      </c>
      <c r="D90" s="21" cm="1">
        <f t="array" ref="D90">IF(ROWS($D$7:D90)&gt;COUNTIF('[1]U$S'!$H$5:$H$1008,$L$5),"",INDEX(CuentaUS,_xlfn.AGGREGATE(15,6,ROW('[1]U$S'!$H$5:$H$1008)-ROW('[1]U$S'!$O$5)+1/--('[1]U$S'!$H$5:$H$1008=$L$5),ROWS($D$7:D90)),1))</f>
        <v>45964</v>
      </c>
      <c r="E90" s="22" cm="1">
        <f t="array" ref="E90">IF(ROWS($E$7:E90)&gt;COUNTIF('[1]U$S'!$H$5:$H$1008,$L$5),"",INDEX(CuentaUS,_xlfn.AGGREGATE(15,6,ROW('[1]U$S'!$H$5:$H$1008)-ROW('[1]U$S'!$O$5)+1/--('[1]U$S'!$H$5:$H$1008=$L$5),ROWS($E$7:E90)),6))</f>
        <v>21349.16</v>
      </c>
      <c r="F90" s="22">
        <f>IF(E90="","",IF(E90&gt;0,SUMIFS('[1]UY$'!$L$5:$L$993,'[1]UY$'!$O$5:$O$993,"Cambio",'[1]UY$'!$E$5:$E$993,'Efecto TC'!D90),""))</f>
        <v>845000</v>
      </c>
      <c r="G90" s="23">
        <f t="shared" si="14"/>
        <v>39.580011578909897</v>
      </c>
      <c r="H90" s="22">
        <f t="shared" si="15"/>
        <v>-1230.1123809523815</v>
      </c>
      <c r="I90" s="22">
        <f t="shared" si="20"/>
        <v>-133366.12619047641</v>
      </c>
      <c r="R90" s="24">
        <f t="shared" si="18"/>
        <v>2.5085882105773147E-3</v>
      </c>
      <c r="S90" s="25">
        <f t="shared" si="19"/>
        <v>9.9289950421366971E-2</v>
      </c>
    </row>
    <row r="91" spans="1:19" x14ac:dyDescent="0.25">
      <c r="A91">
        <f t="shared" si="16"/>
        <v>11</v>
      </c>
      <c r="B91">
        <f t="shared" si="17"/>
        <v>2025</v>
      </c>
      <c r="D91" s="21" cm="1">
        <f t="array" ref="D91">IF(ROWS($D$7:D91)&gt;COUNTIF('[1]U$S'!$H$5:$H$1008,$L$5),"",INDEX(CuentaUS,_xlfn.AGGREGATE(15,6,ROW('[1]U$S'!$H$5:$H$1008)-ROW('[1]U$S'!$O$5)+1/--('[1]U$S'!$H$5:$H$1008=$L$5),ROWS($D$7:D91)),1))</f>
        <v>45968</v>
      </c>
      <c r="E91" s="22" cm="1">
        <f t="array" ref="E91">IF(ROWS($E$7:E91)&gt;COUNTIF('[1]U$S'!$H$5:$H$1008,$L$5),"",INDEX(CuentaUS,_xlfn.AGGREGATE(15,6,ROW('[1]U$S'!$H$5:$H$1008)-ROW('[1]U$S'!$O$5)+1/--('[1]U$S'!$H$5:$H$1008=$L$5),ROWS($E$7:E91)),6))</f>
        <v>1514.38</v>
      </c>
      <c r="F91" s="22">
        <f>IF(E91="","",IF(E91&gt;0,SUMIFS('[1]UY$'!$L$5:$L$993,'[1]UY$'!$O$5:$O$993,"Cambio",'[1]UY$'!$E$5:$E$993,'Efecto TC'!D91),""))</f>
        <v>60000</v>
      </c>
      <c r="G91" s="23">
        <f t="shared" si="14"/>
        <v>39.6201745929027</v>
      </c>
      <c r="H91" s="22">
        <f t="shared" si="15"/>
        <v>-85.808571428571668</v>
      </c>
      <c r="I91" s="22">
        <f t="shared" si="20"/>
        <v>-133451.93476190499</v>
      </c>
      <c r="R91" s="24">
        <f t="shared" si="18"/>
        <v>1.779440415610766E-4</v>
      </c>
      <c r="S91" s="25">
        <f t="shared" si="19"/>
        <v>7.0501739944165897E-3</v>
      </c>
    </row>
    <row r="92" spans="1:19" x14ac:dyDescent="0.25">
      <c r="A92">
        <f t="shared" si="16"/>
        <v>11</v>
      </c>
      <c r="B92">
        <f t="shared" si="17"/>
        <v>2025</v>
      </c>
      <c r="D92" s="21" cm="1">
        <f t="array" ref="D92">IF(ROWS($D$7:D92)&gt;COUNTIF('[1]U$S'!$H$5:$H$1008,$L$5),"",INDEX(CuentaUS,_xlfn.AGGREGATE(15,6,ROW('[1]U$S'!$H$5:$H$1008)-ROW('[1]U$S'!$O$5)+1/--('[1]U$S'!$H$5:$H$1008=$L$5),ROWS($D$7:D92)),1))</f>
        <v>45975</v>
      </c>
      <c r="E92" s="22" cm="1">
        <f t="array" ref="E92">IF(ROWS($E$7:E92)&gt;COUNTIF('[1]U$S'!$H$5:$H$1008,$L$5),"",INDEX(CuentaUS,_xlfn.AGGREGATE(15,6,ROW('[1]U$S'!$H$5:$H$1008)-ROW('[1]U$S'!$O$5)+1/--('[1]U$S'!$H$5:$H$1008=$L$5),ROWS($E$7:E92)),6))</f>
        <v>179722.92</v>
      </c>
      <c r="F92" s="22">
        <f>IF(E92="","",IF(E92&gt;0,SUMIFS('[1]UY$'!$L$5:$L$993,'[1]UY$'!$O$5:$O$993,"Cambio",'[1]UY$'!$E$5:$E$993,'Efecto TC'!D92),""))</f>
        <v>7135000</v>
      </c>
      <c r="G92" s="23">
        <f t="shared" si="14"/>
        <v>39.70000042287316</v>
      </c>
      <c r="H92" s="22">
        <f t="shared" si="15"/>
        <v>-9841.9676190476457</v>
      </c>
      <c r="I92" s="22">
        <f t="shared" si="20"/>
        <v>-143293.90238095264</v>
      </c>
      <c r="R92" s="24">
        <f t="shared" si="18"/>
        <v>2.1117964279743554E-2</v>
      </c>
      <c r="S92" s="25">
        <f t="shared" si="19"/>
        <v>0.8383831908360394</v>
      </c>
    </row>
    <row r="93" spans="1:19" x14ac:dyDescent="0.25">
      <c r="A93">
        <f t="shared" si="16"/>
        <v>11</v>
      </c>
      <c r="B93">
        <f t="shared" si="17"/>
        <v>2025</v>
      </c>
      <c r="D93" s="21" cm="1">
        <f t="array" ref="D93">IF(ROWS($D$7:D93)&gt;COUNTIF('[1]U$S'!$H$5:$H$1008,$L$5),"",INDEX(CuentaUS,_xlfn.AGGREGATE(15,6,ROW('[1]U$S'!$H$5:$H$1008)-ROW('[1]U$S'!$O$5)+1/--('[1]U$S'!$H$5:$H$1008=$L$5),ROWS($D$7:D93)),1))</f>
        <v>45982</v>
      </c>
      <c r="E93" s="22" cm="1">
        <f t="array" ref="E93">IF(ROWS($E$7:E93)&gt;COUNTIF('[1]U$S'!$H$5:$H$1008,$L$5),"",INDEX(CuentaUS,_xlfn.AGGREGATE(15,6,ROW('[1]U$S'!$H$5:$H$1008)-ROW('[1]U$S'!$O$5)+1/--('[1]U$S'!$H$5:$H$1008=$L$5),ROWS($E$7:E93)),6))</f>
        <v>663450.62000000011</v>
      </c>
      <c r="F93" s="22">
        <f>IF(E93="","",IF(E93&gt;0,SUMIFS('[1]UY$'!$L$5:$L$993,'[1]UY$'!$O$5:$O$993,"Cambio",'[1]UY$'!$E$5:$E$993,'Efecto TC'!D93),""))</f>
        <v>26210000</v>
      </c>
      <c r="G93" s="23">
        <f t="shared" si="14"/>
        <v>39.505577672080548</v>
      </c>
      <c r="H93" s="22">
        <f t="shared" si="15"/>
        <v>-39403.000952381059</v>
      </c>
      <c r="I93" s="22">
        <f t="shared" si="20"/>
        <v>-182696.9033333337</v>
      </c>
      <c r="R93" s="24">
        <f t="shared" si="18"/>
        <v>7.7957371795059391E-2</v>
      </c>
      <c r="S93" s="25">
        <f t="shared" si="19"/>
        <v>3.0797510065609801</v>
      </c>
    </row>
    <row r="94" spans="1:19" x14ac:dyDescent="0.25">
      <c r="A94">
        <f t="shared" si="16"/>
        <v>11</v>
      </c>
      <c r="B94">
        <f t="shared" si="17"/>
        <v>2025</v>
      </c>
      <c r="D94" s="21" cm="1">
        <f t="array" ref="D94">IF(ROWS($D$7:D94)&gt;COUNTIF('[1]U$S'!$H$5:$H$1008,$L$5),"",INDEX(CuentaUS,_xlfn.AGGREGATE(15,6,ROW('[1]U$S'!$H$5:$H$1008)-ROW('[1]U$S'!$O$5)+1/--('[1]U$S'!$H$5:$H$1008=$L$5),ROWS($D$7:D94)),1))</f>
        <v>45987</v>
      </c>
      <c r="E94" s="22" cm="1">
        <f t="array" ref="E94">IF(ROWS($E$7:E94)&gt;COUNTIF('[1]U$S'!$H$5:$H$1008,$L$5),"",INDEX(CuentaUS,_xlfn.AGGREGATE(15,6,ROW('[1]U$S'!$H$5:$H$1008)-ROW('[1]U$S'!$O$5)+1/--('[1]U$S'!$H$5:$H$1008=$L$5),ROWS($E$7:E94)),6))</f>
        <v>3293.63</v>
      </c>
      <c r="F94" s="22">
        <f>IF(E94="","",IF(E94&gt;0,SUMIFS('[1]UY$'!$L$5:$L$993,'[1]UY$'!$O$5:$O$993,"Cambio",'[1]UY$'!$E$5:$E$993,'Efecto TC'!D94),""))</f>
        <v>130000</v>
      </c>
      <c r="G94" s="23">
        <f t="shared" si="14"/>
        <v>39.470128702981206</v>
      </c>
      <c r="H94" s="22">
        <f t="shared" si="15"/>
        <v>-198.3919047619047</v>
      </c>
      <c r="I94" s="22">
        <f t="shared" si="20"/>
        <v>-182895.2952380956</v>
      </c>
      <c r="R94" s="24">
        <f t="shared" si="18"/>
        <v>3.8701107622050521E-4</v>
      </c>
      <c r="S94" s="25">
        <f t="shared" si="19"/>
        <v>1.5275376987902611E-2</v>
      </c>
    </row>
    <row r="95" spans="1:19" x14ac:dyDescent="0.25">
      <c r="A95">
        <f t="shared" si="16"/>
        <v>12</v>
      </c>
      <c r="B95">
        <f t="shared" si="17"/>
        <v>2025</v>
      </c>
      <c r="D95" s="21" cm="1">
        <f t="array" ref="D95">IF(ROWS($D$7:D95)&gt;COUNTIF('[1]U$S'!$H$5:$H$1008,$L$5),"",INDEX(CuentaUS,_xlfn.AGGREGATE(15,6,ROW('[1]U$S'!$H$5:$H$1008)-ROW('[1]U$S'!$O$5)+1/--('[1]U$S'!$H$5:$H$1008=$L$5),ROWS($D$7:D95)),1))</f>
        <v>45994</v>
      </c>
      <c r="E95" s="22" cm="1">
        <f t="array" ref="E95">IF(ROWS($E$7:E95)&gt;COUNTIF('[1]U$S'!$H$5:$H$1008,$L$5),"",INDEX(CuentaUS,_xlfn.AGGREGATE(15,6,ROW('[1]U$S'!$H$5:$H$1008)-ROW('[1]U$S'!$O$5)+1/--('[1]U$S'!$H$5:$H$1008=$L$5),ROWS($E$7:E95)),6))</f>
        <v>49935.98</v>
      </c>
      <c r="F95" s="22">
        <f>IF(E95="","",IF(E95&gt;0,SUMIFS('[1]UY$'!$L$5:$L$993,'[1]UY$'!$O$5:$O$993,"Cambio",'[1]UY$'!$E$5:$E$993,'Efecto TC'!D95),""))</f>
        <v>1950000</v>
      </c>
      <c r="G95" s="23">
        <f t="shared" si="14"/>
        <v>39.049999619512825</v>
      </c>
      <c r="H95" s="22">
        <f t="shared" si="15"/>
        <v>-3507.4085714285684</v>
      </c>
      <c r="I95" s="22">
        <f t="shared" si="20"/>
        <v>-186402.70380952416</v>
      </c>
      <c r="R95" s="24">
        <f t="shared" si="18"/>
        <v>5.8676224596951156E-3</v>
      </c>
      <c r="S95" s="25">
        <f t="shared" si="19"/>
        <v>0.22913065481853917</v>
      </c>
    </row>
    <row r="96" spans="1:19" x14ac:dyDescent="0.25">
      <c r="A96">
        <f t="shared" si="16"/>
        <v>12</v>
      </c>
      <c r="B96">
        <f t="shared" si="17"/>
        <v>2025</v>
      </c>
      <c r="D96" s="21" cm="1">
        <f t="array" ref="D96">IF(ROWS($D$7:D96)&gt;COUNTIF('[1]U$S'!$H$5:$H$1008,$L$5),"",INDEX(CuentaUS,_xlfn.AGGREGATE(15,6,ROW('[1]U$S'!$H$5:$H$1008)-ROW('[1]U$S'!$O$5)+1/--('[1]U$S'!$H$5:$H$1008=$L$5),ROWS($D$7:D96)),1))</f>
        <v>46010</v>
      </c>
      <c r="E96" s="22" cm="1">
        <f t="array" ref="E96">IF(ROWS($E$7:E96)&gt;COUNTIF('[1]U$S'!$H$5:$H$1008,$L$5),"",INDEX(CuentaUS,_xlfn.AGGREGATE(15,6,ROW('[1]U$S'!$H$5:$H$1008)-ROW('[1]U$S'!$O$5)+1/--('[1]U$S'!$H$5:$H$1008=$L$5),ROWS($E$7:E96)),6))</f>
        <v>661378.23</v>
      </c>
      <c r="F96" s="22">
        <f>IF(E96="","",IF(E96&gt;0,SUMIFS('[1]UY$'!$L$5:$L$993,'[1]UY$'!$O$5:$O$993,"Cambio",'[1]UY$'!$E$5:$E$993,'Efecto TC'!D96),""))</f>
        <v>25750000</v>
      </c>
      <c r="G96" s="23">
        <f t="shared" si="14"/>
        <v>38.933848790275427</v>
      </c>
      <c r="H96" s="22">
        <f t="shared" si="15"/>
        <v>-48282.991904761875</v>
      </c>
      <c r="I96" s="22">
        <f t="shared" si="20"/>
        <v>-234685.69571428603</v>
      </c>
      <c r="K96" s="26">
        <f>+F96/G96</f>
        <v>661378.23</v>
      </c>
      <c r="L96" s="26">
        <f>+F96/42</f>
        <v>613095.23809523811</v>
      </c>
      <c r="M96" s="26">
        <f>+K96-L96</f>
        <v>48282.991904761875</v>
      </c>
      <c r="R96" s="24">
        <f t="shared" si="18"/>
        <v>7.7713859960321235E-2</v>
      </c>
      <c r="S96" s="25">
        <f t="shared" si="19"/>
        <v>3.0256996726037868</v>
      </c>
    </row>
    <row r="97" spans="1:19" x14ac:dyDescent="0.25">
      <c r="A97">
        <f t="shared" si="16"/>
        <v>12</v>
      </c>
      <c r="B97">
        <f t="shared" si="17"/>
        <v>2025</v>
      </c>
      <c r="D97" s="21" cm="1">
        <f t="array" ref="D97">IF(ROWS($D$7:D97)&gt;COUNTIF('[1]U$S'!$H$5:$H$1008,$L$5),"",INDEX(CuentaUS,_xlfn.AGGREGATE(15,6,ROW('[1]U$S'!$H$5:$H$1008)-ROW('[1]U$S'!$O$5)+1/--('[1]U$S'!$H$5:$H$1008=$L$5),ROWS($D$7:D97)),1))</f>
        <v>46014</v>
      </c>
      <c r="E97" s="22" cm="1">
        <f t="array" ref="E97">IF(ROWS($E$7:E97)&gt;COUNTIF('[1]U$S'!$H$5:$H$1008,$L$5),"",INDEX(CuentaUS,_xlfn.AGGREGATE(15,6,ROW('[1]U$S'!$H$5:$H$1008)-ROW('[1]U$S'!$O$5)+1/--('[1]U$S'!$H$5:$H$1008=$L$5),ROWS($E$7:E97)),6))</f>
        <v>1536.09</v>
      </c>
      <c r="F97" s="22">
        <f>IF(E97="","",IF(E97&gt;0,SUMIFS('[1]UY$'!$L$5:$L$993,'[1]UY$'!$O$5:$O$993,"Cambio",'[1]UY$'!$E$5:$E$993,'Efecto TC'!D97),""))</f>
        <v>60000</v>
      </c>
      <c r="G97" s="23">
        <f>IF(F97="","",F97/E97)</f>
        <v>39.060211315743217</v>
      </c>
      <c r="H97" s="22">
        <f>IF(E97="","",F97/$F$2-F97/G97)</f>
        <v>-107.51857142857148</v>
      </c>
      <c r="I97" s="22">
        <f t="shared" si="20"/>
        <v>-234793.21428571461</v>
      </c>
      <c r="R97" s="24">
        <f>E97/$E$1001</f>
        <v>1.8049502951805632E-4</v>
      </c>
      <c r="S97" s="25">
        <f t="shared" si="19"/>
        <v>7.0501739944165897E-3</v>
      </c>
    </row>
    <row r="98" spans="1:19" x14ac:dyDescent="0.25">
      <c r="A98">
        <f t="shared" si="16"/>
        <v>1</v>
      </c>
      <c r="B98">
        <f t="shared" si="17"/>
        <v>2026</v>
      </c>
      <c r="D98" s="21" cm="1">
        <f t="array" ref="D98">IF(ROWS($D$7:D98)&gt;COUNTIF('[1]U$S'!$H$5:$H$1008,$L$5),"",INDEX(CuentaUS,_xlfn.AGGREGATE(15,6,ROW('[1]U$S'!$H$5:$H$1008)-ROW('[1]U$S'!$O$5)+1/--('[1]U$S'!$H$5:$H$1008=$L$5),ROWS($D$7:D98)),1))</f>
        <v>46030</v>
      </c>
      <c r="E98" s="22" cm="1">
        <f t="array" ref="E98">IF(ROWS($E$7:E98)&gt;COUNTIF('[1]U$S'!$H$5:$H$1008,$L$5),"",INDEX(CuentaUS,_xlfn.AGGREGATE(15,6,ROW('[1]U$S'!$H$5:$H$1008)-ROW('[1]U$S'!$O$5)+1/--('[1]U$S'!$H$5:$H$1008=$L$5),ROWS($E$7:E98)),6))</f>
        <v>20592.02</v>
      </c>
      <c r="F98" s="22">
        <f>IF(E98="","",IF(E98&gt;0,SUMIFS('[1]UY$'!$L$5:$L$993,'[1]UY$'!$O$5:$O$993,"Cambio",'[1]UY$'!$E$5:$E$993,'Efecto TC'!D98),""))</f>
        <v>800000</v>
      </c>
      <c r="G98" s="23">
        <f t="shared" ref="G98:G161" si="21">IF(F98="","",F98/E98)</f>
        <v>38.850001116937534</v>
      </c>
      <c r="H98" s="22">
        <f t="shared" ref="H98:H161" si="22">IF(E98="","",F98/$F$2-F98/G98)</f>
        <v>-1544.4009523809545</v>
      </c>
      <c r="I98" s="22">
        <f t="shared" si="20"/>
        <v>-236337.61523809558</v>
      </c>
      <c r="R98" s="24">
        <f t="shared" ref="R98:R161" si="23">E98/$E$1001</f>
        <v>2.4196220649417718E-3</v>
      </c>
      <c r="S98" s="25">
        <f t="shared" si="19"/>
        <v>9.4002319925554537E-2</v>
      </c>
    </row>
    <row r="99" spans="1:19" x14ac:dyDescent="0.25">
      <c r="A99">
        <f t="shared" si="16"/>
        <v>1</v>
      </c>
      <c r="B99">
        <f t="shared" si="17"/>
        <v>2026</v>
      </c>
      <c r="D99" s="21" cm="1">
        <f t="array" ref="D99">IF(ROWS($D$7:D99)&gt;COUNTIF('[1]U$S'!$H$5:$H$1008,$L$5),"",INDEX(CuentaUS,_xlfn.AGGREGATE(15,6,ROW('[1]U$S'!$H$5:$H$1008)-ROW('[1]U$S'!$O$5)+1/--('[1]U$S'!$H$5:$H$1008=$L$5),ROWS($D$7:D99)),1))</f>
        <v>46038</v>
      </c>
      <c r="E99" s="22" cm="1">
        <f t="array" ref="E99">IF(ROWS($E$7:E99)&gt;COUNTIF('[1]U$S'!$H$5:$H$1008,$L$5),"",INDEX(CuentaUS,_xlfn.AGGREGATE(15,6,ROW('[1]U$S'!$H$5:$H$1008)-ROW('[1]U$S'!$O$5)+1/--('[1]U$S'!$H$5:$H$1008=$L$5),ROWS($E$7:E99)),6))</f>
        <v>2090.9499999999998</v>
      </c>
      <c r="F99" s="22">
        <f>IF(E99="","",IF(E99&gt;0,SUMIFS('[1]UY$'!$L$5:$L$993,'[1]UY$'!$O$5:$O$993,"Cambio",'[1]UY$'!$E$5:$E$993,'Efecto TC'!D99),""))</f>
        <v>80000</v>
      </c>
      <c r="G99" s="23">
        <f t="shared" si="21"/>
        <v>38.260120997632661</v>
      </c>
      <c r="H99" s="22">
        <f t="shared" si="22"/>
        <v>-186.188095238095</v>
      </c>
      <c r="I99" s="22">
        <f t="shared" si="20"/>
        <v>-236523.80333333366</v>
      </c>
      <c r="R99" s="24">
        <f t="shared" si="23"/>
        <v>2.4569268856042281E-4</v>
      </c>
      <c r="S99" s="25">
        <f t="shared" si="19"/>
        <v>9.4002319925554547E-3</v>
      </c>
    </row>
    <row r="100" spans="1:19" x14ac:dyDescent="0.25">
      <c r="A100">
        <f t="shared" si="16"/>
        <v>1</v>
      </c>
      <c r="B100">
        <f t="shared" si="17"/>
        <v>2026</v>
      </c>
      <c r="D100" s="21" cm="1">
        <f t="array" ref="D100">IF(ROWS($D$7:D100)&gt;COUNTIF('[1]U$S'!$H$5:$H$1008,$L$5),"",INDEX(CuentaUS,_xlfn.AGGREGATE(15,6,ROW('[1]U$S'!$H$5:$H$1008)-ROW('[1]U$S'!$O$5)+1/--('[1]U$S'!$H$5:$H$1008=$L$5),ROWS($D$7:D100)),1))</f>
        <v>46045</v>
      </c>
      <c r="E100" s="22" cm="1">
        <f t="array" ref="E100">IF(ROWS($E$7:E100)&gt;COUNTIF('[1]U$S'!$H$5:$H$1008,$L$5),"",INDEX(CuentaUS,_xlfn.AGGREGATE(15,6,ROW('[1]U$S'!$H$5:$H$1008)-ROW('[1]U$S'!$O$5)+1/--('[1]U$S'!$H$5:$H$1008=$L$5),ROWS($E$7:E100)),6))</f>
        <v>137433.85999999999</v>
      </c>
      <c r="F100" s="22">
        <f>IF(E100="","",IF(E100&gt;0,SUMIFS('[1]UY$'!$L$5:$L$993,'[1]UY$'!$O$5:$O$993,"Cambio",'[1]UY$'!$E$5:$E$993,'Efecto TC'!D100),""))</f>
        <v>5195000</v>
      </c>
      <c r="G100" s="23">
        <f t="shared" si="21"/>
        <v>37.80000066941291</v>
      </c>
      <c r="H100" s="22">
        <f t="shared" si="22"/>
        <v>-13743.383809523802</v>
      </c>
      <c r="I100" s="22">
        <f t="shared" si="20"/>
        <v>-250267.18714285747</v>
      </c>
      <c r="R100" s="24">
        <f t="shared" si="23"/>
        <v>1.6148877095404839E-2</v>
      </c>
      <c r="S100" s="25">
        <f t="shared" si="19"/>
        <v>0.6104275650165697</v>
      </c>
    </row>
    <row r="101" spans="1:19" x14ac:dyDescent="0.25">
      <c r="A101">
        <f t="shared" si="16"/>
        <v>1</v>
      </c>
      <c r="B101">
        <f t="shared" si="17"/>
        <v>2026</v>
      </c>
      <c r="D101" s="21" cm="1">
        <f t="array" ref="D101">IF(ROWS($D$7:D101)&gt;COUNTIF('[1]U$S'!$H$5:$H$1008,$L$5),"",INDEX(CuentaUS,_xlfn.AGGREGATE(15,6,ROW('[1]U$S'!$H$5:$H$1008)-ROW('[1]U$S'!$O$5)+1/--('[1]U$S'!$H$5:$H$1008=$L$5),ROWS($D$7:D101)),1))</f>
        <v>46048</v>
      </c>
      <c r="E101" s="22" cm="1">
        <f t="array" ref="E101">IF(ROWS($E$7:E101)&gt;COUNTIF('[1]U$S'!$H$5:$H$1008,$L$5),"",INDEX(CuentaUS,_xlfn.AGGREGATE(15,6,ROW('[1]U$S'!$H$5:$H$1008)-ROW('[1]U$S'!$O$5)+1/--('[1]U$S'!$H$5:$H$1008=$L$5),ROWS($E$7:E101)),6))</f>
        <v>414741.04</v>
      </c>
      <c r="F101" s="22">
        <f>IF(E101="","",IF(E101&gt;0,SUMIFS('[1]UY$'!$L$5:$L$993,'[1]UY$'!$O$5:$O$993,"Cambio",'[1]UY$'!$E$5:$E$993,'Efecto TC'!D101),""))</f>
        <v>15615000</v>
      </c>
      <c r="G101" s="23">
        <f t="shared" si="21"/>
        <v>37.649999623861675</v>
      </c>
      <c r="H101" s="22">
        <f t="shared" si="22"/>
        <v>-42955.325714285718</v>
      </c>
      <c r="I101" s="22">
        <f t="shared" si="20"/>
        <v>-293222.51285714319</v>
      </c>
      <c r="R101" s="24">
        <f t="shared" si="23"/>
        <v>4.8733274910421509E-2</v>
      </c>
      <c r="S101" s="25">
        <f t="shared" si="19"/>
        <v>1.8348077820469173</v>
      </c>
    </row>
    <row r="102" spans="1:19" x14ac:dyDescent="0.25">
      <c r="A102">
        <f t="shared" si="16"/>
        <v>1</v>
      </c>
      <c r="B102">
        <f t="shared" si="17"/>
        <v>2026</v>
      </c>
      <c r="D102" s="21" cm="1">
        <f t="array" ref="D102">IF(ROWS($D$7:D102)&gt;COUNTIF('[1]U$S'!$H$5:$H$1008,$L$5),"",INDEX(CuentaUS,_xlfn.AGGREGATE(15,6,ROW('[1]U$S'!$H$5:$H$1008)-ROW('[1]U$S'!$O$5)+1/--('[1]U$S'!$H$5:$H$1008=$L$5),ROWS($D$7:D102)),1))</f>
        <v>46049</v>
      </c>
      <c r="E102" s="22" cm="1">
        <f t="array" ref="E102">IF(ROWS($E$7:E102)&gt;COUNTIF('[1]U$S'!$H$5:$H$1008,$L$5),"",INDEX(CuentaUS,_xlfn.AGGREGATE(15,6,ROW('[1]U$S'!$H$5:$H$1008)-ROW('[1]U$S'!$O$5)+1/--('[1]U$S'!$H$5:$H$1008=$L$5),ROWS($E$7:E102)),6))</f>
        <v>10526.32</v>
      </c>
      <c r="F102" s="22">
        <f>IF(E102="","",IF(E102&gt;0,SUMIFS('[1]UY$'!$L$5:$L$993,'[1]UY$'!$O$5:$O$993,"Cambio",'[1]UY$'!$E$5:$E$993,'Efecto TC'!D102),""))</f>
        <v>400000</v>
      </c>
      <c r="G102" s="23">
        <f t="shared" si="21"/>
        <v>37.999984800006082</v>
      </c>
      <c r="H102" s="22">
        <f t="shared" si="22"/>
        <v>-1002.5104761904768</v>
      </c>
      <c r="I102" s="22">
        <f t="shared" si="20"/>
        <v>-294225.02333333367</v>
      </c>
      <c r="R102" s="24">
        <f t="shared" si="23"/>
        <v>1.2368731253484539E-3</v>
      </c>
      <c r="S102" s="25">
        <f t="shared" si="19"/>
        <v>4.7001159962777268E-2</v>
      </c>
    </row>
    <row r="103" spans="1:19" x14ac:dyDescent="0.25">
      <c r="A103">
        <f t="shared" si="16"/>
        <v>2</v>
      </c>
      <c r="B103">
        <f t="shared" si="17"/>
        <v>2026</v>
      </c>
      <c r="D103" s="21" cm="1">
        <f t="array" ref="D103">IF(ROWS($D$7:D103)&gt;COUNTIF('[1]U$S'!$H$5:$H$1008,$L$5),"",INDEX(CuentaUS,_xlfn.AGGREGATE(15,6,ROW('[1]U$S'!$H$5:$H$1008)-ROW('[1]U$S'!$O$5)+1/--('[1]U$S'!$H$5:$H$1008=$L$5),ROWS($D$7:D103)),1))</f>
        <v>46057</v>
      </c>
      <c r="E103" s="22" cm="1">
        <f t="array" ref="E103">IF(ROWS($E$7:E103)&gt;COUNTIF('[1]U$S'!$H$5:$H$1008,$L$5),"",INDEX(CuentaUS,_xlfn.AGGREGATE(15,6,ROW('[1]U$S'!$H$5:$H$1008)-ROW('[1]U$S'!$O$5)+1/--('[1]U$S'!$H$5:$H$1008=$L$5),ROWS($E$7:E103)),6))</f>
        <v>7786.14</v>
      </c>
      <c r="F103" s="22">
        <f>IF(E103="","",IF(E103&gt;0,SUMIFS('[1]UY$'!$L$5:$L$993,'[1]UY$'!$O$5:$O$993,"Cambio",'[1]UY$'!$E$5:$E$993,'Efecto TC'!D103),""))</f>
        <v>300000</v>
      </c>
      <c r="G103" s="23">
        <f t="shared" si="21"/>
        <v>38.530003313580281</v>
      </c>
      <c r="H103" s="22">
        <f t="shared" si="22"/>
        <v>-643.28285714285812</v>
      </c>
      <c r="I103" s="22">
        <f t="shared" si="20"/>
        <v>-294868.30619047652</v>
      </c>
      <c r="R103" s="24">
        <f t="shared" si="23"/>
        <v>9.1489402908144642E-4</v>
      </c>
      <c r="S103" s="25">
        <f t="shared" si="19"/>
        <v>3.5250869972082946E-2</v>
      </c>
    </row>
    <row r="104" spans="1:19" x14ac:dyDescent="0.25">
      <c r="A104">
        <f t="shared" si="16"/>
        <v>2</v>
      </c>
      <c r="B104">
        <f t="shared" si="17"/>
        <v>2026</v>
      </c>
      <c r="D104" s="21" cm="1">
        <f t="array" ref="D104">IF(ROWS($D$7:D104)&gt;COUNTIF('[1]U$S'!$H$5:$H$1008,$L$5),"",INDEX(CuentaUS,_xlfn.AGGREGATE(15,6,ROW('[1]U$S'!$H$5:$H$1008)-ROW('[1]U$S'!$O$5)+1/--('[1]U$S'!$H$5:$H$1008=$L$5),ROWS($D$7:D104)),1))</f>
        <v>46064</v>
      </c>
      <c r="E104" s="22" cm="1">
        <f t="array" ref="E104">IF(ROWS($E$7:E104)&gt;COUNTIF('[1]U$S'!$H$5:$H$1008,$L$5),"",INDEX(CuentaUS,_xlfn.AGGREGATE(15,6,ROW('[1]U$S'!$H$5:$H$1008)-ROW('[1]U$S'!$O$5)+1/--('[1]U$S'!$H$5:$H$1008=$L$5),ROWS($E$7:E104)),6))</f>
        <v>4669.26</v>
      </c>
      <c r="F104" s="22">
        <f>IF(E104="","",IF(E104&gt;0,SUMIFS('[1]UY$'!$L$5:$L$993,'[1]UY$'!$O$5:$O$993,"Cambio",'[1]UY$'!$E$5:$E$993,'Efecto TC'!D104),""))</f>
        <v>180000</v>
      </c>
      <c r="G104" s="23">
        <f t="shared" si="21"/>
        <v>38.550005782500868</v>
      </c>
      <c r="H104" s="22">
        <f t="shared" si="22"/>
        <v>-383.54571428571489</v>
      </c>
      <c r="I104" s="22">
        <f t="shared" si="20"/>
        <v>-295251.85190476221</v>
      </c>
      <c r="R104" s="24">
        <f t="shared" si="23"/>
        <v>5.486515904194935E-4</v>
      </c>
      <c r="S104" s="25">
        <f t="shared" si="19"/>
        <v>2.1150521983249772E-2</v>
      </c>
    </row>
    <row r="105" spans="1:19" x14ac:dyDescent="0.25">
      <c r="A105">
        <f t="shared" si="16"/>
        <v>2</v>
      </c>
      <c r="B105">
        <f t="shared" si="17"/>
        <v>2026</v>
      </c>
      <c r="D105" s="21" cm="1">
        <f t="array" ref="D105">IF(ROWS($D$7:D105)&gt;COUNTIF('[1]U$S'!$H$5:$H$1008,$L$5),"",INDEX(CuentaUS,_xlfn.AGGREGATE(15,6,ROW('[1]U$S'!$H$5:$H$1008)-ROW('[1]U$S'!$O$5)+1/--('[1]U$S'!$H$5:$H$1008=$L$5),ROWS($D$7:D105)),1))</f>
        <v>46076</v>
      </c>
      <c r="E105" s="22" cm="1">
        <f t="array" ref="E105">IF(ROWS($E$7:E105)&gt;COUNTIF('[1]U$S'!$H$5:$H$1008,$L$5),"",INDEX(CuentaUS,_xlfn.AGGREGATE(15,6,ROW('[1]U$S'!$H$5:$H$1008)-ROW('[1]U$S'!$O$5)+1/--('[1]U$S'!$H$5:$H$1008=$L$5),ROWS($E$7:E105)),6))</f>
        <v>343080.93</v>
      </c>
      <c r="F105" s="22">
        <f>IF(E105="","",IF(E105&gt;0,SUMIFS('[1]UY$'!$L$5:$L$993,'[1]UY$'!$O$5:$O$993,"Cambio",'[1]UY$'!$E$5:$E$993,'Efecto TC'!D105),""))</f>
        <v>13140000</v>
      </c>
      <c r="G105" s="23">
        <f t="shared" si="21"/>
        <v>38.300001110525145</v>
      </c>
      <c r="H105" s="22">
        <f t="shared" si="22"/>
        <v>-30223.787142857153</v>
      </c>
      <c r="I105" s="22">
        <f t="shared" si="20"/>
        <v>-325475.63904761936</v>
      </c>
      <c r="R105" s="24">
        <f t="shared" si="23"/>
        <v>4.0313004177770971E-2</v>
      </c>
      <c r="S105" s="25">
        <f t="shared" si="19"/>
        <v>1.543988104777233</v>
      </c>
    </row>
    <row r="106" spans="1:19" x14ac:dyDescent="0.25">
      <c r="A106">
        <f t="shared" si="16"/>
        <v>2</v>
      </c>
      <c r="B106">
        <f t="shared" si="17"/>
        <v>2026</v>
      </c>
      <c r="D106" s="21" cm="1">
        <f t="array" ref="D106">IF(ROWS($D$7:D106)&gt;COUNTIF('[1]U$S'!$H$5:$H$1008,$L$5),"",INDEX(CuentaUS,_xlfn.AGGREGATE(15,6,ROW('[1]U$S'!$H$5:$H$1008)-ROW('[1]U$S'!$O$5)+1/--('[1]U$S'!$H$5:$H$1008=$L$5),ROWS($D$7:D106)),1))</f>
        <v>46077</v>
      </c>
      <c r="E106" s="22" cm="1">
        <f t="array" ref="E106">IF(ROWS($E$7:E106)&gt;COUNTIF('[1]U$S'!$H$5:$H$1008,$L$5),"",INDEX(CuentaUS,_xlfn.AGGREGATE(15,6,ROW('[1]U$S'!$H$5:$H$1008)-ROW('[1]U$S'!$O$5)+1/--('[1]U$S'!$H$5:$H$1008=$L$5),ROWS($E$7:E106)),6))</f>
        <v>2608.2399999999998</v>
      </c>
      <c r="F106" s="22">
        <f>IF(E106="","",IF(E106&gt;0,SUMIFS('[1]UY$'!$L$5:$L$993,'[1]UY$'!$O$5:$O$993,"Cambio",'[1]UY$'!$E$5:$E$993,'Efecto TC'!D106),""))</f>
        <v>100000</v>
      </c>
      <c r="G106" s="23">
        <f t="shared" si="21"/>
        <v>38.340030058583572</v>
      </c>
      <c r="H106" s="22">
        <f t="shared" si="22"/>
        <v>-227.28761904761905</v>
      </c>
      <c r="I106" s="22">
        <f t="shared" si="20"/>
        <v>-325702.92666666699</v>
      </c>
      <c r="R106" s="24">
        <f t="shared" si="23"/>
        <v>3.0647576365328542E-4</v>
      </c>
      <c r="S106" s="25">
        <f t="shared" si="19"/>
        <v>1.1750289990694317E-2</v>
      </c>
    </row>
    <row r="107" spans="1:19" x14ac:dyDescent="0.25">
      <c r="A107">
        <f t="shared" si="16"/>
        <v>3</v>
      </c>
      <c r="B107">
        <f t="shared" si="17"/>
        <v>2026</v>
      </c>
      <c r="D107" s="21" cm="1">
        <f t="array" ref="D107">IF(ROWS($D$7:D107)&gt;COUNTIF('[1]U$S'!$H$5:$H$1008,$L$5),"",INDEX(CuentaUS,_xlfn.AGGREGATE(15,6,ROW('[1]U$S'!$H$5:$H$1008)-ROW('[1]U$S'!$O$5)+1/--('[1]U$S'!$H$5:$H$1008=$L$5),ROWS($D$7:D107)),1))</f>
        <v>46091</v>
      </c>
      <c r="E107" s="22" cm="1">
        <f t="array" ref="E107">IF(ROWS($E$7:E107)&gt;COUNTIF('[1]U$S'!$H$5:$H$1008,$L$5),"",INDEX(CuentaUS,_xlfn.AGGREGATE(15,6,ROW('[1]U$S'!$H$5:$H$1008)-ROW('[1]U$S'!$O$5)+1/--('[1]U$S'!$H$5:$H$1008=$L$5),ROWS($E$7:E107)),6))</f>
        <v>15538.85</v>
      </c>
      <c r="F107" s="22">
        <f>IF(E107="","",IF(E107&gt;0,SUMIFS('[1]UY$'!$L$5:$L$993,'[1]UY$'!$O$5:$O$993,"Cambio",'[1]UY$'!$E$5:$E$993,'Efecto TC'!D107),""))</f>
        <v>620000</v>
      </c>
      <c r="G107" s="23">
        <f t="shared" si="21"/>
        <v>39.899992599194917</v>
      </c>
      <c r="H107" s="22">
        <f t="shared" si="22"/>
        <v>-776.94523809524071</v>
      </c>
      <c r="I107" s="22">
        <f t="shared" si="20"/>
        <v>-326479.87190476223</v>
      </c>
      <c r="R107" s="24">
        <f t="shared" si="23"/>
        <v>1.8258599362190038E-3</v>
      </c>
      <c r="S107" s="25">
        <f t="shared" si="19"/>
        <v>7.2851797942304758E-2</v>
      </c>
    </row>
    <row r="108" spans="1:19" x14ac:dyDescent="0.25">
      <c r="A108">
        <f t="shared" si="16"/>
        <v>3</v>
      </c>
      <c r="B108">
        <f t="shared" si="17"/>
        <v>2026</v>
      </c>
      <c r="D108" s="21" cm="1">
        <f t="array" ref="D108">IF(ROWS($D$7:D108)&gt;COUNTIF('[1]U$S'!$H$5:$H$1008,$L$5),"",INDEX(CuentaUS,_xlfn.AGGREGATE(15,6,ROW('[1]U$S'!$H$5:$H$1008)-ROW('[1]U$S'!$O$5)+1/--('[1]U$S'!$H$5:$H$1008=$L$5),ROWS($D$7:D108)),1))</f>
        <v>46092</v>
      </c>
      <c r="E108" s="22" cm="1">
        <f t="array" ref="E108">IF(ROWS($E$7:E108)&gt;COUNTIF('[1]U$S'!$H$5:$H$1008,$L$5),"",INDEX(CuentaUS,_xlfn.AGGREGATE(15,6,ROW('[1]U$S'!$H$5:$H$1008)-ROW('[1]U$S'!$O$5)+1/--('[1]U$S'!$H$5:$H$1008=$L$5),ROWS($E$7:E108)),6))</f>
        <v>1620.13</v>
      </c>
      <c r="F108" s="22">
        <f>IF(E108="","",IF(E108&gt;0,SUMIFS('[1]UY$'!$L$5:$L$993,'[1]UY$'!$O$5:$O$993,"Cambio",'[1]UY$'!$E$5:$E$993,'Efecto TC'!D108),""))</f>
        <v>65000</v>
      </c>
      <c r="G108" s="23">
        <f t="shared" si="21"/>
        <v>40.120237264910841</v>
      </c>
      <c r="H108" s="22">
        <f t="shared" si="22"/>
        <v>-72.510952380952176</v>
      </c>
      <c r="I108" s="22">
        <f t="shared" si="20"/>
        <v>-326552.38285714318</v>
      </c>
      <c r="R108" s="24">
        <f t="shared" si="23"/>
        <v>1.9036997322623584E-4</v>
      </c>
      <c r="S108" s="25">
        <f t="shared" si="19"/>
        <v>7.6376884939513062E-3</v>
      </c>
    </row>
    <row r="109" spans="1:19" x14ac:dyDescent="0.25">
      <c r="A109">
        <f t="shared" si="16"/>
        <v>3</v>
      </c>
      <c r="B109">
        <f t="shared" si="17"/>
        <v>2026</v>
      </c>
      <c r="D109" s="21" cm="1">
        <f t="array" ref="D109">IF(ROWS($D$7:D109)&gt;COUNTIF('[1]U$S'!$H$5:$H$1008,$L$5),"",INDEX(CuentaUS,_xlfn.AGGREGATE(15,6,ROW('[1]U$S'!$H$5:$H$1008)-ROW('[1]U$S'!$O$5)+1/--('[1]U$S'!$H$5:$H$1008=$L$5),ROWS($D$7:D109)),1))</f>
        <v>46093</v>
      </c>
      <c r="E109" s="22" cm="1">
        <f t="array" ref="E109">IF(ROWS($E$7:E109)&gt;COUNTIF('[1]U$S'!$H$5:$H$1008,$L$5),"",INDEX(CuentaUS,_xlfn.AGGREGATE(15,6,ROW('[1]U$S'!$H$5:$H$1008)-ROW('[1]U$S'!$O$5)+1/--('[1]U$S'!$H$5:$H$1008=$L$5),ROWS($E$7:E109)),6))</f>
        <v>6203.47</v>
      </c>
      <c r="F109" s="22">
        <f>IF(E109="","",IF(E109&gt;0,SUMIFS('[1]UY$'!$L$5:$L$993,'[1]UY$'!$O$5:$O$993,"Cambio",'[1]UY$'!$E$5:$E$993,'Efecto TC'!D109),""))</f>
        <v>250000</v>
      </c>
      <c r="G109" s="23">
        <f t="shared" si="21"/>
        <v>40.3000256308163</v>
      </c>
      <c r="H109" s="22">
        <f t="shared" si="22"/>
        <v>-251.08904761904796</v>
      </c>
      <c r="I109" s="22">
        <f t="shared" si="20"/>
        <v>-326803.47190476221</v>
      </c>
      <c r="R109" s="24">
        <f t="shared" si="23"/>
        <v>7.2892571448572477E-4</v>
      </c>
      <c r="S109" s="25">
        <f t="shared" si="19"/>
        <v>2.9375724976735792E-2</v>
      </c>
    </row>
    <row r="110" spans="1:19" x14ac:dyDescent="0.25">
      <c r="A110">
        <f t="shared" si="16"/>
        <v>3</v>
      </c>
      <c r="B110">
        <f t="shared" si="17"/>
        <v>2026</v>
      </c>
      <c r="D110" s="21" cm="1">
        <f t="array" ref="D110">IF(ROWS($D$7:D110)&gt;COUNTIF('[1]U$S'!$H$5:$H$1008,$L$5),"",INDEX(CuentaUS,_xlfn.AGGREGATE(15,6,ROW('[1]U$S'!$H$5:$H$1008)-ROW('[1]U$S'!$O$5)+1/--('[1]U$S'!$H$5:$H$1008=$L$5),ROWS($D$7:D110)),1))</f>
        <v>46100</v>
      </c>
      <c r="E110" s="22" cm="1">
        <f t="array" ref="E110">IF(ROWS($E$7:E110)&gt;COUNTIF('[1]U$S'!$H$5:$H$1008,$L$5),"",INDEX(CuentaUS,_xlfn.AGGREGATE(15,6,ROW('[1]U$S'!$H$5:$H$1008)-ROW('[1]U$S'!$O$5)+1/--('[1]U$S'!$H$5:$H$1008=$L$5),ROWS($E$7:E110)),6))</f>
        <v>1482.57</v>
      </c>
      <c r="F110" s="22">
        <f>IF(E110="","",IF(E110&gt;0,SUMIFS('[1]UY$'!$L$5:$L$993,'[1]UY$'!$O$5:$O$993,"Cambio",'[1]UY$'!$E$5:$E$993,'Efecto TC'!D110),""))</f>
        <v>60000</v>
      </c>
      <c r="G110" s="23">
        <f t="shared" si="21"/>
        <v>40.470264473178332</v>
      </c>
      <c r="H110" s="22">
        <f t="shared" si="22"/>
        <v>-53.998571428571267</v>
      </c>
      <c r="I110" s="22">
        <f t="shared" si="20"/>
        <v>-326857.47047619079</v>
      </c>
      <c r="R110" s="24">
        <f t="shared" si="23"/>
        <v>1.7420627431503671E-4</v>
      </c>
      <c r="S110" s="25">
        <f t="shared" si="19"/>
        <v>7.0501739944165897E-3</v>
      </c>
    </row>
    <row r="111" spans="1:19" x14ac:dyDescent="0.25">
      <c r="A111">
        <f t="shared" si="16"/>
        <v>3</v>
      </c>
      <c r="B111">
        <f t="shared" si="17"/>
        <v>2026</v>
      </c>
      <c r="D111" s="21" cm="1">
        <f t="array" ref="D111">IF(ROWS($D$7:D111)&gt;COUNTIF('[1]U$S'!$H$5:$H$1008,$L$5),"",INDEX(CuentaUS,_xlfn.AGGREGATE(15,6,ROW('[1]U$S'!$H$5:$H$1008)-ROW('[1]U$S'!$O$5)+1/--('[1]U$S'!$H$5:$H$1008=$L$5),ROWS($D$7:D111)),1))</f>
        <v>46101</v>
      </c>
      <c r="E111" s="22" cm="1">
        <f t="array" ref="E111">IF(ROWS($E$7:E111)&gt;COUNTIF('[1]U$S'!$H$5:$H$1008,$L$5),"",INDEX(CuentaUS,_xlfn.AGGREGATE(15,6,ROW('[1]U$S'!$H$5:$H$1008)-ROW('[1]U$S'!$O$5)+1/--('[1]U$S'!$H$5:$H$1008=$L$5),ROWS($E$7:E111)),6))</f>
        <v>529223.97</v>
      </c>
      <c r="F111" s="22">
        <f>IF(E111="","",IF(E111&gt;0,SUMIFS('[1]UY$'!$L$5:$L$993,'[1]UY$'!$O$5:$O$993,"Cambio",'[1]UY$'!$E$5:$E$993,'Efecto TC'!D111),""))</f>
        <v>21550000</v>
      </c>
      <c r="G111" s="23">
        <f t="shared" si="21"/>
        <v>40.719999889649749</v>
      </c>
      <c r="H111" s="22">
        <f t="shared" si="22"/>
        <v>-16128.731904761866</v>
      </c>
      <c r="I111" s="22">
        <f t="shared" si="20"/>
        <v>-342986.20238095266</v>
      </c>
      <c r="R111" s="24">
        <f t="shared" si="23"/>
        <v>6.2185351175265087E-2</v>
      </c>
      <c r="S111" s="25">
        <f t="shared" si="19"/>
        <v>2.5321874929946251</v>
      </c>
    </row>
    <row r="112" spans="1:19" x14ac:dyDescent="0.25">
      <c r="A112">
        <f t="shared" si="16"/>
        <v>3</v>
      </c>
      <c r="B112">
        <f t="shared" si="17"/>
        <v>2026</v>
      </c>
      <c r="D112" s="21" cm="1">
        <f t="array" ref="D112">IF(ROWS($D$7:D112)&gt;COUNTIF('[1]U$S'!$H$5:$H$1008,$L$5),"",INDEX(CuentaUS,_xlfn.AGGREGATE(15,6,ROW('[1]U$S'!$H$5:$H$1008)-ROW('[1]U$S'!$O$5)+1/--('[1]U$S'!$H$5:$H$1008=$L$5),ROWS($D$7:D112)),1))</f>
        <v>46105</v>
      </c>
      <c r="E112" s="22" cm="1">
        <f t="array" ref="E112">IF(ROWS($E$7:E112)&gt;COUNTIF('[1]U$S'!$H$5:$H$1008,$L$5),"",INDEX(CuentaUS,_xlfn.AGGREGATE(15,6,ROW('[1]U$S'!$H$5:$H$1008)-ROW('[1]U$S'!$O$5)+1/--('[1]U$S'!$H$5:$H$1008=$L$5),ROWS($E$7:E112)),6))</f>
        <v>5947.95</v>
      </c>
      <c r="F112" s="22">
        <f>IF(E112="","",IF(E112&gt;0,SUMIFS('[1]UY$'!$L$5:$L$993,'[1]UY$'!$O$5:$O$993,"Cambio",'[1]UY$'!$E$5:$E$993,'Efecto TC'!D112),""))</f>
        <v>240000</v>
      </c>
      <c r="G112" s="23">
        <f t="shared" si="21"/>
        <v>40.350036567220641</v>
      </c>
      <c r="H112" s="22">
        <f t="shared" si="22"/>
        <v>-233.66428571428514</v>
      </c>
      <c r="I112" s="22">
        <f t="shared" si="20"/>
        <v>-343219.86666666693</v>
      </c>
      <c r="R112" s="24">
        <f t="shared" si="23"/>
        <v>6.9890137350150255E-4</v>
      </c>
      <c r="S112" s="25">
        <f t="shared" si="19"/>
        <v>2.8200695977666359E-2</v>
      </c>
    </row>
    <row r="113" spans="1:19" x14ac:dyDescent="0.25">
      <c r="A113">
        <f t="shared" si="16"/>
        <v>3</v>
      </c>
      <c r="B113">
        <f t="shared" si="17"/>
        <v>2026</v>
      </c>
      <c r="D113" s="21" cm="1">
        <f t="array" ref="D113">IF(ROWS($D$7:D113)&gt;COUNTIF('[1]U$S'!$H$5:$H$1008,$L$5),"",INDEX(CuentaUS,_xlfn.AGGREGATE(15,6,ROW('[1]U$S'!$H$5:$H$1008)-ROW('[1]U$S'!$O$5)+1/--('[1]U$S'!$H$5:$H$1008=$L$5),ROWS($D$7:D113)),1))</f>
        <v>46107</v>
      </c>
      <c r="E113" s="22" cm="1">
        <f t="array" ref="E113">IF(ROWS($E$7:E113)&gt;COUNTIF('[1]U$S'!$H$5:$H$1008,$L$5),"",INDEX(CuentaUS,_xlfn.AGGREGATE(15,6,ROW('[1]U$S'!$H$5:$H$1008)-ROW('[1]U$S'!$O$5)+1/--('[1]U$S'!$H$5:$H$1008=$L$5),ROWS($E$7:E113)),6))</f>
        <v>1236.3900000000001</v>
      </c>
      <c r="F113" s="22">
        <f>IF(E113="","",IF(E113&gt;0,SUMIFS('[1]UY$'!$L$5:$L$993,'[1]UY$'!$O$5:$O$993,"Cambio",'[1]UY$'!$E$5:$E$993,'Efecto TC'!D113),""))</f>
        <v>50000</v>
      </c>
      <c r="G113" s="23">
        <f t="shared" si="21"/>
        <v>40.440314140360236</v>
      </c>
      <c r="H113" s="22">
        <f t="shared" si="22"/>
        <v>-45.913809523809732</v>
      </c>
      <c r="I113" s="22">
        <f t="shared" si="20"/>
        <v>-343265.78047619073</v>
      </c>
      <c r="R113" s="24">
        <f t="shared" si="23"/>
        <v>1.4527941041594548E-4</v>
      </c>
      <c r="S113" s="25">
        <f t="shared" si="19"/>
        <v>5.8751449953471585E-3</v>
      </c>
    </row>
    <row r="114" spans="1:19" x14ac:dyDescent="0.25">
      <c r="A114">
        <f t="shared" si="16"/>
        <v>4</v>
      </c>
      <c r="B114">
        <f t="shared" si="17"/>
        <v>2026</v>
      </c>
      <c r="D114" s="21" cm="1">
        <f t="array" ref="D114">IF(ROWS($D$7:D114)&gt;COUNTIF('[1]U$S'!$H$5:$H$1008,$L$5),"",INDEX(CuentaUS,_xlfn.AGGREGATE(15,6,ROW('[1]U$S'!$H$5:$H$1008)-ROW('[1]U$S'!$O$5)+1/--('[1]U$S'!$H$5:$H$1008=$L$5),ROWS($D$7:D114)),1))</f>
        <v>46125</v>
      </c>
      <c r="E114" s="22" cm="1">
        <f t="array" ref="E114">IF(ROWS($E$7:E114)&gt;COUNTIF('[1]U$S'!$H$5:$H$1008,$L$5),"",INDEX(CuentaUS,_xlfn.AGGREGATE(15,6,ROW('[1]U$S'!$H$5:$H$1008)-ROW('[1]U$S'!$O$5)+1/--('[1]U$S'!$H$5:$H$1008=$L$5),ROWS($E$7:E114)),6))</f>
        <v>2503.12</v>
      </c>
      <c r="F114" s="22">
        <f>IF(E114="","",IF(E114&gt;0,SUMIFS('[1]UY$'!$L$5:$L$993,'[1]UY$'!$O$5:$O$993,"Cambio",'[1]UY$'!$E$5:$E$993,'Efecto TC'!D114),""))</f>
        <v>100000</v>
      </c>
      <c r="G114" s="23">
        <f t="shared" si="21"/>
        <v>39.950142222506315</v>
      </c>
      <c r="H114" s="22">
        <f t="shared" si="22"/>
        <v>-122.16761904761916</v>
      </c>
      <c r="I114" s="22">
        <f t="shared" si="20"/>
        <v>-343387.94809523836</v>
      </c>
      <c r="R114" s="24">
        <f t="shared" si="23"/>
        <v>2.9412385881506754E-4</v>
      </c>
      <c r="S114" s="25">
        <f t="shared" si="19"/>
        <v>1.1750289990694315E-2</v>
      </c>
    </row>
    <row r="115" spans="1:19" x14ac:dyDescent="0.25">
      <c r="A115">
        <f t="shared" si="16"/>
        <v>4</v>
      </c>
      <c r="B115">
        <f t="shared" si="17"/>
        <v>2026</v>
      </c>
      <c r="D115" s="21" cm="1">
        <f t="array" ref="D115">IF(ROWS($D$7:D115)&gt;COUNTIF('[1]U$S'!$H$5:$H$1008,$L$5),"",INDEX(CuentaUS,_xlfn.AGGREGATE(15,6,ROW('[1]U$S'!$H$5:$H$1008)-ROW('[1]U$S'!$O$5)+1/--('[1]U$S'!$H$5:$H$1008=$L$5),ROWS($D$7:D115)),1))</f>
        <v>46136</v>
      </c>
      <c r="E115" s="22" cm="1">
        <f t="array" ref="E115">IF(ROWS($E$7:E115)&gt;COUNTIF('[1]U$S'!$H$5:$H$1008,$L$5),"",INDEX(CuentaUS,_xlfn.AGGREGATE(15,6,ROW('[1]U$S'!$H$5:$H$1008)-ROW('[1]U$S'!$O$5)+1/--('[1]U$S'!$H$5:$H$1008=$L$5),ROWS($E$7:E115)),6))</f>
        <v>89480.35</v>
      </c>
      <c r="F115" s="22">
        <f>IF(E115="","",IF(E115&gt;0,SUMIFS('[1]UY$'!$L$5:$L$993,'[1]UY$'!$O$5:$O$993,"Cambio",'[1]UY$'!$E$5:$E$993,'Efecto TC'!D115),""))</f>
        <v>3530000</v>
      </c>
      <c r="G115" s="23">
        <f t="shared" si="21"/>
        <v>39.450002151310315</v>
      </c>
      <c r="H115" s="22">
        <f t="shared" si="22"/>
        <v>-5432.7309523809527</v>
      </c>
      <c r="I115" s="22">
        <f t="shared" si="20"/>
        <v>-348820.67904761934</v>
      </c>
      <c r="R115" s="24">
        <f t="shared" si="23"/>
        <v>1.0514200609688242E-2</v>
      </c>
      <c r="S115" s="25">
        <f t="shared" si="19"/>
        <v>0.41478523667150941</v>
      </c>
    </row>
    <row r="116" spans="1:19" x14ac:dyDescent="0.25">
      <c r="A116">
        <f t="shared" si="16"/>
        <v>4</v>
      </c>
      <c r="B116">
        <f t="shared" si="17"/>
        <v>2026</v>
      </c>
      <c r="D116" s="21" cm="1">
        <f t="array" ref="D116">IF(ROWS($D$7:D116)&gt;COUNTIF('[1]U$S'!$H$5:$H$1008,$L$5),"",INDEX(CuentaUS,_xlfn.AGGREGATE(15,6,ROW('[1]U$S'!$H$5:$H$1008)-ROW('[1]U$S'!$O$5)+1/--('[1]U$S'!$H$5:$H$1008=$L$5),ROWS($D$7:D116)),1))</f>
        <v>46141</v>
      </c>
      <c r="E116" s="22" cm="1">
        <f t="array" ref="E116">IF(ROWS($E$7:E116)&gt;COUNTIF('[1]U$S'!$H$5:$H$1008,$L$5),"",INDEX(CuentaUS,_xlfn.AGGREGATE(15,6,ROW('[1]U$S'!$H$5:$H$1008)-ROW('[1]U$S'!$O$5)+1/--('[1]U$S'!$H$5:$H$1008=$L$5),ROWS($E$7:E116)),6))</f>
        <v>4342.43</v>
      </c>
      <c r="F116" s="22">
        <f>IF(E116="","",IF(E116&gt;0,SUMIFS('[1]UY$'!$L$5:$L$993,'[1]UY$'!$O$5:$O$993,"Cambio",'[1]UY$'!$E$5:$E$993,'Efecto TC'!D116),""))</f>
        <v>175000</v>
      </c>
      <c r="G116" s="23">
        <f t="shared" si="21"/>
        <v>40.300016350292346</v>
      </c>
      <c r="H116" s="22">
        <f t="shared" si="22"/>
        <v>-175.76333333333332</v>
      </c>
      <c r="I116" s="22">
        <f t="shared" si="20"/>
        <v>-348996.44238095265</v>
      </c>
      <c r="R116" s="24">
        <f t="shared" si="23"/>
        <v>5.1024811764290728E-4</v>
      </c>
      <c r="S116" s="25">
        <f t="shared" si="19"/>
        <v>2.0563007483715055E-2</v>
      </c>
    </row>
    <row r="117" spans="1:19" x14ac:dyDescent="0.25">
      <c r="A117">
        <f t="shared" si="16"/>
        <v>4</v>
      </c>
      <c r="B117">
        <f t="shared" si="17"/>
        <v>2026</v>
      </c>
      <c r="D117" s="21" cm="1">
        <f t="array" ref="D117">IF(ROWS($D$7:D117)&gt;COUNTIF('[1]U$S'!$H$5:$H$1008,$L$5),"",INDEX(CuentaUS,_xlfn.AGGREGATE(15,6,ROW('[1]U$S'!$H$5:$H$1008)-ROW('[1]U$S'!$O$5)+1/--('[1]U$S'!$H$5:$H$1008=$L$5),ROWS($D$7:D117)),1))</f>
        <v>46142</v>
      </c>
      <c r="E117" s="22" cm="1">
        <f t="array" ref="E117">IF(ROWS($E$7:E117)&gt;COUNTIF('[1]U$S'!$H$5:$H$1008,$L$5),"",INDEX(CuentaUS,_xlfn.AGGREGATE(15,6,ROW('[1]U$S'!$H$5:$H$1008)-ROW('[1]U$S'!$O$5)+1/--('[1]U$S'!$H$5:$H$1008=$L$5),ROWS($E$7:E117)),6))</f>
        <v>17786.060000000001</v>
      </c>
      <c r="F117" s="22">
        <f>IF(E117="","",IF(E117&gt;0,SUMIFS('[1]UY$'!$L$5:$L$993,'[1]UY$'!$O$5:$O$993,"Cambio",'[1]UY$'!$E$5:$E$993,'Efecto TC'!D117),""))</f>
        <v>715000</v>
      </c>
      <c r="G117" s="23">
        <f t="shared" si="21"/>
        <v>40.200021814837008</v>
      </c>
      <c r="H117" s="22">
        <f t="shared" si="22"/>
        <v>-762.25047619047837</v>
      </c>
      <c r="I117" s="22">
        <f t="shared" si="20"/>
        <v>-349758.69285714312</v>
      </c>
      <c r="R117" s="24">
        <f t="shared" si="23"/>
        <v>2.0899136279188858E-3</v>
      </c>
      <c r="S117" s="25">
        <f t="shared" si="19"/>
        <v>8.4014573433464371E-2</v>
      </c>
    </row>
    <row r="118" spans="1:19" x14ac:dyDescent="0.25">
      <c r="A118">
        <f t="shared" si="16"/>
        <v>5</v>
      </c>
      <c r="B118">
        <f t="shared" si="17"/>
        <v>2026</v>
      </c>
      <c r="D118" s="21" cm="1">
        <f t="array" ref="D118">IF(ROWS($D$7:D118)&gt;COUNTIF('[1]U$S'!$H$5:$H$1008,$L$5),"",INDEX(CuentaUS,_xlfn.AGGREGATE(15,6,ROW('[1]U$S'!$H$5:$H$1008)-ROW('[1]U$S'!$O$5)+1/--('[1]U$S'!$H$5:$H$1008=$L$5),ROWS($D$7:D118)),1))</f>
        <v>46147</v>
      </c>
      <c r="E118" s="22" cm="1">
        <f t="array" ref="E118">IF(ROWS($E$7:E118)&gt;COUNTIF('[1]U$S'!$H$5:$H$1008,$L$5),"",INDEX(CuentaUS,_xlfn.AGGREGATE(15,6,ROW('[1]U$S'!$H$5:$H$1008)-ROW('[1]U$S'!$O$5)+1/--('[1]U$S'!$H$5:$H$1008=$L$5),ROWS($E$7:E118)),6))</f>
        <v>323735.59999999998</v>
      </c>
      <c r="F118" s="22">
        <f>IF(E118="","",IF(E118&gt;0,SUMIFS('[1]UY$'!$L$5:$L$993,'[1]UY$'!$O$5:$O$993,"Cambio",'[1]UY$'!$E$5:$E$993,'Efecto TC'!D118),""))</f>
        <v>12930000</v>
      </c>
      <c r="G118" s="23">
        <f t="shared" si="21"/>
        <v>39.940000420095906</v>
      </c>
      <c r="H118" s="22">
        <f t="shared" si="22"/>
        <v>-15878.457142857136</v>
      </c>
      <c r="I118" s="22">
        <f t="shared" si="20"/>
        <v>-365637.15000000026</v>
      </c>
      <c r="R118" s="24">
        <f t="shared" si="23"/>
        <v>3.8039871803114189E-2</v>
      </c>
      <c r="S118" s="25">
        <f t="shared" si="19"/>
        <v>1.5193124957967752</v>
      </c>
    </row>
    <row r="119" spans="1:19" x14ac:dyDescent="0.25">
      <c r="A119">
        <f t="shared" si="16"/>
        <v>5</v>
      </c>
      <c r="B119">
        <f t="shared" si="17"/>
        <v>2026</v>
      </c>
      <c r="D119" s="21" cm="1">
        <f t="array" ref="D119">IF(ROWS($D$7:D119)&gt;COUNTIF('[1]U$S'!$H$5:$H$1008,$L$5),"",INDEX(CuentaUS,_xlfn.AGGREGATE(15,6,ROW('[1]U$S'!$H$5:$H$1008)-ROW('[1]U$S'!$O$5)+1/--('[1]U$S'!$H$5:$H$1008=$L$5),ROWS($D$7:D119)),1))</f>
        <v>46155</v>
      </c>
      <c r="E119" s="22" cm="1">
        <f t="array" ref="E119">IF(ROWS($E$7:E119)&gt;COUNTIF('[1]U$S'!$H$5:$H$1008,$L$5),"",INDEX(CuentaUS,_xlfn.AGGREGATE(15,6,ROW('[1]U$S'!$H$5:$H$1008)-ROW('[1]U$S'!$O$5)+1/--('[1]U$S'!$H$5:$H$1008=$L$5),ROWS($E$7:E119)),6))</f>
        <v>4375</v>
      </c>
      <c r="F119" s="22">
        <f>IF(E119="","",IF(E119&gt;0,SUMIFS('[1]UY$'!$L$5:$L$993,'[1]UY$'!$O$5:$O$993,"Cambio",'[1]UY$'!$E$5:$E$993,'Efecto TC'!D119),""))</f>
        <v>175000</v>
      </c>
      <c r="G119" s="23">
        <f t="shared" si="21"/>
        <v>40</v>
      </c>
      <c r="H119" s="22">
        <f t="shared" si="22"/>
        <v>-208.33333333333303</v>
      </c>
      <c r="I119" s="22">
        <f t="shared" si="20"/>
        <v>-365845.48333333357</v>
      </c>
      <c r="R119" s="24">
        <f t="shared" si="23"/>
        <v>5.1407518709287636E-4</v>
      </c>
      <c r="S119" s="25">
        <f t="shared" si="19"/>
        <v>2.0563007483715055E-2</v>
      </c>
    </row>
    <row r="120" spans="1:19" x14ac:dyDescent="0.25">
      <c r="A120">
        <f t="shared" si="16"/>
        <v>5</v>
      </c>
      <c r="B120">
        <f t="shared" si="17"/>
        <v>2026</v>
      </c>
      <c r="D120" s="21" cm="1">
        <f t="array" ref="D120">IF(ROWS($D$7:D120)&gt;COUNTIF('[1]U$S'!$H$5:$H$1008,$L$5),"",INDEX(CuentaUS,_xlfn.AGGREGATE(15,6,ROW('[1]U$S'!$H$5:$H$1008)-ROW('[1]U$S'!$O$5)+1/--('[1]U$S'!$H$5:$H$1008=$L$5),ROWS($D$7:D120)),1))</f>
        <v>46163</v>
      </c>
      <c r="E120" s="22" cm="1">
        <f t="array" ref="E120">IF(ROWS($E$7:E120)&gt;COUNTIF('[1]U$S'!$H$5:$H$1008,$L$5),"",INDEX(CuentaUS,_xlfn.AGGREGATE(15,6,ROW('[1]U$S'!$H$5:$H$1008)-ROW('[1]U$S'!$O$5)+1/--('[1]U$S'!$H$5:$H$1008=$L$5),ROWS($E$7:E120)),6))</f>
        <v>286415.09000000003</v>
      </c>
      <c r="F120" s="22">
        <f>IF(E120="","",IF(E120&gt;0,SUMIFS('[1]UY$'!$L$5:$L$993,'[1]UY$'!$O$5:$O$993,"Cambio",'[1]UY$'!$E$5:$E$993,'Efecto TC'!D120),""))</f>
        <v>11385000</v>
      </c>
      <c r="G120" s="23">
        <f t="shared" si="21"/>
        <v>39.750000602272735</v>
      </c>
      <c r="H120" s="22">
        <f t="shared" si="22"/>
        <v>-15343.661428571446</v>
      </c>
      <c r="I120" s="22">
        <f t="shared" si="20"/>
        <v>-381189.14476190502</v>
      </c>
      <c r="R120" s="24">
        <f t="shared" si="23"/>
        <v>3.3654603652108123E-2</v>
      </c>
      <c r="S120" s="25">
        <f t="shared" si="19"/>
        <v>1.3377705154405481</v>
      </c>
    </row>
    <row r="121" spans="1:19" x14ac:dyDescent="0.25">
      <c r="A121">
        <f t="shared" si="16"/>
        <v>5</v>
      </c>
      <c r="B121">
        <f t="shared" si="17"/>
        <v>2026</v>
      </c>
      <c r="D121" s="21" cm="1">
        <f t="array" ref="D121">IF(ROWS($D$7:D121)&gt;COUNTIF('[1]U$S'!$H$5:$H$1008,$L$5),"",INDEX(CuentaUS,_xlfn.AGGREGATE(15,6,ROW('[1]U$S'!$H$5:$H$1008)-ROW('[1]U$S'!$O$5)+1/--('[1]U$S'!$H$5:$H$1008=$L$5),ROWS($D$7:D121)),1))</f>
        <v>46167</v>
      </c>
      <c r="E121" s="22" cm="1">
        <f t="array" ref="E121">IF(ROWS($E$7:E121)&gt;COUNTIF('[1]U$S'!$H$5:$H$1008,$L$5),"",INDEX(CuentaUS,_xlfn.AGGREGATE(15,6,ROW('[1]U$S'!$H$5:$H$1008)-ROW('[1]U$S'!$O$5)+1/--('[1]U$S'!$H$5:$H$1008=$L$5),ROWS($E$7:E121)),6))</f>
        <v>102002.5</v>
      </c>
      <c r="F121" s="22">
        <f>IF(E121="","",IF(E121&gt;0,SUMIFS('[1]UY$'!$L$5:$L$993,'[1]UY$'!$O$5:$O$993,"Cambio",'[1]UY$'!$E$5:$E$993,'Efecto TC'!D121),""))</f>
        <v>4075000</v>
      </c>
      <c r="G121" s="23">
        <f t="shared" si="21"/>
        <v>39.950001225460163</v>
      </c>
      <c r="H121" s="22">
        <f t="shared" si="22"/>
        <v>-4978.6904761904734</v>
      </c>
      <c r="I121" s="22">
        <f t="shared" si="20"/>
        <v>-386167.83523809549</v>
      </c>
      <c r="R121" s="24">
        <f t="shared" si="23"/>
        <v>1.1985589547757971E-2</v>
      </c>
      <c r="S121" s="25">
        <f t="shared" si="19"/>
        <v>0.47882431712079343</v>
      </c>
    </row>
    <row r="122" spans="1:19" x14ac:dyDescent="0.25">
      <c r="A122">
        <f t="shared" si="16"/>
        <v>5</v>
      </c>
      <c r="B122">
        <f t="shared" si="17"/>
        <v>2026</v>
      </c>
      <c r="D122" s="21" cm="1">
        <f t="array" ref="D122">IF(ROWS($D$7:D122)&gt;COUNTIF('[1]U$S'!$H$5:$H$1008,$L$5),"",INDEX(CuentaUS,_xlfn.AGGREGATE(15,6,ROW('[1]U$S'!$H$5:$H$1008)-ROW('[1]U$S'!$O$5)+1/--('[1]U$S'!$H$5:$H$1008=$L$5),ROWS($D$7:D122)),1))</f>
        <v>46170</v>
      </c>
      <c r="E122" s="22" cm="1">
        <f t="array" ref="E122">IF(ROWS($E$7:E122)&gt;COUNTIF('[1]U$S'!$H$5:$H$1008,$L$5),"",INDEX(CuentaUS,_xlfn.AGGREGATE(15,6,ROW('[1]U$S'!$H$5:$H$1008)-ROW('[1]U$S'!$O$5)+1/--('[1]U$S'!$H$5:$H$1008=$L$5),ROWS($E$7:E122)),6))</f>
        <v>2496.87</v>
      </c>
      <c r="F122" s="22">
        <f>IF(E122="","",IF(E122&gt;0,SUMIFS('[1]UY$'!$L$5:$L$993,'[1]UY$'!$O$5:$O$993,"Cambio",'[1]UY$'!$E$5:$E$993,'Efecto TC'!D122),""))</f>
        <v>100000</v>
      </c>
      <c r="G122" s="23">
        <f t="shared" si="21"/>
        <v>40.05014277875901</v>
      </c>
      <c r="H122" s="22">
        <f t="shared" si="22"/>
        <v>-115.91761904761916</v>
      </c>
      <c r="I122" s="22">
        <f t="shared" si="20"/>
        <v>-386283.75285714312</v>
      </c>
      <c r="R122" s="24">
        <f t="shared" si="23"/>
        <v>2.9338946569064915E-4</v>
      </c>
      <c r="S122" s="25">
        <f t="shared" si="19"/>
        <v>1.1750289990694317E-2</v>
      </c>
    </row>
    <row r="123" spans="1:19" x14ac:dyDescent="0.25">
      <c r="A123">
        <f t="shared" si="16"/>
        <v>6</v>
      </c>
      <c r="B123">
        <f t="shared" si="17"/>
        <v>2026</v>
      </c>
      <c r="D123" s="21" cm="1">
        <f t="array" ref="D123">IF(ROWS($D$7:D123)&gt;COUNTIF('[1]U$S'!$H$5:$H$1008,$L$5),"",INDEX(CuentaUS,_xlfn.AGGREGATE(15,6,ROW('[1]U$S'!$H$5:$H$1008)-ROW('[1]U$S'!$O$5)+1/--('[1]U$S'!$H$5:$H$1008=$L$5),ROWS($D$7:D123)),1))</f>
        <v>46175</v>
      </c>
      <c r="E123" s="22" cm="1">
        <f t="array" ref="E123">IF(ROWS($E$7:E123)&gt;COUNTIF('[1]U$S'!$H$5:$H$1008,$L$5),"",INDEX(CuentaUS,_xlfn.AGGREGATE(15,6,ROW('[1]U$S'!$H$5:$H$1008)-ROW('[1]U$S'!$O$5)+1/--('[1]U$S'!$H$5:$H$1008=$L$5),ROWS($E$7:E123)),6))</f>
        <v>1246.8800000000001</v>
      </c>
      <c r="F123" s="22">
        <f>IF(E123="","",IF(E123&gt;0,SUMIFS('[1]UY$'!$L$5:$L$993,'[1]UY$'!$O$5:$O$993,"Cambio",'[1]UY$'!$E$5:$E$993,'Efecto TC'!D123),""))</f>
        <v>50000</v>
      </c>
      <c r="G123" s="23">
        <f t="shared" si="21"/>
        <v>40.100089824201206</v>
      </c>
      <c r="H123" s="22">
        <f t="shared" si="22"/>
        <v>-56.403809523809741</v>
      </c>
      <c r="I123" s="22">
        <f t="shared" si="20"/>
        <v>-386340.15666666691</v>
      </c>
      <c r="R123" s="24">
        <f t="shared" si="23"/>
        <v>1.4651201583596929E-4</v>
      </c>
      <c r="S123" s="25">
        <f t="shared" si="19"/>
        <v>5.8751449953471577E-3</v>
      </c>
    </row>
    <row r="124" spans="1:19" x14ac:dyDescent="0.25">
      <c r="A124">
        <f t="shared" si="16"/>
        <v>6</v>
      </c>
      <c r="B124">
        <f t="shared" si="17"/>
        <v>2026</v>
      </c>
      <c r="D124" s="21" cm="1">
        <f t="array" ref="D124">IF(ROWS($D$7:D124)&gt;COUNTIF('[1]U$S'!$H$5:$H$1008,$L$5),"",INDEX(CuentaUS,_xlfn.AGGREGATE(15,6,ROW('[1]U$S'!$H$5:$H$1008)-ROW('[1]U$S'!$O$5)+1/--('[1]U$S'!$H$5:$H$1008=$L$5),ROWS($D$7:D124)),1))</f>
        <v>46195</v>
      </c>
      <c r="E124" s="22" cm="1">
        <f t="array" ref="E124">IF(ROWS($E$7:E124)&gt;COUNTIF('[1]U$S'!$H$5:$H$1008,$L$5),"",INDEX(CuentaUS,_xlfn.AGGREGATE(15,6,ROW('[1]U$S'!$H$5:$H$1008)-ROW('[1]U$S'!$O$5)+1/--('[1]U$S'!$H$5:$H$1008=$L$5),ROWS($E$7:E124)),6))</f>
        <v>98750</v>
      </c>
      <c r="F124" s="22">
        <f>IF(E124="","",IF(E124&gt;0,SUMIFS('[1]UY$'!$L$5:$L$993,'[1]UY$'!$O$5:$O$993,"Cambio",'[1]UY$'!$E$5:$E$993,'Efecto TC'!D124),""))</f>
        <v>3950000</v>
      </c>
      <c r="G124" s="23">
        <f t="shared" si="21"/>
        <v>40</v>
      </c>
      <c r="H124" s="22">
        <f t="shared" si="22"/>
        <v>-4702.3809523809468</v>
      </c>
      <c r="I124" s="22">
        <f t="shared" si="20"/>
        <v>-391042.53761904786</v>
      </c>
      <c r="R124" s="24">
        <f t="shared" si="23"/>
        <v>1.1603411365810638E-2</v>
      </c>
      <c r="S124" s="25">
        <f t="shared" si="19"/>
        <v>0.46413645463242553</v>
      </c>
    </row>
    <row r="125" spans="1:19" x14ac:dyDescent="0.25">
      <c r="A125">
        <f t="shared" si="16"/>
        <v>6</v>
      </c>
      <c r="B125">
        <f t="shared" si="17"/>
        <v>2026</v>
      </c>
      <c r="D125" s="21" cm="1">
        <f t="array" ref="D125">IF(ROWS($D$7:D125)&gt;COUNTIF('[1]U$S'!$H$5:$H$1008,$L$5),"",INDEX(CuentaUS,_xlfn.AGGREGATE(15,6,ROW('[1]U$S'!$H$5:$H$1008)-ROW('[1]U$S'!$O$5)+1/--('[1]U$S'!$H$5:$H$1008=$L$5),ROWS($D$7:D125)),1))</f>
        <v>46198</v>
      </c>
      <c r="E125" s="22" cm="1">
        <f t="array" ref="E125">IF(ROWS($E$7:E125)&gt;COUNTIF('[1]U$S'!$H$5:$H$1008,$L$5),"",INDEX(CuentaUS,_xlfn.AGGREGATE(15,6,ROW('[1]U$S'!$H$5:$H$1008)-ROW('[1]U$S'!$O$5)+1/--('[1]U$S'!$H$5:$H$1008=$L$5),ROWS($E$7:E125)),6))</f>
        <v>317762.83</v>
      </c>
      <c r="F125" s="22">
        <f>IF(E125="","",IF(E125&gt;0,SUMIFS('[1]UY$'!$L$5:$L$993,'[1]UY$'!$O$5:$O$993,"Cambio",'[1]UY$'!$E$5:$E$993,'Efecto TC'!D125),""))</f>
        <v>12755000</v>
      </c>
      <c r="G125" s="23">
        <f t="shared" si="21"/>
        <v>40.140000011958605</v>
      </c>
      <c r="H125" s="22">
        <f t="shared" si="22"/>
        <v>-14072.353809523804</v>
      </c>
      <c r="I125" s="22">
        <f t="shared" si="20"/>
        <v>-405114.89142857166</v>
      </c>
      <c r="R125" s="24">
        <f t="shared" si="23"/>
        <v>3.7338054007636998E-2</v>
      </c>
      <c r="S125" s="25">
        <f t="shared" si="19"/>
        <v>1.4987494883130601</v>
      </c>
    </row>
    <row r="126" spans="1:19" x14ac:dyDescent="0.25">
      <c r="A126">
        <f t="shared" si="16"/>
        <v>6</v>
      </c>
      <c r="B126">
        <f t="shared" si="17"/>
        <v>2026</v>
      </c>
      <c r="D126" s="21" cm="1">
        <f t="array" ref="D126">IF(ROWS($D$7:D126)&gt;COUNTIF('[1]U$S'!$H$5:$H$1008,$L$5),"",INDEX(CuentaUS,_xlfn.AGGREGATE(15,6,ROW('[1]U$S'!$H$5:$H$1008)-ROW('[1]U$S'!$O$5)+1/--('[1]U$S'!$H$5:$H$1008=$L$5),ROWS($D$7:D126)),1))</f>
        <v>46203</v>
      </c>
      <c r="E126" s="22" cm="1">
        <f t="array" ref="E126">IF(ROWS($E$7:E126)&gt;COUNTIF('[1]U$S'!$H$5:$H$1008,$L$5),"",INDEX(CuentaUS,_xlfn.AGGREGATE(15,6,ROW('[1]U$S'!$H$5:$H$1008)-ROW('[1]U$S'!$O$5)+1/--('[1]U$S'!$H$5:$H$1008=$L$5),ROWS($E$7:E126)),6))</f>
        <v>10741.94</v>
      </c>
      <c r="F126" s="22">
        <f>IF(E126="","",IF(E126&gt;0,SUMIFS('[1]UY$'!$L$5:$L$993,'[1]UY$'!$O$5:$O$993,"Cambio",'[1]UY$'!$E$5:$E$993,'Efecto TC'!D126),""))</f>
        <v>430000</v>
      </c>
      <c r="G126" s="23">
        <f t="shared" si="21"/>
        <v>40.03001320059505</v>
      </c>
      <c r="H126" s="22">
        <f t="shared" si="22"/>
        <v>-503.84476190476198</v>
      </c>
      <c r="I126" s="22">
        <f t="shared" si="20"/>
        <v>-405618.7361904764</v>
      </c>
      <c r="R126" s="24">
        <f t="shared" si="23"/>
        <v>1.2622091006263892E-3</v>
      </c>
      <c r="S126" s="25">
        <f t="shared" si="19"/>
        <v>5.0526246959985567E-2</v>
      </c>
    </row>
    <row r="127" spans="1:19" x14ac:dyDescent="0.25">
      <c r="A127" t="e">
        <f t="shared" si="16"/>
        <v>#VALUE!</v>
      </c>
      <c r="B127" t="e">
        <f t="shared" si="17"/>
        <v>#VALUE!</v>
      </c>
      <c r="D127" s="21" t="str" cm="1">
        <f t="array" ref="D127">IF(ROWS($D$7:D127)&gt;COUNTIF('[1]U$S'!$H$5:$H$1008,$L$5),"",INDEX(CuentaUS,_xlfn.AGGREGATE(15,6,ROW('[1]U$S'!$H$5:$H$1008)-ROW('[1]U$S'!$O$5)+1/--('[1]U$S'!$H$5:$H$1008=$L$5),ROWS($D$7:D127)),1))</f>
        <v/>
      </c>
      <c r="E127" s="22" t="str" cm="1">
        <f t="array" ref="E127">IF(ROWS($E$7:E127)&gt;COUNTIF('[1]U$S'!$H$5:$H$1008,$L$5),"",INDEX(CuentaUS,_xlfn.AGGREGATE(15,6,ROW('[1]U$S'!$H$5:$H$1008)-ROW('[1]U$S'!$O$5)+1/--('[1]U$S'!$H$5:$H$1008=$L$5),ROWS($E$7:E127)),6))</f>
        <v/>
      </c>
      <c r="F127" s="22" t="str">
        <f>IF(E127="","",IF(E127&gt;0,SUMIFS('[1]UY$'!$L$5:$L$993,'[1]UY$'!$O$5:$O$993,"Cambio",'[1]UY$'!$E$5:$E$993,'Efecto TC'!D127),""))</f>
        <v/>
      </c>
      <c r="G127" s="23" t="str">
        <f t="shared" si="21"/>
        <v/>
      </c>
      <c r="H127" s="22" t="str">
        <f t="shared" si="22"/>
        <v/>
      </c>
      <c r="I127" s="22" t="str">
        <f t="shared" si="20"/>
        <v/>
      </c>
      <c r="R127" s="24" t="e">
        <f t="shared" si="23"/>
        <v>#VALUE!</v>
      </c>
      <c r="S127" s="25" t="e">
        <f t="shared" si="19"/>
        <v>#VALUE!</v>
      </c>
    </row>
    <row r="128" spans="1:19" x14ac:dyDescent="0.25">
      <c r="A128" t="e">
        <f t="shared" si="16"/>
        <v>#VALUE!</v>
      </c>
      <c r="B128" t="e">
        <f t="shared" si="17"/>
        <v>#VALUE!</v>
      </c>
      <c r="D128" s="21" t="str" cm="1">
        <f t="array" ref="D128">IF(ROWS($D$7:D128)&gt;COUNTIF('[1]U$S'!$H$5:$H$1008,$L$5),"",INDEX(CuentaUS,_xlfn.AGGREGATE(15,6,ROW('[1]U$S'!$H$5:$H$1008)-ROW('[1]U$S'!$O$5)+1/--('[1]U$S'!$H$5:$H$1008=$L$5),ROWS($D$7:D128)),1))</f>
        <v/>
      </c>
      <c r="E128" s="22" t="str" cm="1">
        <f t="array" ref="E128">IF(ROWS($E$7:E128)&gt;COUNTIF('[1]U$S'!$H$5:$H$1008,$L$5),"",INDEX(CuentaUS,_xlfn.AGGREGATE(15,6,ROW('[1]U$S'!$H$5:$H$1008)-ROW('[1]U$S'!$O$5)+1/--('[1]U$S'!$H$5:$H$1008=$L$5),ROWS($E$7:E128)),6))</f>
        <v/>
      </c>
      <c r="F128" s="22" t="str">
        <f>IF(E128="","",IF(E128&gt;0,SUMIFS('[1]UY$'!$L$5:$L$993,'[1]UY$'!$O$5:$O$993,"Cambio",'[1]UY$'!$E$5:$E$993,'Efecto TC'!D128),""))</f>
        <v/>
      </c>
      <c r="G128" s="23" t="str">
        <f t="shared" si="21"/>
        <v/>
      </c>
      <c r="H128" s="22" t="str">
        <f t="shared" si="22"/>
        <v/>
      </c>
      <c r="I128" s="22" t="str">
        <f t="shared" si="20"/>
        <v/>
      </c>
      <c r="R128" s="24" t="e">
        <f t="shared" si="23"/>
        <v>#VALUE!</v>
      </c>
      <c r="S128" s="25" t="e">
        <f t="shared" si="19"/>
        <v>#VALUE!</v>
      </c>
    </row>
    <row r="129" spans="1:19" x14ac:dyDescent="0.25">
      <c r="A129" t="e">
        <f t="shared" si="16"/>
        <v>#VALUE!</v>
      </c>
      <c r="B129" t="e">
        <f t="shared" si="17"/>
        <v>#VALUE!</v>
      </c>
      <c r="D129" s="21" t="str" cm="1">
        <f t="array" ref="D129">IF(ROWS($D$7:D129)&gt;COUNTIF('[1]U$S'!$H$5:$H$1008,$L$5),"",INDEX(CuentaUS,_xlfn.AGGREGATE(15,6,ROW('[1]U$S'!$H$5:$H$1008)-ROW('[1]U$S'!$O$5)+1/--('[1]U$S'!$H$5:$H$1008=$L$5),ROWS($D$7:D129)),1))</f>
        <v/>
      </c>
      <c r="E129" s="22" t="str" cm="1">
        <f t="array" ref="E129">IF(ROWS($E$7:E129)&gt;COUNTIF('[1]U$S'!$H$5:$H$1008,$L$5),"",INDEX(CuentaUS,_xlfn.AGGREGATE(15,6,ROW('[1]U$S'!$H$5:$H$1008)-ROW('[1]U$S'!$O$5)+1/--('[1]U$S'!$H$5:$H$1008=$L$5),ROWS($E$7:E129)),6))</f>
        <v/>
      </c>
      <c r="F129" s="22" t="str">
        <f>IF(E129="","",IF(E129&gt;0,SUMIFS('[1]UY$'!$L$5:$L$993,'[1]UY$'!$O$5:$O$993,"Cambio",'[1]UY$'!$E$5:$E$993,'Efecto TC'!D129),""))</f>
        <v/>
      </c>
      <c r="G129" s="23" t="str">
        <f t="shared" si="21"/>
        <v/>
      </c>
      <c r="H129" s="22" t="str">
        <f t="shared" si="22"/>
        <v/>
      </c>
      <c r="I129" s="22" t="str">
        <f t="shared" si="20"/>
        <v/>
      </c>
      <c r="R129" s="24" t="e">
        <f t="shared" si="23"/>
        <v>#VALUE!</v>
      </c>
      <c r="S129" s="25" t="e">
        <f t="shared" si="19"/>
        <v>#VALUE!</v>
      </c>
    </row>
    <row r="130" spans="1:19" x14ac:dyDescent="0.25">
      <c r="A130" t="e">
        <f t="shared" si="16"/>
        <v>#VALUE!</v>
      </c>
      <c r="B130" t="e">
        <f t="shared" si="17"/>
        <v>#VALUE!</v>
      </c>
      <c r="D130" s="21" t="str" cm="1">
        <f t="array" ref="D130">IF(ROWS($D$7:D130)&gt;COUNTIF('[1]U$S'!$H$5:$H$1008,$L$5),"",INDEX(CuentaUS,_xlfn.AGGREGATE(15,6,ROW('[1]U$S'!$H$5:$H$1008)-ROW('[1]U$S'!$O$5)+1/--('[1]U$S'!$H$5:$H$1008=$L$5),ROWS($D$7:D130)),1))</f>
        <v/>
      </c>
      <c r="E130" s="22" t="str" cm="1">
        <f t="array" ref="E130">IF(ROWS($E$7:E130)&gt;COUNTIF('[1]U$S'!$H$5:$H$1008,$L$5),"",INDEX(CuentaUS,_xlfn.AGGREGATE(15,6,ROW('[1]U$S'!$H$5:$H$1008)-ROW('[1]U$S'!$O$5)+1/--('[1]U$S'!$H$5:$H$1008=$L$5),ROWS($E$7:E130)),6))</f>
        <v/>
      </c>
      <c r="F130" s="22" t="str">
        <f>IF(E130="","",IF(E130&gt;0,SUMIFS('[1]UY$'!$L$5:$L$993,'[1]UY$'!$O$5:$O$993,"Cambio",'[1]UY$'!$E$5:$E$993,'Efecto TC'!D130),""))</f>
        <v/>
      </c>
      <c r="G130" s="23" t="str">
        <f t="shared" si="21"/>
        <v/>
      </c>
      <c r="H130" s="22" t="str">
        <f t="shared" si="22"/>
        <v/>
      </c>
      <c r="I130" s="22" t="str">
        <f t="shared" si="20"/>
        <v/>
      </c>
      <c r="R130" s="24" t="e">
        <f t="shared" si="23"/>
        <v>#VALUE!</v>
      </c>
      <c r="S130" s="25" t="e">
        <f t="shared" si="19"/>
        <v>#VALUE!</v>
      </c>
    </row>
    <row r="131" spans="1:19" x14ac:dyDescent="0.25">
      <c r="A131" t="e">
        <f t="shared" si="16"/>
        <v>#VALUE!</v>
      </c>
      <c r="B131" t="e">
        <f t="shared" si="17"/>
        <v>#VALUE!</v>
      </c>
      <c r="D131" s="21" t="str" cm="1">
        <f t="array" ref="D131">IF(ROWS($D$7:D131)&gt;COUNTIF('[1]U$S'!$H$5:$H$1008,$L$5),"",INDEX(CuentaUS,_xlfn.AGGREGATE(15,6,ROW('[1]U$S'!$H$5:$H$1008)-ROW('[1]U$S'!$O$5)+1/--('[1]U$S'!$H$5:$H$1008=$L$5),ROWS($D$7:D131)),1))</f>
        <v/>
      </c>
      <c r="E131" s="22" t="str" cm="1">
        <f t="array" ref="E131">IF(ROWS($E$7:E131)&gt;COUNTIF('[1]U$S'!$H$5:$H$1008,$L$5),"",INDEX(CuentaUS,_xlfn.AGGREGATE(15,6,ROW('[1]U$S'!$H$5:$H$1008)-ROW('[1]U$S'!$O$5)+1/--('[1]U$S'!$H$5:$H$1008=$L$5),ROWS($E$7:E131)),6))</f>
        <v/>
      </c>
      <c r="F131" s="22" t="str">
        <f>IF(E131="","",IF(E131&gt;0,SUMIFS('[1]UY$'!$L$5:$L$993,'[1]UY$'!$O$5:$O$993,"Cambio",'[1]UY$'!$E$5:$E$993,'Efecto TC'!D131),""))</f>
        <v/>
      </c>
      <c r="G131" s="23" t="str">
        <f t="shared" si="21"/>
        <v/>
      </c>
      <c r="H131" s="22" t="str">
        <f t="shared" si="22"/>
        <v/>
      </c>
      <c r="I131" s="22" t="str">
        <f t="shared" si="20"/>
        <v/>
      </c>
      <c r="R131" s="24" t="e">
        <f t="shared" si="23"/>
        <v>#VALUE!</v>
      </c>
      <c r="S131" s="25" t="e">
        <f t="shared" si="19"/>
        <v>#VALUE!</v>
      </c>
    </row>
    <row r="132" spans="1:19" x14ac:dyDescent="0.25">
      <c r="A132" t="e">
        <f t="shared" si="16"/>
        <v>#VALUE!</v>
      </c>
      <c r="B132" t="e">
        <f t="shared" si="17"/>
        <v>#VALUE!</v>
      </c>
      <c r="D132" s="21" t="str" cm="1">
        <f t="array" ref="D132">IF(ROWS($D$7:D132)&gt;COUNTIF('[1]U$S'!$H$5:$H$1008,$L$5),"",INDEX(CuentaUS,_xlfn.AGGREGATE(15,6,ROW('[1]U$S'!$H$5:$H$1008)-ROW('[1]U$S'!$O$5)+1/--('[1]U$S'!$H$5:$H$1008=$L$5),ROWS($D$7:D132)),1))</f>
        <v/>
      </c>
      <c r="E132" s="22" t="str" cm="1">
        <f t="array" ref="E132">IF(ROWS($E$7:E132)&gt;COUNTIF('[1]U$S'!$H$5:$H$1008,$L$5),"",INDEX(CuentaUS,_xlfn.AGGREGATE(15,6,ROW('[1]U$S'!$H$5:$H$1008)-ROW('[1]U$S'!$O$5)+1/--('[1]U$S'!$H$5:$H$1008=$L$5),ROWS($E$7:E132)),6))</f>
        <v/>
      </c>
      <c r="F132" s="22" t="str">
        <f>IF(E132="","",IF(E132&gt;0,SUMIFS('[1]UY$'!$L$5:$L$993,'[1]UY$'!$O$5:$O$993,"Cambio",'[1]UY$'!$E$5:$E$993,'Efecto TC'!D132),""))</f>
        <v/>
      </c>
      <c r="G132" s="23" t="str">
        <f t="shared" si="21"/>
        <v/>
      </c>
      <c r="H132" s="22" t="str">
        <f t="shared" si="22"/>
        <v/>
      </c>
      <c r="I132" s="22" t="str">
        <f t="shared" si="20"/>
        <v/>
      </c>
      <c r="R132" s="24" t="e">
        <f t="shared" si="23"/>
        <v>#VALUE!</v>
      </c>
      <c r="S132" s="25" t="e">
        <f t="shared" si="19"/>
        <v>#VALUE!</v>
      </c>
    </row>
    <row r="133" spans="1:19" x14ac:dyDescent="0.25">
      <c r="A133" t="e">
        <f t="shared" si="16"/>
        <v>#VALUE!</v>
      </c>
      <c r="B133" t="e">
        <f t="shared" si="17"/>
        <v>#VALUE!</v>
      </c>
      <c r="D133" s="21" t="str" cm="1">
        <f t="array" ref="D133">IF(ROWS($D$7:D133)&gt;COUNTIF('[1]U$S'!$H$5:$H$1008,$L$5),"",INDEX(CuentaUS,_xlfn.AGGREGATE(15,6,ROW('[1]U$S'!$H$5:$H$1008)-ROW('[1]U$S'!$O$5)+1/--('[1]U$S'!$H$5:$H$1008=$L$5),ROWS($D$7:D133)),1))</f>
        <v/>
      </c>
      <c r="E133" s="22" t="str" cm="1">
        <f t="array" ref="E133">IF(ROWS($E$7:E133)&gt;COUNTIF('[1]U$S'!$H$5:$H$1008,$L$5),"",INDEX(CuentaUS,_xlfn.AGGREGATE(15,6,ROW('[1]U$S'!$H$5:$H$1008)-ROW('[1]U$S'!$O$5)+1/--('[1]U$S'!$H$5:$H$1008=$L$5),ROWS($E$7:E133)),6))</f>
        <v/>
      </c>
      <c r="F133" s="22" t="str">
        <f>IF(E133="","",IF(E133&gt;0,SUMIFS('[1]UY$'!$L$5:$L$993,'[1]UY$'!$O$5:$O$993,"Cambio",'[1]UY$'!$E$5:$E$993,'Efecto TC'!D133),""))</f>
        <v/>
      </c>
      <c r="G133" s="23" t="str">
        <f t="shared" si="21"/>
        <v/>
      </c>
      <c r="H133" s="22" t="str">
        <f t="shared" si="22"/>
        <v/>
      </c>
      <c r="I133" s="22" t="str">
        <f t="shared" si="20"/>
        <v/>
      </c>
      <c r="R133" s="24" t="e">
        <f t="shared" si="23"/>
        <v>#VALUE!</v>
      </c>
      <c r="S133" s="25" t="e">
        <f t="shared" si="19"/>
        <v>#VALUE!</v>
      </c>
    </row>
    <row r="134" spans="1:19" x14ac:dyDescent="0.25">
      <c r="A134" t="e">
        <f t="shared" si="16"/>
        <v>#VALUE!</v>
      </c>
      <c r="B134" t="e">
        <f t="shared" si="17"/>
        <v>#VALUE!</v>
      </c>
      <c r="D134" s="21" t="str" cm="1">
        <f t="array" ref="D134">IF(ROWS($D$7:D134)&gt;COUNTIF('[1]U$S'!$H$5:$H$1008,$L$5),"",INDEX(CuentaUS,_xlfn.AGGREGATE(15,6,ROW('[1]U$S'!$H$5:$H$1008)-ROW('[1]U$S'!$O$5)+1/--('[1]U$S'!$H$5:$H$1008=$L$5),ROWS($D$7:D134)),1))</f>
        <v/>
      </c>
      <c r="E134" s="22" t="str" cm="1">
        <f t="array" ref="E134">IF(ROWS($E$7:E134)&gt;COUNTIF('[1]U$S'!$H$5:$H$1008,$L$5),"",INDEX(CuentaUS,_xlfn.AGGREGATE(15,6,ROW('[1]U$S'!$H$5:$H$1008)-ROW('[1]U$S'!$O$5)+1/--('[1]U$S'!$H$5:$H$1008=$L$5),ROWS($E$7:E134)),6))</f>
        <v/>
      </c>
      <c r="F134" s="22" t="str">
        <f>IF(E134="","",IF(E134&gt;0,SUMIFS('[1]UY$'!$L$5:$L$993,'[1]UY$'!$O$5:$O$993,"Cambio",'[1]UY$'!$E$5:$E$993,'Efecto TC'!D134),""))</f>
        <v/>
      </c>
      <c r="G134" s="23" t="str">
        <f t="shared" si="21"/>
        <v/>
      </c>
      <c r="H134" s="22" t="str">
        <f t="shared" si="22"/>
        <v/>
      </c>
      <c r="I134" s="22" t="str">
        <f t="shared" si="20"/>
        <v/>
      </c>
      <c r="R134" s="24" t="e">
        <f t="shared" si="23"/>
        <v>#VALUE!</v>
      </c>
      <c r="S134" s="25" t="e">
        <f t="shared" si="19"/>
        <v>#VALUE!</v>
      </c>
    </row>
    <row r="135" spans="1:19" x14ac:dyDescent="0.25">
      <c r="A135" t="e">
        <f t="shared" ref="A135:A198" si="24">MONTH(D135)</f>
        <v>#VALUE!</v>
      </c>
      <c r="B135" t="e">
        <f t="shared" ref="B135:B198" si="25">YEAR(D135)</f>
        <v>#VALUE!</v>
      </c>
      <c r="D135" s="21" t="str" cm="1">
        <f t="array" ref="D135">IF(ROWS($D$7:D135)&gt;COUNTIF('[1]U$S'!$H$5:$H$1008,$L$5),"",INDEX(CuentaUS,_xlfn.AGGREGATE(15,6,ROW('[1]U$S'!$H$5:$H$1008)-ROW('[1]U$S'!$O$5)+1/--('[1]U$S'!$H$5:$H$1008=$L$5),ROWS($D$7:D135)),1))</f>
        <v/>
      </c>
      <c r="E135" s="22" t="str" cm="1">
        <f t="array" ref="E135">IF(ROWS($E$7:E135)&gt;COUNTIF('[1]U$S'!$H$5:$H$1008,$L$5),"",INDEX(CuentaUS,_xlfn.AGGREGATE(15,6,ROW('[1]U$S'!$H$5:$H$1008)-ROW('[1]U$S'!$O$5)+1/--('[1]U$S'!$H$5:$H$1008=$L$5),ROWS($E$7:E135)),6))</f>
        <v/>
      </c>
      <c r="F135" s="22" t="str">
        <f>IF(E135="","",IF(E135&gt;0,SUMIFS('[1]UY$'!$L$5:$L$993,'[1]UY$'!$O$5:$O$993,"Cambio",'[1]UY$'!$E$5:$E$993,'Efecto TC'!D135),""))</f>
        <v/>
      </c>
      <c r="G135" s="23" t="str">
        <f t="shared" si="21"/>
        <v/>
      </c>
      <c r="H135" s="22" t="str">
        <f t="shared" si="22"/>
        <v/>
      </c>
      <c r="I135" s="22" t="str">
        <f t="shared" si="20"/>
        <v/>
      </c>
      <c r="R135" s="24" t="e">
        <f t="shared" si="23"/>
        <v>#VALUE!</v>
      </c>
      <c r="S135" s="25" t="e">
        <f t="shared" ref="S135:S154" si="26">R135*G135</f>
        <v>#VALUE!</v>
      </c>
    </row>
    <row r="136" spans="1:19" x14ac:dyDescent="0.25">
      <c r="A136" t="e">
        <f t="shared" si="24"/>
        <v>#VALUE!</v>
      </c>
      <c r="B136" t="e">
        <f t="shared" si="25"/>
        <v>#VALUE!</v>
      </c>
      <c r="D136" s="21" t="str" cm="1">
        <f t="array" ref="D136">IF(ROWS($D$7:D136)&gt;COUNTIF('[1]U$S'!$H$5:$H$1008,$L$5),"",INDEX(CuentaUS,_xlfn.AGGREGATE(15,6,ROW('[1]U$S'!$H$5:$H$1008)-ROW('[1]U$S'!$O$5)+1/--('[1]U$S'!$H$5:$H$1008=$L$5),ROWS($D$7:D136)),1))</f>
        <v/>
      </c>
      <c r="E136" s="22" t="str" cm="1">
        <f t="array" ref="E136">IF(ROWS($E$7:E136)&gt;COUNTIF('[1]U$S'!$H$5:$H$1008,$L$5),"",INDEX(CuentaUS,_xlfn.AGGREGATE(15,6,ROW('[1]U$S'!$H$5:$H$1008)-ROW('[1]U$S'!$O$5)+1/--('[1]U$S'!$H$5:$H$1008=$L$5),ROWS($E$7:E136)),6))</f>
        <v/>
      </c>
      <c r="F136" s="22" t="str">
        <f>IF(E136="","",IF(E136&gt;0,SUMIFS('[1]UY$'!$L$5:$L$993,'[1]UY$'!$O$5:$O$993,"Cambio",'[1]UY$'!$E$5:$E$993,'Efecto TC'!D136),""))</f>
        <v/>
      </c>
      <c r="G136" s="23" t="str">
        <f t="shared" si="21"/>
        <v/>
      </c>
      <c r="H136" s="22" t="str">
        <f t="shared" si="22"/>
        <v/>
      </c>
      <c r="I136" s="22" t="str">
        <f t="shared" si="20"/>
        <v/>
      </c>
      <c r="R136" s="24" t="e">
        <f t="shared" si="23"/>
        <v>#VALUE!</v>
      </c>
      <c r="S136" s="25" t="e">
        <f t="shared" si="26"/>
        <v>#VALUE!</v>
      </c>
    </row>
    <row r="137" spans="1:19" x14ac:dyDescent="0.25">
      <c r="A137" t="e">
        <f t="shared" si="24"/>
        <v>#VALUE!</v>
      </c>
      <c r="B137" t="e">
        <f t="shared" si="25"/>
        <v>#VALUE!</v>
      </c>
      <c r="D137" s="21" t="str" cm="1">
        <f t="array" ref="D137">IF(ROWS($D$7:D137)&gt;COUNTIF('[1]U$S'!$H$5:$H$1008,$L$5),"",INDEX(CuentaUS,_xlfn.AGGREGATE(15,6,ROW('[1]U$S'!$H$5:$H$1008)-ROW('[1]U$S'!$O$5)+1/--('[1]U$S'!$H$5:$H$1008=$L$5),ROWS($D$7:D137)),1))</f>
        <v/>
      </c>
      <c r="E137" s="22" t="str" cm="1">
        <f t="array" ref="E137">IF(ROWS($E$7:E137)&gt;COUNTIF('[1]U$S'!$H$5:$H$1008,$L$5),"",INDEX(CuentaUS,_xlfn.AGGREGATE(15,6,ROW('[1]U$S'!$H$5:$H$1008)-ROW('[1]U$S'!$O$5)+1/--('[1]U$S'!$H$5:$H$1008=$L$5),ROWS($E$7:E137)),6))</f>
        <v/>
      </c>
      <c r="F137" s="22" t="str">
        <f>IF(E137="","",IF(E137&gt;0,SUMIFS('[1]UY$'!$L$5:$L$993,'[1]UY$'!$O$5:$O$993,"Cambio",'[1]UY$'!$E$5:$E$993,'Efecto TC'!D137),""))</f>
        <v/>
      </c>
      <c r="G137" s="23" t="str">
        <f t="shared" si="21"/>
        <v/>
      </c>
      <c r="H137" s="22" t="str">
        <f t="shared" si="22"/>
        <v/>
      </c>
      <c r="I137" s="22" t="str">
        <f t="shared" si="20"/>
        <v/>
      </c>
      <c r="R137" s="24" t="e">
        <f t="shared" si="23"/>
        <v>#VALUE!</v>
      </c>
      <c r="S137" s="25" t="e">
        <f t="shared" si="26"/>
        <v>#VALUE!</v>
      </c>
    </row>
    <row r="138" spans="1:19" x14ac:dyDescent="0.25">
      <c r="A138" t="e">
        <f t="shared" si="24"/>
        <v>#VALUE!</v>
      </c>
      <c r="B138" t="e">
        <f t="shared" si="25"/>
        <v>#VALUE!</v>
      </c>
      <c r="D138" s="21" t="str" cm="1">
        <f t="array" ref="D138">IF(ROWS($D$7:D138)&gt;COUNTIF('[1]U$S'!$H$5:$H$1008,$L$5),"",INDEX(CuentaUS,_xlfn.AGGREGATE(15,6,ROW('[1]U$S'!$H$5:$H$1008)-ROW('[1]U$S'!$O$5)+1/--('[1]U$S'!$H$5:$H$1008=$L$5),ROWS($D$7:D138)),1))</f>
        <v/>
      </c>
      <c r="E138" s="22" t="str" cm="1">
        <f t="array" ref="E138">IF(ROWS($E$7:E138)&gt;COUNTIF('[1]U$S'!$H$5:$H$1008,$L$5),"",INDEX(CuentaUS,_xlfn.AGGREGATE(15,6,ROW('[1]U$S'!$H$5:$H$1008)-ROW('[1]U$S'!$O$5)+1/--('[1]U$S'!$H$5:$H$1008=$L$5),ROWS($E$7:E138)),6))</f>
        <v/>
      </c>
      <c r="F138" s="22" t="str">
        <f>IF(E138="","",IF(E138&gt;0,SUMIFS('[1]UY$'!$L$5:$L$993,'[1]UY$'!$O$5:$O$993,"Cambio",'[1]UY$'!$E$5:$E$993,'Efecto TC'!D138),""))</f>
        <v/>
      </c>
      <c r="G138" s="23" t="str">
        <f t="shared" si="21"/>
        <v/>
      </c>
      <c r="H138" s="22" t="str">
        <f t="shared" si="22"/>
        <v/>
      </c>
      <c r="I138" s="22" t="str">
        <f t="shared" ref="I138:I201" si="27">IF(H138="","",+H138+I137)</f>
        <v/>
      </c>
      <c r="R138" s="24" t="e">
        <f t="shared" si="23"/>
        <v>#VALUE!</v>
      </c>
      <c r="S138" s="25" t="e">
        <f t="shared" si="26"/>
        <v>#VALUE!</v>
      </c>
    </row>
    <row r="139" spans="1:19" x14ac:dyDescent="0.25">
      <c r="A139" t="e">
        <f t="shared" si="24"/>
        <v>#VALUE!</v>
      </c>
      <c r="B139" t="e">
        <f t="shared" si="25"/>
        <v>#VALUE!</v>
      </c>
      <c r="D139" s="21" t="str" cm="1">
        <f t="array" ref="D139">IF(ROWS($D$7:D139)&gt;COUNTIF('[1]U$S'!$H$5:$H$1008,$L$5),"",INDEX(CuentaUS,_xlfn.AGGREGATE(15,6,ROW('[1]U$S'!$H$5:$H$1008)-ROW('[1]U$S'!$O$5)+1/--('[1]U$S'!$H$5:$H$1008=$L$5),ROWS($D$7:D139)),1))</f>
        <v/>
      </c>
      <c r="E139" s="22" t="str" cm="1">
        <f t="array" ref="E139">IF(ROWS($E$7:E139)&gt;COUNTIF('[1]U$S'!$H$5:$H$1008,$L$5),"",INDEX(CuentaUS,_xlfn.AGGREGATE(15,6,ROW('[1]U$S'!$H$5:$H$1008)-ROW('[1]U$S'!$O$5)+1/--('[1]U$S'!$H$5:$H$1008=$L$5),ROWS($E$7:E139)),6))</f>
        <v/>
      </c>
      <c r="F139" s="22" t="str">
        <f>IF(E139="","",IF(E139&gt;0,SUMIFS('[1]UY$'!$L$5:$L$993,'[1]UY$'!$O$5:$O$993,"Cambio",'[1]UY$'!$E$5:$E$993,'Efecto TC'!D139),""))</f>
        <v/>
      </c>
      <c r="G139" s="23" t="str">
        <f t="shared" si="21"/>
        <v/>
      </c>
      <c r="H139" s="22" t="str">
        <f t="shared" si="22"/>
        <v/>
      </c>
      <c r="I139" s="22" t="str">
        <f t="shared" si="27"/>
        <v/>
      </c>
      <c r="R139" s="24" t="e">
        <f t="shared" si="23"/>
        <v>#VALUE!</v>
      </c>
      <c r="S139" s="25" t="e">
        <f t="shared" si="26"/>
        <v>#VALUE!</v>
      </c>
    </row>
    <row r="140" spans="1:19" x14ac:dyDescent="0.25">
      <c r="A140" t="e">
        <f t="shared" si="24"/>
        <v>#VALUE!</v>
      </c>
      <c r="B140" t="e">
        <f t="shared" si="25"/>
        <v>#VALUE!</v>
      </c>
      <c r="D140" s="21" t="str" cm="1">
        <f t="array" ref="D140">IF(ROWS($D$7:D140)&gt;COUNTIF('[1]U$S'!$H$5:$H$1008,$L$5),"",INDEX(CuentaUS,_xlfn.AGGREGATE(15,6,ROW('[1]U$S'!$H$5:$H$1008)-ROW('[1]U$S'!$O$5)+1/--('[1]U$S'!$H$5:$H$1008=$L$5),ROWS($D$7:D140)),1))</f>
        <v/>
      </c>
      <c r="E140" s="22" t="str" cm="1">
        <f t="array" ref="E140">IF(ROWS($E$7:E140)&gt;COUNTIF('[1]U$S'!$H$5:$H$1008,$L$5),"",INDEX(CuentaUS,_xlfn.AGGREGATE(15,6,ROW('[1]U$S'!$H$5:$H$1008)-ROW('[1]U$S'!$O$5)+1/--('[1]U$S'!$H$5:$H$1008=$L$5),ROWS($E$7:E140)),6))</f>
        <v/>
      </c>
      <c r="F140" s="22" t="str">
        <f>IF(E140="","",IF(E140&gt;0,SUMIFS('[1]UY$'!$L$5:$L$993,'[1]UY$'!$O$5:$O$993,"Cambio",'[1]UY$'!$E$5:$E$993,'Efecto TC'!D140),""))</f>
        <v/>
      </c>
      <c r="G140" s="23" t="str">
        <f t="shared" si="21"/>
        <v/>
      </c>
      <c r="H140" s="22" t="str">
        <f t="shared" si="22"/>
        <v/>
      </c>
      <c r="I140" s="22" t="str">
        <f t="shared" si="27"/>
        <v/>
      </c>
      <c r="R140" s="24" t="e">
        <f t="shared" si="23"/>
        <v>#VALUE!</v>
      </c>
      <c r="S140" s="25" t="e">
        <f t="shared" si="26"/>
        <v>#VALUE!</v>
      </c>
    </row>
    <row r="141" spans="1:19" x14ac:dyDescent="0.25">
      <c r="A141" t="e">
        <f t="shared" si="24"/>
        <v>#VALUE!</v>
      </c>
      <c r="B141" t="e">
        <f t="shared" si="25"/>
        <v>#VALUE!</v>
      </c>
      <c r="D141" s="21" t="str" cm="1">
        <f t="array" ref="D141">IF(ROWS($D$7:D141)&gt;COUNTIF('[1]U$S'!$H$5:$H$1008,$L$5),"",INDEX(CuentaUS,_xlfn.AGGREGATE(15,6,ROW('[1]U$S'!$H$5:$H$1008)-ROW('[1]U$S'!$O$5)+1/--('[1]U$S'!$H$5:$H$1008=$L$5),ROWS($D$7:D141)),1))</f>
        <v/>
      </c>
      <c r="E141" s="22" t="str" cm="1">
        <f t="array" ref="E141">IF(ROWS($E$7:E141)&gt;COUNTIF('[1]U$S'!$H$5:$H$1008,$L$5),"",INDEX(CuentaUS,_xlfn.AGGREGATE(15,6,ROW('[1]U$S'!$H$5:$H$1008)-ROW('[1]U$S'!$O$5)+1/--('[1]U$S'!$H$5:$H$1008=$L$5),ROWS($E$7:E141)),6))</f>
        <v/>
      </c>
      <c r="F141" s="22" t="str">
        <f>IF(E141="","",IF(E141&gt;0,SUMIFS('[1]UY$'!$L$5:$L$993,'[1]UY$'!$O$5:$O$993,"Cambio",'[1]UY$'!$E$5:$E$993,'Efecto TC'!D141),""))</f>
        <v/>
      </c>
      <c r="G141" s="23" t="str">
        <f t="shared" si="21"/>
        <v/>
      </c>
      <c r="H141" s="22" t="str">
        <f t="shared" si="22"/>
        <v/>
      </c>
      <c r="I141" s="22" t="str">
        <f t="shared" si="27"/>
        <v/>
      </c>
      <c r="R141" s="24" t="e">
        <f t="shared" si="23"/>
        <v>#VALUE!</v>
      </c>
      <c r="S141" s="25" t="e">
        <f t="shared" si="26"/>
        <v>#VALUE!</v>
      </c>
    </row>
    <row r="142" spans="1:19" x14ac:dyDescent="0.25">
      <c r="A142" t="e">
        <f t="shared" si="24"/>
        <v>#VALUE!</v>
      </c>
      <c r="B142" t="e">
        <f t="shared" si="25"/>
        <v>#VALUE!</v>
      </c>
      <c r="D142" s="21" t="str" cm="1">
        <f t="array" ref="D142">IF(ROWS($D$7:D142)&gt;COUNTIF('[1]U$S'!$H$5:$H$1008,$L$5),"",INDEX(CuentaUS,_xlfn.AGGREGATE(15,6,ROW('[1]U$S'!$H$5:$H$1008)-ROW('[1]U$S'!$O$5)+1/--('[1]U$S'!$H$5:$H$1008=$L$5),ROWS($D$7:D142)),1))</f>
        <v/>
      </c>
      <c r="E142" s="22" t="str" cm="1">
        <f t="array" ref="E142">IF(ROWS($E$7:E142)&gt;COUNTIF('[1]U$S'!$H$5:$H$1008,$L$5),"",INDEX(CuentaUS,_xlfn.AGGREGATE(15,6,ROW('[1]U$S'!$H$5:$H$1008)-ROW('[1]U$S'!$O$5)+1/--('[1]U$S'!$H$5:$H$1008=$L$5),ROWS($E$7:E142)),6))</f>
        <v/>
      </c>
      <c r="F142" s="22" t="str">
        <f>IF(E142="","",IF(E142&gt;0,SUMIFS('[1]UY$'!$L$5:$L$993,'[1]UY$'!$O$5:$O$993,"Cambio",'[1]UY$'!$E$5:$E$993,'Efecto TC'!D142),""))</f>
        <v/>
      </c>
      <c r="G142" s="23" t="str">
        <f t="shared" si="21"/>
        <v/>
      </c>
      <c r="H142" s="22" t="str">
        <f t="shared" si="22"/>
        <v/>
      </c>
      <c r="I142" s="22" t="str">
        <f t="shared" si="27"/>
        <v/>
      </c>
      <c r="R142" s="24" t="e">
        <f t="shared" si="23"/>
        <v>#VALUE!</v>
      </c>
      <c r="S142" s="25" t="e">
        <f t="shared" si="26"/>
        <v>#VALUE!</v>
      </c>
    </row>
    <row r="143" spans="1:19" x14ac:dyDescent="0.25">
      <c r="A143" t="e">
        <f t="shared" si="24"/>
        <v>#VALUE!</v>
      </c>
      <c r="B143" t="e">
        <f t="shared" si="25"/>
        <v>#VALUE!</v>
      </c>
      <c r="D143" s="21" t="str" cm="1">
        <f t="array" ref="D143">IF(ROWS($D$7:D143)&gt;COUNTIF('[1]U$S'!$H$5:$H$1008,$L$5),"",INDEX(CuentaUS,_xlfn.AGGREGATE(15,6,ROW('[1]U$S'!$H$5:$H$1008)-ROW('[1]U$S'!$O$5)+1/--('[1]U$S'!$H$5:$H$1008=$L$5),ROWS($D$7:D143)),1))</f>
        <v/>
      </c>
      <c r="E143" s="22" t="str" cm="1">
        <f t="array" ref="E143">IF(ROWS($E$7:E143)&gt;COUNTIF('[1]U$S'!$H$5:$H$1008,$L$5),"",INDEX(CuentaUS,_xlfn.AGGREGATE(15,6,ROW('[1]U$S'!$H$5:$H$1008)-ROW('[1]U$S'!$O$5)+1/--('[1]U$S'!$H$5:$H$1008=$L$5),ROWS($E$7:E143)),6))</f>
        <v/>
      </c>
      <c r="F143" s="22" t="str">
        <f>IF(E143="","",IF(E143&gt;0,SUMIFS('[1]UY$'!$L$5:$L$993,'[1]UY$'!$O$5:$O$993,"Cambio",'[1]UY$'!$E$5:$E$993,'Efecto TC'!D143),""))</f>
        <v/>
      </c>
      <c r="G143" s="23" t="str">
        <f t="shared" si="21"/>
        <v/>
      </c>
      <c r="H143" s="22" t="str">
        <f t="shared" si="22"/>
        <v/>
      </c>
      <c r="I143" s="22" t="str">
        <f t="shared" si="27"/>
        <v/>
      </c>
      <c r="R143" s="24" t="e">
        <f t="shared" si="23"/>
        <v>#VALUE!</v>
      </c>
      <c r="S143" s="25" t="e">
        <f t="shared" si="26"/>
        <v>#VALUE!</v>
      </c>
    </row>
    <row r="144" spans="1:19" x14ac:dyDescent="0.25">
      <c r="A144" t="e">
        <f t="shared" si="24"/>
        <v>#VALUE!</v>
      </c>
      <c r="B144" t="e">
        <f t="shared" si="25"/>
        <v>#VALUE!</v>
      </c>
      <c r="D144" s="21" t="str" cm="1">
        <f t="array" ref="D144">IF(ROWS($D$7:D144)&gt;COUNTIF('[1]U$S'!$H$5:$H$1008,$L$5),"",INDEX(CuentaUS,_xlfn.AGGREGATE(15,6,ROW('[1]U$S'!$H$5:$H$1008)-ROW('[1]U$S'!$O$5)+1/--('[1]U$S'!$H$5:$H$1008=$L$5),ROWS($D$7:D144)),1))</f>
        <v/>
      </c>
      <c r="E144" s="22" t="str" cm="1">
        <f t="array" ref="E144">IF(ROWS($E$7:E144)&gt;COUNTIF('[1]U$S'!$H$5:$H$1008,$L$5),"",INDEX(CuentaUS,_xlfn.AGGREGATE(15,6,ROW('[1]U$S'!$H$5:$H$1008)-ROW('[1]U$S'!$O$5)+1/--('[1]U$S'!$H$5:$H$1008=$L$5),ROWS($E$7:E144)),6))</f>
        <v/>
      </c>
      <c r="F144" s="22" t="str">
        <f>IF(E144="","",IF(E144&gt;0,SUMIFS('[1]UY$'!$L$5:$L$993,'[1]UY$'!$O$5:$O$993,"Cambio",'[1]UY$'!$E$5:$E$993,'Efecto TC'!D144),""))</f>
        <v/>
      </c>
      <c r="G144" s="23" t="str">
        <f t="shared" si="21"/>
        <v/>
      </c>
      <c r="H144" s="22" t="str">
        <f t="shared" si="22"/>
        <v/>
      </c>
      <c r="I144" s="22" t="str">
        <f t="shared" si="27"/>
        <v/>
      </c>
      <c r="R144" s="24" t="e">
        <f t="shared" si="23"/>
        <v>#VALUE!</v>
      </c>
      <c r="S144" s="25" t="e">
        <f t="shared" si="26"/>
        <v>#VALUE!</v>
      </c>
    </row>
    <row r="145" spans="1:19" x14ac:dyDescent="0.25">
      <c r="A145" t="e">
        <f t="shared" si="24"/>
        <v>#VALUE!</v>
      </c>
      <c r="B145" t="e">
        <f t="shared" si="25"/>
        <v>#VALUE!</v>
      </c>
      <c r="D145" s="21" t="str" cm="1">
        <f t="array" ref="D145">IF(ROWS($D$7:D145)&gt;COUNTIF('[1]U$S'!$H$5:$H$1008,$L$5),"",INDEX(CuentaUS,_xlfn.AGGREGATE(15,6,ROW('[1]U$S'!$H$5:$H$1008)-ROW('[1]U$S'!$O$5)+1/--('[1]U$S'!$H$5:$H$1008=$L$5),ROWS($D$7:D145)),1))</f>
        <v/>
      </c>
      <c r="E145" s="22" t="str" cm="1">
        <f t="array" ref="E145">IF(ROWS($E$7:E145)&gt;COUNTIF('[1]U$S'!$H$5:$H$1008,$L$5),"",INDEX(CuentaUS,_xlfn.AGGREGATE(15,6,ROW('[1]U$S'!$H$5:$H$1008)-ROW('[1]U$S'!$O$5)+1/--('[1]U$S'!$H$5:$H$1008=$L$5),ROWS($E$7:E145)),6))</f>
        <v/>
      </c>
      <c r="F145" s="22" t="str">
        <f>IF(E145="","",IF(E145&gt;0,SUMIFS('[1]UY$'!$L$5:$L$993,'[1]UY$'!$O$5:$O$993,"Cambio",'[1]UY$'!$E$5:$E$993,'Efecto TC'!D145),""))</f>
        <v/>
      </c>
      <c r="G145" s="23" t="str">
        <f t="shared" si="21"/>
        <v/>
      </c>
      <c r="H145" s="22" t="str">
        <f t="shared" si="22"/>
        <v/>
      </c>
      <c r="I145" s="22" t="str">
        <f t="shared" si="27"/>
        <v/>
      </c>
      <c r="R145" s="24" t="e">
        <f t="shared" si="23"/>
        <v>#VALUE!</v>
      </c>
      <c r="S145" s="25" t="e">
        <f t="shared" si="26"/>
        <v>#VALUE!</v>
      </c>
    </row>
    <row r="146" spans="1:19" x14ac:dyDescent="0.25">
      <c r="A146" t="e">
        <f t="shared" si="24"/>
        <v>#VALUE!</v>
      </c>
      <c r="B146" t="e">
        <f t="shared" si="25"/>
        <v>#VALUE!</v>
      </c>
      <c r="D146" s="21" t="str" cm="1">
        <f t="array" ref="D146">IF(ROWS($D$7:D146)&gt;COUNTIF('[1]U$S'!$H$5:$H$1008,$L$5),"",INDEX(CuentaUS,_xlfn.AGGREGATE(15,6,ROW('[1]U$S'!$H$5:$H$1008)-ROW('[1]U$S'!$O$5)+1/--('[1]U$S'!$H$5:$H$1008=$L$5),ROWS($D$7:D146)),1))</f>
        <v/>
      </c>
      <c r="E146" s="22" t="str" cm="1">
        <f t="array" ref="E146">IF(ROWS($E$7:E146)&gt;COUNTIF('[1]U$S'!$H$5:$H$1008,$L$5),"",INDEX(CuentaUS,_xlfn.AGGREGATE(15,6,ROW('[1]U$S'!$H$5:$H$1008)-ROW('[1]U$S'!$O$5)+1/--('[1]U$S'!$H$5:$H$1008=$L$5),ROWS($E$7:E146)),6))</f>
        <v/>
      </c>
      <c r="F146" s="22" t="str">
        <f>IF(E146="","",IF(E146&gt;0,SUMIFS('[1]UY$'!$L$5:$L$993,'[1]UY$'!$O$5:$O$993,"Cambio",'[1]UY$'!$E$5:$E$993,'Efecto TC'!D146),""))</f>
        <v/>
      </c>
      <c r="G146" s="23" t="str">
        <f t="shared" si="21"/>
        <v/>
      </c>
      <c r="H146" s="22" t="str">
        <f t="shared" si="22"/>
        <v/>
      </c>
      <c r="I146" s="22" t="str">
        <f t="shared" si="27"/>
        <v/>
      </c>
      <c r="R146" s="24" t="e">
        <f t="shared" si="23"/>
        <v>#VALUE!</v>
      </c>
      <c r="S146" s="25" t="e">
        <f t="shared" si="26"/>
        <v>#VALUE!</v>
      </c>
    </row>
    <row r="147" spans="1:19" x14ac:dyDescent="0.25">
      <c r="A147" t="e">
        <f t="shared" si="24"/>
        <v>#VALUE!</v>
      </c>
      <c r="B147" t="e">
        <f t="shared" si="25"/>
        <v>#VALUE!</v>
      </c>
      <c r="D147" s="21" t="str" cm="1">
        <f t="array" ref="D147">IF(ROWS($D$7:D147)&gt;COUNTIF('[1]U$S'!$H$5:$H$1008,$L$5),"",INDEX(CuentaUS,_xlfn.AGGREGATE(15,6,ROW('[1]U$S'!$H$5:$H$1008)-ROW('[1]U$S'!$O$5)+1/--('[1]U$S'!$H$5:$H$1008=$L$5),ROWS($D$7:D147)),1))</f>
        <v/>
      </c>
      <c r="E147" s="22" t="str" cm="1">
        <f t="array" ref="E147">IF(ROWS($E$7:E147)&gt;COUNTIF('[1]U$S'!$H$5:$H$1008,$L$5),"",INDEX(CuentaUS,_xlfn.AGGREGATE(15,6,ROW('[1]U$S'!$H$5:$H$1008)-ROW('[1]U$S'!$O$5)+1/--('[1]U$S'!$H$5:$H$1008=$L$5),ROWS($E$7:E147)),6))</f>
        <v/>
      </c>
      <c r="F147" s="22" t="str">
        <f>IF(E147="","",IF(E147&gt;0,SUMIFS('[1]UY$'!$L$5:$L$993,'[1]UY$'!$O$5:$O$993,"Cambio",'[1]UY$'!$E$5:$E$993,'Efecto TC'!D147),""))</f>
        <v/>
      </c>
      <c r="G147" s="23" t="str">
        <f t="shared" si="21"/>
        <v/>
      </c>
      <c r="H147" s="22" t="str">
        <f t="shared" si="22"/>
        <v/>
      </c>
      <c r="I147" s="22" t="str">
        <f t="shared" si="27"/>
        <v/>
      </c>
      <c r="R147" s="24" t="e">
        <f t="shared" si="23"/>
        <v>#VALUE!</v>
      </c>
      <c r="S147" s="25" t="e">
        <f t="shared" si="26"/>
        <v>#VALUE!</v>
      </c>
    </row>
    <row r="148" spans="1:19" x14ac:dyDescent="0.25">
      <c r="A148" t="e">
        <f t="shared" si="24"/>
        <v>#VALUE!</v>
      </c>
      <c r="B148" t="e">
        <f t="shared" si="25"/>
        <v>#VALUE!</v>
      </c>
      <c r="D148" s="21" t="str" cm="1">
        <f t="array" ref="D148">IF(ROWS($D$7:D148)&gt;COUNTIF('[1]U$S'!$H$5:$H$1008,$L$5),"",INDEX(CuentaUS,_xlfn.AGGREGATE(15,6,ROW('[1]U$S'!$H$5:$H$1008)-ROW('[1]U$S'!$O$5)+1/--('[1]U$S'!$H$5:$H$1008=$L$5),ROWS($D$7:D148)),1))</f>
        <v/>
      </c>
      <c r="E148" s="22" t="str" cm="1">
        <f t="array" ref="E148">IF(ROWS($E$7:E148)&gt;COUNTIF('[1]U$S'!$H$5:$H$1008,$L$5),"",INDEX(CuentaUS,_xlfn.AGGREGATE(15,6,ROW('[1]U$S'!$H$5:$H$1008)-ROW('[1]U$S'!$O$5)+1/--('[1]U$S'!$H$5:$H$1008=$L$5),ROWS($E$7:E148)),6))</f>
        <v/>
      </c>
      <c r="F148" s="22" t="str">
        <f>IF(E148="","",IF(E148&gt;0,SUMIFS('[1]UY$'!$L$5:$L$993,'[1]UY$'!$O$5:$O$993,"Cambio",'[1]UY$'!$E$5:$E$993,'Efecto TC'!D148),""))</f>
        <v/>
      </c>
      <c r="G148" s="23" t="str">
        <f t="shared" si="21"/>
        <v/>
      </c>
      <c r="H148" s="22" t="str">
        <f t="shared" si="22"/>
        <v/>
      </c>
      <c r="I148" s="22" t="str">
        <f t="shared" si="27"/>
        <v/>
      </c>
      <c r="R148" s="24" t="e">
        <f t="shared" si="23"/>
        <v>#VALUE!</v>
      </c>
      <c r="S148" s="25" t="e">
        <f t="shared" si="26"/>
        <v>#VALUE!</v>
      </c>
    </row>
    <row r="149" spans="1:19" x14ac:dyDescent="0.25">
      <c r="A149" t="e">
        <f t="shared" si="24"/>
        <v>#VALUE!</v>
      </c>
      <c r="B149" t="e">
        <f t="shared" si="25"/>
        <v>#VALUE!</v>
      </c>
      <c r="D149" s="21" t="str" cm="1">
        <f t="array" ref="D149">IF(ROWS($D$7:D149)&gt;COUNTIF('[1]U$S'!$H$5:$H$1008,$L$5),"",INDEX(CuentaUS,_xlfn.AGGREGATE(15,6,ROW('[1]U$S'!$H$5:$H$1008)-ROW('[1]U$S'!$O$5)+1/--('[1]U$S'!$H$5:$H$1008=$L$5),ROWS($D$7:D149)),1))</f>
        <v/>
      </c>
      <c r="E149" s="22" t="str" cm="1">
        <f t="array" ref="E149">IF(ROWS($E$7:E149)&gt;COUNTIF('[1]U$S'!$H$5:$H$1008,$L$5),"",INDEX(CuentaUS,_xlfn.AGGREGATE(15,6,ROW('[1]U$S'!$H$5:$H$1008)-ROW('[1]U$S'!$O$5)+1/--('[1]U$S'!$H$5:$H$1008=$L$5),ROWS($E$7:E149)),6))</f>
        <v/>
      </c>
      <c r="F149" s="22" t="str">
        <f>IF(E149="","",IF(E149&gt;0,SUMIFS('[1]UY$'!$L$5:$L$993,'[1]UY$'!$O$5:$O$993,"Cambio",'[1]UY$'!$E$5:$E$993,'Efecto TC'!D149),""))</f>
        <v/>
      </c>
      <c r="G149" s="23" t="str">
        <f t="shared" si="21"/>
        <v/>
      </c>
      <c r="H149" s="22" t="str">
        <f t="shared" si="22"/>
        <v/>
      </c>
      <c r="I149" s="22" t="str">
        <f t="shared" si="27"/>
        <v/>
      </c>
      <c r="R149" s="24" t="e">
        <f t="shared" si="23"/>
        <v>#VALUE!</v>
      </c>
      <c r="S149" s="25" t="e">
        <f t="shared" si="26"/>
        <v>#VALUE!</v>
      </c>
    </row>
    <row r="150" spans="1:19" x14ac:dyDescent="0.25">
      <c r="A150" t="e">
        <f t="shared" si="24"/>
        <v>#VALUE!</v>
      </c>
      <c r="B150" t="e">
        <f t="shared" si="25"/>
        <v>#VALUE!</v>
      </c>
      <c r="D150" s="21" t="str" cm="1">
        <f t="array" ref="D150">IF(ROWS($D$7:D150)&gt;COUNTIF('[1]U$S'!$H$5:$H$1008,$L$5),"",INDEX(CuentaUS,_xlfn.AGGREGATE(15,6,ROW('[1]U$S'!$H$5:$H$1008)-ROW('[1]U$S'!$O$5)+1/--('[1]U$S'!$H$5:$H$1008=$L$5),ROWS($D$7:D150)),1))</f>
        <v/>
      </c>
      <c r="E150" s="22" t="str" cm="1">
        <f t="array" ref="E150">IF(ROWS($E$7:E150)&gt;COUNTIF('[1]U$S'!$H$5:$H$1008,$L$5),"",INDEX(CuentaUS,_xlfn.AGGREGATE(15,6,ROW('[1]U$S'!$H$5:$H$1008)-ROW('[1]U$S'!$O$5)+1/--('[1]U$S'!$H$5:$H$1008=$L$5),ROWS($E$7:E150)),6))</f>
        <v/>
      </c>
      <c r="F150" s="22" t="str">
        <f>IF(E150="","",IF(E150&gt;0,SUMIFS('[1]UY$'!$L$5:$L$993,'[1]UY$'!$O$5:$O$993,"Cambio",'[1]UY$'!$E$5:$E$993,'Efecto TC'!D150),""))</f>
        <v/>
      </c>
      <c r="G150" s="23" t="str">
        <f t="shared" si="21"/>
        <v/>
      </c>
      <c r="H150" s="22" t="str">
        <f t="shared" si="22"/>
        <v/>
      </c>
      <c r="I150" s="22" t="str">
        <f t="shared" si="27"/>
        <v/>
      </c>
      <c r="R150" s="24" t="e">
        <f t="shared" si="23"/>
        <v>#VALUE!</v>
      </c>
      <c r="S150" s="25" t="e">
        <f t="shared" si="26"/>
        <v>#VALUE!</v>
      </c>
    </row>
    <row r="151" spans="1:19" x14ac:dyDescent="0.25">
      <c r="A151" t="e">
        <f t="shared" si="24"/>
        <v>#VALUE!</v>
      </c>
      <c r="B151" t="e">
        <f t="shared" si="25"/>
        <v>#VALUE!</v>
      </c>
      <c r="D151" s="21" t="str" cm="1">
        <f t="array" ref="D151">IF(ROWS($D$7:D151)&gt;COUNTIF('[1]U$S'!$H$5:$H$1008,$L$5),"",INDEX(CuentaUS,_xlfn.AGGREGATE(15,6,ROW('[1]U$S'!$H$5:$H$1008)-ROW('[1]U$S'!$O$5)+1/--('[1]U$S'!$H$5:$H$1008=$L$5),ROWS($D$7:D151)),1))</f>
        <v/>
      </c>
      <c r="E151" s="22" t="str" cm="1">
        <f t="array" ref="E151">IF(ROWS($E$7:E151)&gt;COUNTIF('[1]U$S'!$H$5:$H$1008,$L$5),"",INDEX(CuentaUS,_xlfn.AGGREGATE(15,6,ROW('[1]U$S'!$H$5:$H$1008)-ROW('[1]U$S'!$O$5)+1/--('[1]U$S'!$H$5:$H$1008=$L$5),ROWS($E$7:E151)),6))</f>
        <v/>
      </c>
      <c r="F151" s="22" t="str">
        <f>IF(E151="","",IF(E151&gt;0,SUMIFS('[1]UY$'!$L$5:$L$993,'[1]UY$'!$O$5:$O$993,"Cambio",'[1]UY$'!$E$5:$E$993,'Efecto TC'!D151),""))</f>
        <v/>
      </c>
      <c r="G151" s="23" t="str">
        <f t="shared" si="21"/>
        <v/>
      </c>
      <c r="H151" s="22" t="str">
        <f t="shared" si="22"/>
        <v/>
      </c>
      <c r="I151" s="22" t="str">
        <f t="shared" si="27"/>
        <v/>
      </c>
      <c r="R151" s="24" t="e">
        <f t="shared" si="23"/>
        <v>#VALUE!</v>
      </c>
      <c r="S151" s="25" t="e">
        <f t="shared" si="26"/>
        <v>#VALUE!</v>
      </c>
    </row>
    <row r="152" spans="1:19" x14ac:dyDescent="0.25">
      <c r="A152" t="e">
        <f t="shared" si="24"/>
        <v>#VALUE!</v>
      </c>
      <c r="B152" t="e">
        <f t="shared" si="25"/>
        <v>#VALUE!</v>
      </c>
      <c r="D152" s="21" t="str" cm="1">
        <f t="array" ref="D152">IF(ROWS($D$7:D152)&gt;COUNTIF('[1]U$S'!$H$5:$H$1008,$L$5),"",INDEX(CuentaUS,_xlfn.AGGREGATE(15,6,ROW('[1]U$S'!$H$5:$H$1008)-ROW('[1]U$S'!$O$5)+1/--('[1]U$S'!$H$5:$H$1008=$L$5),ROWS($D$7:D152)),1))</f>
        <v/>
      </c>
      <c r="E152" s="22" t="str" cm="1">
        <f t="array" ref="E152">IF(ROWS($E$7:E152)&gt;COUNTIF('[1]U$S'!$H$5:$H$1008,$L$5),"",INDEX(CuentaUS,_xlfn.AGGREGATE(15,6,ROW('[1]U$S'!$H$5:$H$1008)-ROW('[1]U$S'!$O$5)+1/--('[1]U$S'!$H$5:$H$1008=$L$5),ROWS($E$7:E152)),6))</f>
        <v/>
      </c>
      <c r="F152" s="22" t="str">
        <f>IF(E152="","",IF(E152&gt;0,SUMIFS('[1]UY$'!$L$5:$L$993,'[1]UY$'!$O$5:$O$993,"Cambio",'[1]UY$'!$E$5:$E$993,'Efecto TC'!D152),""))</f>
        <v/>
      </c>
      <c r="G152" s="23" t="str">
        <f t="shared" si="21"/>
        <v/>
      </c>
      <c r="H152" s="22" t="str">
        <f t="shared" si="22"/>
        <v/>
      </c>
      <c r="I152" s="22" t="str">
        <f t="shared" si="27"/>
        <v/>
      </c>
      <c r="R152" s="24" t="e">
        <f t="shared" si="23"/>
        <v>#VALUE!</v>
      </c>
      <c r="S152" s="25" t="e">
        <f t="shared" si="26"/>
        <v>#VALUE!</v>
      </c>
    </row>
    <row r="153" spans="1:19" x14ac:dyDescent="0.25">
      <c r="A153" t="e">
        <f t="shared" si="24"/>
        <v>#VALUE!</v>
      </c>
      <c r="B153" t="e">
        <f t="shared" si="25"/>
        <v>#VALUE!</v>
      </c>
      <c r="D153" s="21" t="str" cm="1">
        <f t="array" ref="D153">IF(ROWS($D$7:D153)&gt;COUNTIF('[1]U$S'!$H$5:$H$1008,$L$5),"",INDEX(CuentaUS,_xlfn.AGGREGATE(15,6,ROW('[1]U$S'!$H$5:$H$1008)-ROW('[1]U$S'!$O$5)+1/--('[1]U$S'!$H$5:$H$1008=$L$5),ROWS($D$7:D153)),1))</f>
        <v/>
      </c>
      <c r="E153" s="22" t="str" cm="1">
        <f t="array" ref="E153">IF(ROWS($E$7:E153)&gt;COUNTIF('[1]U$S'!$H$5:$H$1008,$L$5),"",INDEX(CuentaUS,_xlfn.AGGREGATE(15,6,ROW('[1]U$S'!$H$5:$H$1008)-ROW('[1]U$S'!$O$5)+1/--('[1]U$S'!$H$5:$H$1008=$L$5),ROWS($E$7:E153)),6))</f>
        <v/>
      </c>
      <c r="F153" s="22" t="str">
        <f>IF(E153="","",IF(E153&gt;0,SUMIFS('[1]UY$'!$L$5:$L$993,'[1]UY$'!$O$5:$O$993,"Cambio",'[1]UY$'!$E$5:$E$993,'Efecto TC'!D153),""))</f>
        <v/>
      </c>
      <c r="G153" s="23" t="str">
        <f t="shared" si="21"/>
        <v/>
      </c>
      <c r="H153" s="22" t="str">
        <f t="shared" si="22"/>
        <v/>
      </c>
      <c r="I153" s="22" t="str">
        <f t="shared" si="27"/>
        <v/>
      </c>
      <c r="R153" s="24" t="e">
        <f t="shared" si="23"/>
        <v>#VALUE!</v>
      </c>
      <c r="S153" s="25" t="e">
        <f t="shared" si="26"/>
        <v>#VALUE!</v>
      </c>
    </row>
    <row r="154" spans="1:19" x14ac:dyDescent="0.25">
      <c r="A154" t="e">
        <f t="shared" si="24"/>
        <v>#VALUE!</v>
      </c>
      <c r="B154" t="e">
        <f t="shared" si="25"/>
        <v>#VALUE!</v>
      </c>
      <c r="D154" s="21" t="str" cm="1">
        <f t="array" ref="D154">IF(ROWS($D$7:D154)&gt;COUNTIF('[1]U$S'!$H$5:$H$1008,$L$5),"",INDEX(CuentaUS,_xlfn.AGGREGATE(15,6,ROW('[1]U$S'!$H$5:$H$1008)-ROW('[1]U$S'!$O$5)+1/--('[1]U$S'!$H$5:$H$1008=$L$5),ROWS($D$7:D154)),1))</f>
        <v/>
      </c>
      <c r="E154" s="22" t="str" cm="1">
        <f t="array" ref="E154">IF(ROWS($E$7:E154)&gt;COUNTIF('[1]U$S'!$H$5:$H$1008,$L$5),"",INDEX(CuentaUS,_xlfn.AGGREGATE(15,6,ROW('[1]U$S'!$H$5:$H$1008)-ROW('[1]U$S'!$O$5)+1/--('[1]U$S'!$H$5:$H$1008=$L$5),ROWS($E$7:E154)),6))</f>
        <v/>
      </c>
      <c r="F154" s="22" t="str">
        <f>IF(E154="","",IF(E154&gt;0,SUMIFS('[1]UY$'!$L$5:$L$993,'[1]UY$'!$O$5:$O$993,"Cambio",'[1]UY$'!$E$5:$E$993,'Efecto TC'!D154),""))</f>
        <v/>
      </c>
      <c r="G154" s="23" t="str">
        <f t="shared" si="21"/>
        <v/>
      </c>
      <c r="H154" s="22" t="str">
        <f t="shared" si="22"/>
        <v/>
      </c>
      <c r="I154" s="22" t="str">
        <f t="shared" si="27"/>
        <v/>
      </c>
      <c r="R154" s="24" t="e">
        <f t="shared" si="23"/>
        <v>#VALUE!</v>
      </c>
      <c r="S154" s="25" t="e">
        <f t="shared" si="26"/>
        <v>#VALUE!</v>
      </c>
    </row>
    <row r="155" spans="1:19" x14ac:dyDescent="0.25">
      <c r="A155" t="e">
        <f t="shared" si="24"/>
        <v>#VALUE!</v>
      </c>
      <c r="B155" t="e">
        <f t="shared" si="25"/>
        <v>#VALUE!</v>
      </c>
      <c r="D155" s="21" t="str" cm="1">
        <f t="array" ref="D155">IF(ROWS($D$7:D155)&gt;COUNTIF('[1]U$S'!$H$5:$H$1008,$L$5),"",INDEX(CuentaUS,_xlfn.AGGREGATE(15,6,ROW('[1]U$S'!$H$5:$H$1008)-ROW('[1]U$S'!$O$5)+1/--('[1]U$S'!$H$5:$H$1008=$L$5),ROWS($D$7:D155)),1))</f>
        <v/>
      </c>
      <c r="E155" s="22" t="str" cm="1">
        <f t="array" ref="E155">IF(ROWS($E$7:E155)&gt;COUNTIF('[1]U$S'!$H$5:$H$1008,$L$5),"",INDEX(CuentaUS,_xlfn.AGGREGATE(15,6,ROW('[1]U$S'!$H$5:$H$1008)-ROW('[1]U$S'!$O$5)+1/--('[1]U$S'!$H$5:$H$1008=$L$5),ROWS($E$7:E155)),6))</f>
        <v/>
      </c>
      <c r="F155" s="22" t="str">
        <f>IF(E155="","",IF(E155&gt;0,SUMIFS('[1]UY$'!$L$5:$L$993,'[1]UY$'!$O$5:$O$993,"Cambio",'[1]UY$'!$E$5:$E$993,'Efecto TC'!D155),""))</f>
        <v/>
      </c>
      <c r="G155" s="23" t="str">
        <f t="shared" si="21"/>
        <v/>
      </c>
      <c r="H155" s="22" t="str">
        <f t="shared" si="22"/>
        <v/>
      </c>
      <c r="I155" s="22" t="str">
        <f t="shared" si="27"/>
        <v/>
      </c>
      <c r="R155" s="24" t="e">
        <f t="shared" si="23"/>
        <v>#VALUE!</v>
      </c>
      <c r="S155" s="25" t="e">
        <f t="shared" ref="S155:S218" si="28">R155*G149</f>
        <v>#VALUE!</v>
      </c>
    </row>
    <row r="156" spans="1:19" x14ac:dyDescent="0.25">
      <c r="A156" t="e">
        <f t="shared" si="24"/>
        <v>#VALUE!</v>
      </c>
      <c r="B156" t="e">
        <f t="shared" si="25"/>
        <v>#VALUE!</v>
      </c>
      <c r="D156" s="21" t="str" cm="1">
        <f t="array" ref="D156">IF(ROWS($D$7:D156)&gt;COUNTIF('[1]U$S'!$H$5:$H$1008,$L$5),"",INDEX(CuentaUS,_xlfn.AGGREGATE(15,6,ROW('[1]U$S'!$H$5:$H$1008)-ROW('[1]U$S'!$O$5)+1/--('[1]U$S'!$H$5:$H$1008=$L$5),ROWS($D$7:D156)),1))</f>
        <v/>
      </c>
      <c r="E156" s="22" t="str" cm="1">
        <f t="array" ref="E156">IF(ROWS($E$7:E156)&gt;COUNTIF('[1]U$S'!$H$5:$H$1008,$L$5),"",INDEX(CuentaUS,_xlfn.AGGREGATE(15,6,ROW('[1]U$S'!$H$5:$H$1008)-ROW('[1]U$S'!$O$5)+1/--('[1]U$S'!$H$5:$H$1008=$L$5),ROWS($E$7:E156)),6))</f>
        <v/>
      </c>
      <c r="F156" s="22" t="str">
        <f>IF(E156="","",IF(E156&gt;0,SUMIFS('[1]UY$'!$L$5:$L$993,'[1]UY$'!$O$5:$O$993,"Cambio",'[1]UY$'!$E$5:$E$993,'Efecto TC'!D156),""))</f>
        <v/>
      </c>
      <c r="G156" s="23" t="str">
        <f t="shared" si="21"/>
        <v/>
      </c>
      <c r="H156" s="22" t="str">
        <f t="shared" si="22"/>
        <v/>
      </c>
      <c r="I156" s="22" t="str">
        <f t="shared" si="27"/>
        <v/>
      </c>
      <c r="R156" s="24" t="e">
        <f t="shared" si="23"/>
        <v>#VALUE!</v>
      </c>
      <c r="S156" s="25" t="e">
        <f t="shared" si="28"/>
        <v>#VALUE!</v>
      </c>
    </row>
    <row r="157" spans="1:19" x14ac:dyDescent="0.25">
      <c r="A157" t="e">
        <f t="shared" si="24"/>
        <v>#VALUE!</v>
      </c>
      <c r="B157" t="e">
        <f t="shared" si="25"/>
        <v>#VALUE!</v>
      </c>
      <c r="D157" s="21" t="str" cm="1">
        <f t="array" ref="D157">IF(ROWS($D$7:D157)&gt;COUNTIF('[1]U$S'!$H$5:$H$1008,$L$5),"",INDEX(CuentaUS,_xlfn.AGGREGATE(15,6,ROW('[1]U$S'!$H$5:$H$1008)-ROW('[1]U$S'!$O$5)+1/--('[1]U$S'!$H$5:$H$1008=$L$5),ROWS($D$7:D157)),1))</f>
        <v/>
      </c>
      <c r="E157" s="22" t="str" cm="1">
        <f t="array" ref="E157">IF(ROWS($E$7:E157)&gt;COUNTIF('[1]U$S'!$H$5:$H$1008,$L$5),"",INDEX(CuentaUS,_xlfn.AGGREGATE(15,6,ROW('[1]U$S'!$H$5:$H$1008)-ROW('[1]U$S'!$O$5)+1/--('[1]U$S'!$H$5:$H$1008=$L$5),ROWS($E$7:E157)),6))</f>
        <v/>
      </c>
      <c r="F157" s="22" t="str">
        <f>IF(E157="","",IF(E157&gt;0,SUMIFS('[1]UY$'!$L$5:$L$993,'[1]UY$'!$O$5:$O$993,"Cambio",'[1]UY$'!$E$5:$E$993,'Efecto TC'!D157),""))</f>
        <v/>
      </c>
      <c r="G157" s="23" t="str">
        <f t="shared" si="21"/>
        <v/>
      </c>
      <c r="H157" s="22" t="str">
        <f t="shared" si="22"/>
        <v/>
      </c>
      <c r="I157" s="22" t="str">
        <f t="shared" si="27"/>
        <v/>
      </c>
      <c r="R157" s="24" t="e">
        <f t="shared" si="23"/>
        <v>#VALUE!</v>
      </c>
      <c r="S157" s="25" t="e">
        <f t="shared" si="28"/>
        <v>#VALUE!</v>
      </c>
    </row>
    <row r="158" spans="1:19" x14ac:dyDescent="0.25">
      <c r="A158" t="e">
        <f t="shared" si="24"/>
        <v>#VALUE!</v>
      </c>
      <c r="B158" t="e">
        <f t="shared" si="25"/>
        <v>#VALUE!</v>
      </c>
      <c r="D158" s="21" t="str" cm="1">
        <f t="array" ref="D158">IF(ROWS($D$7:D158)&gt;COUNTIF('[1]U$S'!$H$5:$H$1008,$L$5),"",INDEX(CuentaUS,_xlfn.AGGREGATE(15,6,ROW('[1]U$S'!$H$5:$H$1008)-ROW('[1]U$S'!$O$5)+1/--('[1]U$S'!$H$5:$H$1008=$L$5),ROWS($D$7:D158)),1))</f>
        <v/>
      </c>
      <c r="E158" s="22" t="str" cm="1">
        <f t="array" ref="E158">IF(ROWS($E$7:E158)&gt;COUNTIF('[1]U$S'!$H$5:$H$1008,$L$5),"",INDEX(CuentaUS,_xlfn.AGGREGATE(15,6,ROW('[1]U$S'!$H$5:$H$1008)-ROW('[1]U$S'!$O$5)+1/--('[1]U$S'!$H$5:$H$1008=$L$5),ROWS($E$7:E158)),6))</f>
        <v/>
      </c>
      <c r="F158" s="22" t="str">
        <f>IF(E158="","",IF(E158&gt;0,SUMIFS('[1]UY$'!$L$5:$L$993,'[1]UY$'!$O$5:$O$993,"Cambio",'[1]UY$'!$E$5:$E$993,'Efecto TC'!D158),""))</f>
        <v/>
      </c>
      <c r="G158" s="23" t="str">
        <f t="shared" si="21"/>
        <v/>
      </c>
      <c r="H158" s="22" t="str">
        <f t="shared" si="22"/>
        <v/>
      </c>
      <c r="I158" s="22" t="str">
        <f t="shared" si="27"/>
        <v/>
      </c>
      <c r="R158" s="24" t="e">
        <f t="shared" si="23"/>
        <v>#VALUE!</v>
      </c>
      <c r="S158" s="25" t="e">
        <f t="shared" si="28"/>
        <v>#VALUE!</v>
      </c>
    </row>
    <row r="159" spans="1:19" x14ac:dyDescent="0.25">
      <c r="A159" t="e">
        <f t="shared" si="24"/>
        <v>#VALUE!</v>
      </c>
      <c r="B159" t="e">
        <f t="shared" si="25"/>
        <v>#VALUE!</v>
      </c>
      <c r="D159" s="21" t="str" cm="1">
        <f t="array" ref="D159">IF(ROWS($D$7:D159)&gt;COUNTIF('[1]U$S'!$H$5:$H$1008,$L$5),"",INDEX(CuentaUS,_xlfn.AGGREGATE(15,6,ROW('[1]U$S'!$H$5:$H$1008)-ROW('[1]U$S'!$O$5)+1/--('[1]U$S'!$H$5:$H$1008=$L$5),ROWS($D$7:D159)),1))</f>
        <v/>
      </c>
      <c r="E159" s="22" t="str" cm="1">
        <f t="array" ref="E159">IF(ROWS($E$7:E159)&gt;COUNTIF('[1]U$S'!$H$5:$H$1008,$L$5),"",INDEX(CuentaUS,_xlfn.AGGREGATE(15,6,ROW('[1]U$S'!$H$5:$H$1008)-ROW('[1]U$S'!$O$5)+1/--('[1]U$S'!$H$5:$H$1008=$L$5),ROWS($E$7:E159)),6))</f>
        <v/>
      </c>
      <c r="F159" s="22" t="str">
        <f>IF(E159="","",IF(E159&gt;0,SUMIFS('[1]UY$'!$L$5:$L$993,'[1]UY$'!$O$5:$O$993,"Cambio",'[1]UY$'!$E$5:$E$993,'Efecto TC'!D159),""))</f>
        <v/>
      </c>
      <c r="G159" s="23" t="str">
        <f t="shared" si="21"/>
        <v/>
      </c>
      <c r="H159" s="22" t="str">
        <f t="shared" si="22"/>
        <v/>
      </c>
      <c r="I159" s="22" t="str">
        <f t="shared" si="27"/>
        <v/>
      </c>
      <c r="R159" s="24" t="e">
        <f t="shared" si="23"/>
        <v>#VALUE!</v>
      </c>
      <c r="S159" s="25" t="e">
        <f t="shared" si="28"/>
        <v>#VALUE!</v>
      </c>
    </row>
    <row r="160" spans="1:19" x14ac:dyDescent="0.25">
      <c r="A160" t="e">
        <f t="shared" si="24"/>
        <v>#VALUE!</v>
      </c>
      <c r="B160" t="e">
        <f t="shared" si="25"/>
        <v>#VALUE!</v>
      </c>
      <c r="D160" s="21" t="str" cm="1">
        <f t="array" ref="D160">IF(ROWS($D$7:D160)&gt;COUNTIF('[1]U$S'!$H$5:$H$1008,$L$5),"",INDEX(CuentaUS,_xlfn.AGGREGATE(15,6,ROW('[1]U$S'!$H$5:$H$1008)-ROW('[1]U$S'!$O$5)+1/--('[1]U$S'!$H$5:$H$1008=$L$5),ROWS($D$7:D160)),1))</f>
        <v/>
      </c>
      <c r="E160" s="22" t="str" cm="1">
        <f t="array" ref="E160">IF(ROWS($E$7:E160)&gt;COUNTIF('[1]U$S'!$H$5:$H$1008,$L$5),"",INDEX(CuentaUS,_xlfn.AGGREGATE(15,6,ROW('[1]U$S'!$H$5:$H$1008)-ROW('[1]U$S'!$O$5)+1/--('[1]U$S'!$H$5:$H$1008=$L$5),ROWS($E$7:E160)),6))</f>
        <v/>
      </c>
      <c r="F160" s="22" t="str">
        <f>IF(E160="","",IF(E160&gt;0,SUMIFS('[1]UY$'!$L$5:$L$993,'[1]UY$'!$O$5:$O$993,"Cambio",'[1]UY$'!$E$5:$E$993,'Efecto TC'!D160),""))</f>
        <v/>
      </c>
      <c r="G160" s="23" t="str">
        <f t="shared" si="21"/>
        <v/>
      </c>
      <c r="H160" s="22" t="str">
        <f t="shared" si="22"/>
        <v/>
      </c>
      <c r="I160" s="22" t="str">
        <f t="shared" si="27"/>
        <v/>
      </c>
      <c r="R160" s="24" t="e">
        <f t="shared" si="23"/>
        <v>#VALUE!</v>
      </c>
      <c r="S160" s="25" t="e">
        <f t="shared" si="28"/>
        <v>#VALUE!</v>
      </c>
    </row>
    <row r="161" spans="1:19" x14ac:dyDescent="0.25">
      <c r="A161" t="e">
        <f t="shared" si="24"/>
        <v>#VALUE!</v>
      </c>
      <c r="B161" t="e">
        <f t="shared" si="25"/>
        <v>#VALUE!</v>
      </c>
      <c r="D161" s="21" t="str" cm="1">
        <f t="array" ref="D161">IF(ROWS($D$7:D161)&gt;COUNTIF('[1]U$S'!$H$5:$H$1008,$L$5),"",INDEX(CuentaUS,_xlfn.AGGREGATE(15,6,ROW('[1]U$S'!$H$5:$H$1008)-ROW('[1]U$S'!$O$5)+1/--('[1]U$S'!$H$5:$H$1008=$L$5),ROWS($D$7:D161)),1))</f>
        <v/>
      </c>
      <c r="E161" s="22" t="str" cm="1">
        <f t="array" ref="E161">IF(ROWS($E$7:E161)&gt;COUNTIF('[1]U$S'!$H$5:$H$1008,$L$5),"",INDEX(CuentaUS,_xlfn.AGGREGATE(15,6,ROW('[1]U$S'!$H$5:$H$1008)-ROW('[1]U$S'!$O$5)+1/--('[1]U$S'!$H$5:$H$1008=$L$5),ROWS($E$7:E161)),6))</f>
        <v/>
      </c>
      <c r="F161" s="22" t="str">
        <f>IF(E161="","",IF(E161&gt;0,SUMIFS('[1]UY$'!$L$5:$L$993,'[1]UY$'!$O$5:$O$993,"Cambio",'[1]UY$'!$E$5:$E$993,'Efecto TC'!D161),""))</f>
        <v/>
      </c>
      <c r="G161" s="23" t="str">
        <f t="shared" si="21"/>
        <v/>
      </c>
      <c r="H161" s="22" t="str">
        <f t="shared" si="22"/>
        <v/>
      </c>
      <c r="I161" s="22" t="str">
        <f t="shared" si="27"/>
        <v/>
      </c>
      <c r="R161" s="24" t="e">
        <f t="shared" si="23"/>
        <v>#VALUE!</v>
      </c>
      <c r="S161" s="25" t="e">
        <f t="shared" si="28"/>
        <v>#VALUE!</v>
      </c>
    </row>
    <row r="162" spans="1:19" x14ac:dyDescent="0.25">
      <c r="A162" t="e">
        <f t="shared" si="24"/>
        <v>#VALUE!</v>
      </c>
      <c r="B162" t="e">
        <f t="shared" si="25"/>
        <v>#VALUE!</v>
      </c>
      <c r="D162" s="21" t="str" cm="1">
        <f t="array" ref="D162">IF(ROWS($D$7:D162)&gt;COUNTIF('[1]U$S'!$H$5:$H$1008,$L$5),"",INDEX(CuentaUS,_xlfn.AGGREGATE(15,6,ROW('[1]U$S'!$H$5:$H$1008)-ROW('[1]U$S'!$O$5)+1/--('[1]U$S'!$H$5:$H$1008=$L$5),ROWS($D$7:D162)),1))</f>
        <v/>
      </c>
      <c r="E162" s="22" t="str" cm="1">
        <f t="array" ref="E162">IF(ROWS($E$7:E162)&gt;COUNTIF('[1]U$S'!$H$5:$H$1008,$L$5),"",INDEX(CuentaUS,_xlfn.AGGREGATE(15,6,ROW('[1]U$S'!$H$5:$H$1008)-ROW('[1]U$S'!$O$5)+1/--('[1]U$S'!$H$5:$H$1008=$L$5),ROWS($E$7:E162)),6))</f>
        <v/>
      </c>
      <c r="F162" s="22" t="str">
        <f>IF(E162="","",IF(E162&gt;0,SUMIFS('[1]UY$'!$L$5:$L$993,'[1]UY$'!$O$5:$O$993,"Cambio",'[1]UY$'!$E$5:$E$993,'Efecto TC'!D162),""))</f>
        <v/>
      </c>
      <c r="G162" s="23" t="str">
        <f t="shared" ref="G162:G225" si="29">IF(F162="","",F162/E162)</f>
        <v/>
      </c>
      <c r="H162" s="22" t="str">
        <f t="shared" ref="H162:H225" si="30">IF(E162="","",F162/$F$2-F162/G162)</f>
        <v/>
      </c>
      <c r="I162" s="22" t="str">
        <f t="shared" si="27"/>
        <v/>
      </c>
      <c r="R162" s="24" t="e">
        <f t="shared" ref="R162:R225" si="31">E162/$E$1001</f>
        <v>#VALUE!</v>
      </c>
      <c r="S162" s="25" t="e">
        <f t="shared" si="28"/>
        <v>#VALUE!</v>
      </c>
    </row>
    <row r="163" spans="1:19" x14ac:dyDescent="0.25">
      <c r="A163" t="e">
        <f t="shared" si="24"/>
        <v>#VALUE!</v>
      </c>
      <c r="B163" t="e">
        <f t="shared" si="25"/>
        <v>#VALUE!</v>
      </c>
      <c r="D163" s="21" t="str" cm="1">
        <f t="array" ref="D163">IF(ROWS($D$7:D163)&gt;COUNTIF('[1]U$S'!$H$5:$H$1008,$L$5),"",INDEX(CuentaUS,_xlfn.AGGREGATE(15,6,ROW('[1]U$S'!$H$5:$H$1008)-ROW('[1]U$S'!$O$5)+1/--('[1]U$S'!$H$5:$H$1008=$L$5),ROWS($D$7:D163)),1))</f>
        <v/>
      </c>
      <c r="E163" s="22" t="str" cm="1">
        <f t="array" ref="E163">IF(ROWS($E$7:E163)&gt;COUNTIF('[1]U$S'!$H$5:$H$1008,$L$5),"",INDEX(CuentaUS,_xlfn.AGGREGATE(15,6,ROW('[1]U$S'!$H$5:$H$1008)-ROW('[1]U$S'!$O$5)+1/--('[1]U$S'!$H$5:$H$1008=$L$5),ROWS($E$7:E163)),6))</f>
        <v/>
      </c>
      <c r="F163" s="22" t="str">
        <f>IF(E163="","",IF(E163&gt;0,SUMIFS('[1]UY$'!$L$5:$L$993,'[1]UY$'!$O$5:$O$993,"Cambio",'[1]UY$'!$E$5:$E$993,'Efecto TC'!D163),""))</f>
        <v/>
      </c>
      <c r="G163" s="23" t="str">
        <f t="shared" si="29"/>
        <v/>
      </c>
      <c r="H163" s="22" t="str">
        <f t="shared" si="30"/>
        <v/>
      </c>
      <c r="I163" s="22" t="str">
        <f t="shared" si="27"/>
        <v/>
      </c>
      <c r="R163" s="24" t="e">
        <f t="shared" si="31"/>
        <v>#VALUE!</v>
      </c>
      <c r="S163" s="25" t="e">
        <f t="shared" si="28"/>
        <v>#VALUE!</v>
      </c>
    </row>
    <row r="164" spans="1:19" x14ac:dyDescent="0.25">
      <c r="A164" t="e">
        <f t="shared" si="24"/>
        <v>#VALUE!</v>
      </c>
      <c r="B164" t="e">
        <f t="shared" si="25"/>
        <v>#VALUE!</v>
      </c>
      <c r="D164" s="21" t="str" cm="1">
        <f t="array" ref="D164">IF(ROWS($D$7:D164)&gt;COUNTIF('[1]U$S'!$H$5:$H$1008,$L$5),"",INDEX(CuentaUS,_xlfn.AGGREGATE(15,6,ROW('[1]U$S'!$H$5:$H$1008)-ROW('[1]U$S'!$O$5)+1/--('[1]U$S'!$H$5:$H$1008=$L$5),ROWS($D$7:D164)),1))</f>
        <v/>
      </c>
      <c r="E164" s="22" t="str" cm="1">
        <f t="array" ref="E164">IF(ROWS($E$7:E164)&gt;COUNTIF('[1]U$S'!$H$5:$H$1008,$L$5),"",INDEX(CuentaUS,_xlfn.AGGREGATE(15,6,ROW('[1]U$S'!$H$5:$H$1008)-ROW('[1]U$S'!$O$5)+1/--('[1]U$S'!$H$5:$H$1008=$L$5),ROWS($E$7:E164)),6))</f>
        <v/>
      </c>
      <c r="F164" s="22" t="str">
        <f>IF(E164="","",IF(E164&gt;0,SUMIFS('[1]UY$'!$L$5:$L$993,'[1]UY$'!$O$5:$O$993,"Cambio",'[1]UY$'!$E$5:$E$993,'Efecto TC'!D164),""))</f>
        <v/>
      </c>
      <c r="G164" s="23" t="str">
        <f t="shared" si="29"/>
        <v/>
      </c>
      <c r="H164" s="22" t="str">
        <f t="shared" si="30"/>
        <v/>
      </c>
      <c r="I164" s="22" t="str">
        <f t="shared" si="27"/>
        <v/>
      </c>
      <c r="R164" s="24" t="e">
        <f t="shared" si="31"/>
        <v>#VALUE!</v>
      </c>
      <c r="S164" s="25" t="e">
        <f t="shared" si="28"/>
        <v>#VALUE!</v>
      </c>
    </row>
    <row r="165" spans="1:19" x14ac:dyDescent="0.25">
      <c r="A165" t="e">
        <f t="shared" si="24"/>
        <v>#VALUE!</v>
      </c>
      <c r="B165" t="e">
        <f t="shared" si="25"/>
        <v>#VALUE!</v>
      </c>
      <c r="D165" s="21" t="str" cm="1">
        <f t="array" ref="D165">IF(ROWS($D$7:D165)&gt;COUNTIF('[1]U$S'!$H$5:$H$1008,$L$5),"",INDEX(CuentaUS,_xlfn.AGGREGATE(15,6,ROW('[1]U$S'!$H$5:$H$1008)-ROW('[1]U$S'!$O$5)+1/--('[1]U$S'!$H$5:$H$1008=$L$5),ROWS($D$7:D165)),1))</f>
        <v/>
      </c>
      <c r="E165" s="22" t="str" cm="1">
        <f t="array" ref="E165">IF(ROWS($E$7:E165)&gt;COUNTIF('[1]U$S'!$H$5:$H$1008,$L$5),"",INDEX(CuentaUS,_xlfn.AGGREGATE(15,6,ROW('[1]U$S'!$H$5:$H$1008)-ROW('[1]U$S'!$O$5)+1/--('[1]U$S'!$H$5:$H$1008=$L$5),ROWS($E$7:E165)),6))</f>
        <v/>
      </c>
      <c r="F165" s="22" t="str">
        <f>IF(E165="","",IF(E165&gt;0,SUMIFS('[1]UY$'!$L$5:$L$993,'[1]UY$'!$O$5:$O$993,"Cambio",'[1]UY$'!$E$5:$E$993,'Efecto TC'!D165),""))</f>
        <v/>
      </c>
      <c r="G165" s="23" t="str">
        <f t="shared" si="29"/>
        <v/>
      </c>
      <c r="H165" s="22" t="str">
        <f t="shared" si="30"/>
        <v/>
      </c>
      <c r="I165" s="22" t="str">
        <f t="shared" si="27"/>
        <v/>
      </c>
      <c r="R165" s="24" t="e">
        <f t="shared" si="31"/>
        <v>#VALUE!</v>
      </c>
      <c r="S165" s="25" t="e">
        <f t="shared" si="28"/>
        <v>#VALUE!</v>
      </c>
    </row>
    <row r="166" spans="1:19" x14ac:dyDescent="0.25">
      <c r="A166" t="e">
        <f t="shared" si="24"/>
        <v>#VALUE!</v>
      </c>
      <c r="B166" t="e">
        <f t="shared" si="25"/>
        <v>#VALUE!</v>
      </c>
      <c r="D166" s="21" t="str" cm="1">
        <f t="array" ref="D166">IF(ROWS($D$7:D166)&gt;COUNTIF('[1]U$S'!$H$5:$H$1008,$L$5),"",INDEX(CuentaUS,_xlfn.AGGREGATE(15,6,ROW('[1]U$S'!$H$5:$H$1008)-ROW('[1]U$S'!$O$5)+1/--('[1]U$S'!$H$5:$H$1008=$L$5),ROWS($D$7:D166)),1))</f>
        <v/>
      </c>
      <c r="E166" s="22" t="str" cm="1">
        <f t="array" ref="E166">IF(ROWS($E$7:E166)&gt;COUNTIF('[1]U$S'!$H$5:$H$1008,$L$5),"",INDEX(CuentaUS,_xlfn.AGGREGATE(15,6,ROW('[1]U$S'!$H$5:$H$1008)-ROW('[1]U$S'!$O$5)+1/--('[1]U$S'!$H$5:$H$1008=$L$5),ROWS($E$7:E166)),6))</f>
        <v/>
      </c>
      <c r="F166" s="22" t="str">
        <f>IF(E166="","",IF(E166&gt;0,SUMIFS('[1]UY$'!$L$5:$L$993,'[1]UY$'!$O$5:$O$993,"Cambio",'[1]UY$'!$E$5:$E$993,'Efecto TC'!D166),""))</f>
        <v/>
      </c>
      <c r="G166" s="23" t="str">
        <f t="shared" si="29"/>
        <v/>
      </c>
      <c r="H166" s="22" t="str">
        <f t="shared" si="30"/>
        <v/>
      </c>
      <c r="I166" s="22" t="str">
        <f t="shared" si="27"/>
        <v/>
      </c>
      <c r="R166" s="24" t="e">
        <f t="shared" si="31"/>
        <v>#VALUE!</v>
      </c>
      <c r="S166" s="25" t="e">
        <f t="shared" si="28"/>
        <v>#VALUE!</v>
      </c>
    </row>
    <row r="167" spans="1:19" x14ac:dyDescent="0.25">
      <c r="A167" t="e">
        <f t="shared" si="24"/>
        <v>#VALUE!</v>
      </c>
      <c r="B167" t="e">
        <f t="shared" si="25"/>
        <v>#VALUE!</v>
      </c>
      <c r="D167" s="21" t="str" cm="1">
        <f t="array" ref="D167">IF(ROWS($D$7:D167)&gt;COUNTIF('[1]U$S'!$H$5:$H$1008,$L$5),"",INDEX(CuentaUS,_xlfn.AGGREGATE(15,6,ROW('[1]U$S'!$H$5:$H$1008)-ROW('[1]U$S'!$O$5)+1/--('[1]U$S'!$H$5:$H$1008=$L$5),ROWS($D$7:D167)),1))</f>
        <v/>
      </c>
      <c r="E167" s="22" t="str" cm="1">
        <f t="array" ref="E167">IF(ROWS($E$7:E167)&gt;COUNTIF('[1]U$S'!$H$5:$H$1008,$L$5),"",INDEX(CuentaUS,_xlfn.AGGREGATE(15,6,ROW('[1]U$S'!$H$5:$H$1008)-ROW('[1]U$S'!$O$5)+1/--('[1]U$S'!$H$5:$H$1008=$L$5),ROWS($E$7:E167)),6))</f>
        <v/>
      </c>
      <c r="F167" s="22" t="str">
        <f>IF(E167="","",IF(E167&gt;0,SUMIFS('[1]UY$'!$L$5:$L$993,'[1]UY$'!$O$5:$O$993,"Cambio",'[1]UY$'!$E$5:$E$993,'Efecto TC'!D167),""))</f>
        <v/>
      </c>
      <c r="G167" s="23" t="str">
        <f t="shared" si="29"/>
        <v/>
      </c>
      <c r="H167" s="22" t="str">
        <f t="shared" si="30"/>
        <v/>
      </c>
      <c r="I167" s="22" t="str">
        <f t="shared" si="27"/>
        <v/>
      </c>
      <c r="R167" s="24" t="e">
        <f t="shared" si="31"/>
        <v>#VALUE!</v>
      </c>
      <c r="S167" s="25" t="e">
        <f t="shared" si="28"/>
        <v>#VALUE!</v>
      </c>
    </row>
    <row r="168" spans="1:19" x14ac:dyDescent="0.25">
      <c r="A168" t="e">
        <f t="shared" si="24"/>
        <v>#VALUE!</v>
      </c>
      <c r="B168" t="e">
        <f t="shared" si="25"/>
        <v>#VALUE!</v>
      </c>
      <c r="D168" s="21" t="str" cm="1">
        <f t="array" ref="D168">IF(ROWS($D$7:D168)&gt;COUNTIF('[1]U$S'!$H$5:$H$1008,$L$5),"",INDEX(CuentaUS,_xlfn.AGGREGATE(15,6,ROW('[1]U$S'!$H$5:$H$1008)-ROW('[1]U$S'!$O$5)+1/--('[1]U$S'!$H$5:$H$1008=$L$5),ROWS($D$7:D168)),1))</f>
        <v/>
      </c>
      <c r="E168" s="22" t="str" cm="1">
        <f t="array" ref="E168">IF(ROWS($E$7:E168)&gt;COUNTIF('[1]U$S'!$H$5:$H$1008,$L$5),"",INDEX(CuentaUS,_xlfn.AGGREGATE(15,6,ROW('[1]U$S'!$H$5:$H$1008)-ROW('[1]U$S'!$O$5)+1/--('[1]U$S'!$H$5:$H$1008=$L$5),ROWS($E$7:E168)),6))</f>
        <v/>
      </c>
      <c r="F168" s="22" t="str">
        <f>IF(E168="","",IF(E168&gt;0,SUMIFS('[1]UY$'!$L$5:$L$993,'[1]UY$'!$O$5:$O$993,"Cambio",'[1]UY$'!$E$5:$E$993,'Efecto TC'!D168),""))</f>
        <v/>
      </c>
      <c r="G168" s="23" t="str">
        <f t="shared" si="29"/>
        <v/>
      </c>
      <c r="H168" s="22" t="str">
        <f t="shared" si="30"/>
        <v/>
      </c>
      <c r="I168" s="22" t="str">
        <f t="shared" si="27"/>
        <v/>
      </c>
      <c r="R168" s="24" t="e">
        <f t="shared" si="31"/>
        <v>#VALUE!</v>
      </c>
      <c r="S168" s="25" t="e">
        <f t="shared" si="28"/>
        <v>#VALUE!</v>
      </c>
    </row>
    <row r="169" spans="1:19" x14ac:dyDescent="0.25">
      <c r="A169" t="e">
        <f t="shared" si="24"/>
        <v>#VALUE!</v>
      </c>
      <c r="B169" t="e">
        <f t="shared" si="25"/>
        <v>#VALUE!</v>
      </c>
      <c r="D169" s="21" t="str" cm="1">
        <f t="array" ref="D169">IF(ROWS($D$7:D169)&gt;COUNTIF('[1]U$S'!$H$5:$H$1008,$L$5),"",INDEX(CuentaUS,_xlfn.AGGREGATE(15,6,ROW('[1]U$S'!$H$5:$H$1008)-ROW('[1]U$S'!$O$5)+1/--('[1]U$S'!$H$5:$H$1008=$L$5),ROWS($D$7:D169)),1))</f>
        <v/>
      </c>
      <c r="E169" s="22" t="str" cm="1">
        <f t="array" ref="E169">IF(ROWS($E$7:E169)&gt;COUNTIF('[1]U$S'!$H$5:$H$1008,$L$5),"",INDEX(CuentaUS,_xlfn.AGGREGATE(15,6,ROW('[1]U$S'!$H$5:$H$1008)-ROW('[1]U$S'!$O$5)+1/--('[1]U$S'!$H$5:$H$1008=$L$5),ROWS($E$7:E169)),6))</f>
        <v/>
      </c>
      <c r="F169" s="22" t="str">
        <f>IF(E169="","",IF(E169&gt;0,SUMIFS('[1]UY$'!$L$5:$L$993,'[1]UY$'!$O$5:$O$993,"Cambio",'[1]UY$'!$E$5:$E$993,'Efecto TC'!D169),""))</f>
        <v/>
      </c>
      <c r="G169" s="23" t="str">
        <f t="shared" si="29"/>
        <v/>
      </c>
      <c r="H169" s="22" t="str">
        <f t="shared" si="30"/>
        <v/>
      </c>
      <c r="I169" s="22" t="str">
        <f t="shared" si="27"/>
        <v/>
      </c>
      <c r="R169" s="24" t="e">
        <f t="shared" si="31"/>
        <v>#VALUE!</v>
      </c>
      <c r="S169" s="25" t="e">
        <f t="shared" si="28"/>
        <v>#VALUE!</v>
      </c>
    </row>
    <row r="170" spans="1:19" x14ac:dyDescent="0.25">
      <c r="A170" t="e">
        <f t="shared" si="24"/>
        <v>#VALUE!</v>
      </c>
      <c r="B170" t="e">
        <f t="shared" si="25"/>
        <v>#VALUE!</v>
      </c>
      <c r="D170" s="21" t="str" cm="1">
        <f t="array" ref="D170">IF(ROWS($D$7:D170)&gt;COUNTIF('[1]U$S'!$H$5:$H$1008,$L$5),"",INDEX(CuentaUS,_xlfn.AGGREGATE(15,6,ROW('[1]U$S'!$H$5:$H$1008)-ROW('[1]U$S'!$O$5)+1/--('[1]U$S'!$H$5:$H$1008=$L$5),ROWS($D$7:D170)),1))</f>
        <v/>
      </c>
      <c r="E170" s="22" t="str" cm="1">
        <f t="array" ref="E170">IF(ROWS($E$7:E170)&gt;COUNTIF('[1]U$S'!$H$5:$H$1008,$L$5),"",INDEX(CuentaUS,_xlfn.AGGREGATE(15,6,ROW('[1]U$S'!$H$5:$H$1008)-ROW('[1]U$S'!$O$5)+1/--('[1]U$S'!$H$5:$H$1008=$L$5),ROWS($E$7:E170)),6))</f>
        <v/>
      </c>
      <c r="F170" s="22" t="str">
        <f>IF(E170="","",IF(E170&gt;0,SUMIFS('[1]UY$'!$L$5:$L$993,'[1]UY$'!$O$5:$O$993,"Cambio",'[1]UY$'!$E$5:$E$993,'Efecto TC'!D170),""))</f>
        <v/>
      </c>
      <c r="G170" s="23" t="str">
        <f t="shared" si="29"/>
        <v/>
      </c>
      <c r="H170" s="22" t="str">
        <f t="shared" si="30"/>
        <v/>
      </c>
      <c r="I170" s="22" t="str">
        <f t="shared" si="27"/>
        <v/>
      </c>
      <c r="R170" s="24" t="e">
        <f t="shared" si="31"/>
        <v>#VALUE!</v>
      </c>
      <c r="S170" s="25" t="e">
        <f t="shared" si="28"/>
        <v>#VALUE!</v>
      </c>
    </row>
    <row r="171" spans="1:19" x14ac:dyDescent="0.25">
      <c r="A171" t="e">
        <f t="shared" si="24"/>
        <v>#VALUE!</v>
      </c>
      <c r="B171" t="e">
        <f t="shared" si="25"/>
        <v>#VALUE!</v>
      </c>
      <c r="D171" s="21" t="str" cm="1">
        <f t="array" ref="D171">IF(ROWS($D$7:D171)&gt;COUNTIF('[1]U$S'!$H$5:$H$1008,$L$5),"",INDEX(CuentaUS,_xlfn.AGGREGATE(15,6,ROW('[1]U$S'!$H$5:$H$1008)-ROW('[1]U$S'!$O$5)+1/--('[1]U$S'!$H$5:$H$1008=$L$5),ROWS($D$7:D171)),1))</f>
        <v/>
      </c>
      <c r="E171" s="22" t="str" cm="1">
        <f t="array" ref="E171">IF(ROWS($E$7:E171)&gt;COUNTIF('[1]U$S'!$H$5:$H$1008,$L$5),"",INDEX(CuentaUS,_xlfn.AGGREGATE(15,6,ROW('[1]U$S'!$H$5:$H$1008)-ROW('[1]U$S'!$O$5)+1/--('[1]U$S'!$H$5:$H$1008=$L$5),ROWS($E$7:E171)),6))</f>
        <v/>
      </c>
      <c r="F171" s="22" t="str">
        <f>IF(E171="","",IF(E171&gt;0,SUMIFS('[1]UY$'!$L$5:$L$993,'[1]UY$'!$O$5:$O$993,"Cambio",'[1]UY$'!$E$5:$E$993,'Efecto TC'!D171),""))</f>
        <v/>
      </c>
      <c r="G171" s="23" t="str">
        <f t="shared" si="29"/>
        <v/>
      </c>
      <c r="H171" s="22" t="str">
        <f t="shared" si="30"/>
        <v/>
      </c>
      <c r="I171" s="22" t="str">
        <f t="shared" si="27"/>
        <v/>
      </c>
      <c r="R171" s="24" t="e">
        <f t="shared" si="31"/>
        <v>#VALUE!</v>
      </c>
      <c r="S171" s="25" t="e">
        <f t="shared" si="28"/>
        <v>#VALUE!</v>
      </c>
    </row>
    <row r="172" spans="1:19" x14ac:dyDescent="0.25">
      <c r="A172" t="e">
        <f t="shared" si="24"/>
        <v>#VALUE!</v>
      </c>
      <c r="B172" t="e">
        <f t="shared" si="25"/>
        <v>#VALUE!</v>
      </c>
      <c r="D172" s="21" t="str" cm="1">
        <f t="array" ref="D172">IF(ROWS($D$7:D172)&gt;COUNTIF('[1]U$S'!$H$5:$H$1008,$L$5),"",INDEX(CuentaUS,_xlfn.AGGREGATE(15,6,ROW('[1]U$S'!$H$5:$H$1008)-ROW('[1]U$S'!$O$5)+1/--('[1]U$S'!$H$5:$H$1008=$L$5),ROWS($D$7:D172)),1))</f>
        <v/>
      </c>
      <c r="E172" s="22" t="str" cm="1">
        <f t="array" ref="E172">IF(ROWS($E$7:E172)&gt;COUNTIF('[1]U$S'!$H$5:$H$1008,$L$5),"",INDEX(CuentaUS,_xlfn.AGGREGATE(15,6,ROW('[1]U$S'!$H$5:$H$1008)-ROW('[1]U$S'!$O$5)+1/--('[1]U$S'!$H$5:$H$1008=$L$5),ROWS($E$7:E172)),6))</f>
        <v/>
      </c>
      <c r="F172" s="22" t="str">
        <f>IF(E172="","",IF(E172&gt;0,SUMIFS('[1]UY$'!$L$5:$L$993,'[1]UY$'!$O$5:$O$993,"Cambio",'[1]UY$'!$E$5:$E$993,'Efecto TC'!D172),""))</f>
        <v/>
      </c>
      <c r="G172" s="23" t="str">
        <f t="shared" si="29"/>
        <v/>
      </c>
      <c r="H172" s="22" t="str">
        <f t="shared" si="30"/>
        <v/>
      </c>
      <c r="I172" s="22" t="str">
        <f t="shared" si="27"/>
        <v/>
      </c>
      <c r="R172" s="24" t="e">
        <f t="shared" si="31"/>
        <v>#VALUE!</v>
      </c>
      <c r="S172" s="25" t="e">
        <f t="shared" si="28"/>
        <v>#VALUE!</v>
      </c>
    </row>
    <row r="173" spans="1:19" x14ac:dyDescent="0.25">
      <c r="A173" t="e">
        <f t="shared" si="24"/>
        <v>#VALUE!</v>
      </c>
      <c r="B173" t="e">
        <f t="shared" si="25"/>
        <v>#VALUE!</v>
      </c>
      <c r="D173" s="21" t="str" cm="1">
        <f t="array" ref="D173">IF(ROWS($D$7:D173)&gt;COUNTIF('[1]U$S'!$H$5:$H$1008,$L$5),"",INDEX(CuentaUS,_xlfn.AGGREGATE(15,6,ROW('[1]U$S'!$H$5:$H$1008)-ROW('[1]U$S'!$O$5)+1/--('[1]U$S'!$H$5:$H$1008=$L$5),ROWS($D$7:D173)),1))</f>
        <v/>
      </c>
      <c r="E173" s="22" t="str" cm="1">
        <f t="array" ref="E173">IF(ROWS($E$7:E173)&gt;COUNTIF('[1]U$S'!$H$5:$H$1008,$L$5),"",INDEX(CuentaUS,_xlfn.AGGREGATE(15,6,ROW('[1]U$S'!$H$5:$H$1008)-ROW('[1]U$S'!$O$5)+1/--('[1]U$S'!$H$5:$H$1008=$L$5),ROWS($E$7:E173)),6))</f>
        <v/>
      </c>
      <c r="F173" s="22" t="str">
        <f>IF(E173="","",IF(E173&gt;0,SUMIFS('[1]UY$'!$L$5:$L$993,'[1]UY$'!$O$5:$O$993,"Cambio",'[1]UY$'!$E$5:$E$993,'Efecto TC'!D173),""))</f>
        <v/>
      </c>
      <c r="G173" s="23" t="str">
        <f t="shared" si="29"/>
        <v/>
      </c>
      <c r="H173" s="22" t="str">
        <f t="shared" si="30"/>
        <v/>
      </c>
      <c r="I173" s="22" t="str">
        <f t="shared" si="27"/>
        <v/>
      </c>
      <c r="R173" s="24" t="e">
        <f t="shared" si="31"/>
        <v>#VALUE!</v>
      </c>
      <c r="S173" s="25" t="e">
        <f t="shared" si="28"/>
        <v>#VALUE!</v>
      </c>
    </row>
    <row r="174" spans="1:19" x14ac:dyDescent="0.25">
      <c r="A174" t="e">
        <f t="shared" si="24"/>
        <v>#VALUE!</v>
      </c>
      <c r="B174" t="e">
        <f t="shared" si="25"/>
        <v>#VALUE!</v>
      </c>
      <c r="D174" s="21" t="str" cm="1">
        <f t="array" ref="D174">IF(ROWS($D$7:D174)&gt;COUNTIF('[1]U$S'!$H$5:$H$1008,$L$5),"",INDEX(CuentaUS,_xlfn.AGGREGATE(15,6,ROW('[1]U$S'!$H$5:$H$1008)-ROW('[1]U$S'!$O$5)+1/--('[1]U$S'!$H$5:$H$1008=$L$5),ROWS($D$7:D174)),1))</f>
        <v/>
      </c>
      <c r="E174" s="22" t="str" cm="1">
        <f t="array" ref="E174">IF(ROWS($E$7:E174)&gt;COUNTIF('[1]U$S'!$H$5:$H$1008,$L$5),"",INDEX(CuentaUS,_xlfn.AGGREGATE(15,6,ROW('[1]U$S'!$H$5:$H$1008)-ROW('[1]U$S'!$O$5)+1/--('[1]U$S'!$H$5:$H$1008=$L$5),ROWS($E$7:E174)),6))</f>
        <v/>
      </c>
      <c r="F174" s="22" t="str">
        <f>IF(E174="","",IF(E174&gt;0,SUMIFS('[1]UY$'!$L$5:$L$993,'[1]UY$'!$O$5:$O$993,"Cambio",'[1]UY$'!$E$5:$E$993,'Efecto TC'!D174),""))</f>
        <v/>
      </c>
      <c r="G174" s="23" t="str">
        <f t="shared" si="29"/>
        <v/>
      </c>
      <c r="H174" s="22" t="str">
        <f t="shared" si="30"/>
        <v/>
      </c>
      <c r="I174" s="22" t="str">
        <f t="shared" si="27"/>
        <v/>
      </c>
      <c r="R174" s="24" t="e">
        <f t="shared" si="31"/>
        <v>#VALUE!</v>
      </c>
      <c r="S174" s="25" t="e">
        <f t="shared" si="28"/>
        <v>#VALUE!</v>
      </c>
    </row>
    <row r="175" spans="1:19" x14ac:dyDescent="0.25">
      <c r="A175" t="e">
        <f t="shared" si="24"/>
        <v>#VALUE!</v>
      </c>
      <c r="B175" t="e">
        <f t="shared" si="25"/>
        <v>#VALUE!</v>
      </c>
      <c r="D175" s="21" t="str" cm="1">
        <f t="array" ref="D175">IF(ROWS($D$7:D175)&gt;COUNTIF('[1]U$S'!$H$5:$H$1008,$L$5),"",INDEX(CuentaUS,_xlfn.AGGREGATE(15,6,ROW('[1]U$S'!$H$5:$H$1008)-ROW('[1]U$S'!$O$5)+1/--('[1]U$S'!$H$5:$H$1008=$L$5),ROWS($D$7:D175)),1))</f>
        <v/>
      </c>
      <c r="E175" s="22" t="str" cm="1">
        <f t="array" ref="E175">IF(ROWS($E$7:E175)&gt;COUNTIF('[1]U$S'!$H$5:$H$1008,$L$5),"",INDEX(CuentaUS,_xlfn.AGGREGATE(15,6,ROW('[1]U$S'!$H$5:$H$1008)-ROW('[1]U$S'!$O$5)+1/--('[1]U$S'!$H$5:$H$1008=$L$5),ROWS($E$7:E175)),6))</f>
        <v/>
      </c>
      <c r="F175" s="22" t="str">
        <f>IF(E175="","",IF(E175&gt;0,SUMIFS('[1]UY$'!$L$5:$L$993,'[1]UY$'!$O$5:$O$993,"Cambio",'[1]UY$'!$E$5:$E$993,'Efecto TC'!D175),""))</f>
        <v/>
      </c>
      <c r="G175" s="23" t="str">
        <f t="shared" si="29"/>
        <v/>
      </c>
      <c r="H175" s="22" t="str">
        <f t="shared" si="30"/>
        <v/>
      </c>
      <c r="I175" s="22" t="str">
        <f t="shared" si="27"/>
        <v/>
      </c>
      <c r="R175" s="24" t="e">
        <f t="shared" si="31"/>
        <v>#VALUE!</v>
      </c>
      <c r="S175" s="25" t="e">
        <f t="shared" si="28"/>
        <v>#VALUE!</v>
      </c>
    </row>
    <row r="176" spans="1:19" x14ac:dyDescent="0.25">
      <c r="A176" t="e">
        <f t="shared" si="24"/>
        <v>#VALUE!</v>
      </c>
      <c r="B176" t="e">
        <f t="shared" si="25"/>
        <v>#VALUE!</v>
      </c>
      <c r="D176" s="21" t="str" cm="1">
        <f t="array" ref="D176">IF(ROWS($D$7:D176)&gt;COUNTIF('[1]U$S'!$H$5:$H$1008,$L$5),"",INDEX(CuentaUS,_xlfn.AGGREGATE(15,6,ROW('[1]U$S'!$H$5:$H$1008)-ROW('[1]U$S'!$O$5)+1/--('[1]U$S'!$H$5:$H$1008=$L$5),ROWS($D$7:D176)),1))</f>
        <v/>
      </c>
      <c r="E176" s="22" t="str" cm="1">
        <f t="array" ref="E176">IF(ROWS($E$7:E176)&gt;COUNTIF('[1]U$S'!$H$5:$H$1008,$L$5),"",INDEX(CuentaUS,_xlfn.AGGREGATE(15,6,ROW('[1]U$S'!$H$5:$H$1008)-ROW('[1]U$S'!$O$5)+1/--('[1]U$S'!$H$5:$H$1008=$L$5),ROWS($E$7:E176)),6))</f>
        <v/>
      </c>
      <c r="F176" s="22" t="str">
        <f>IF(E176="","",IF(E176&gt;0,SUMIFS('[1]UY$'!$L$5:$L$993,'[1]UY$'!$O$5:$O$993,"Cambio",'[1]UY$'!$E$5:$E$993,'Efecto TC'!D176),""))</f>
        <v/>
      </c>
      <c r="G176" s="23" t="str">
        <f t="shared" si="29"/>
        <v/>
      </c>
      <c r="H176" s="22" t="str">
        <f t="shared" si="30"/>
        <v/>
      </c>
      <c r="I176" s="22" t="str">
        <f t="shared" si="27"/>
        <v/>
      </c>
      <c r="R176" s="24" t="e">
        <f t="shared" si="31"/>
        <v>#VALUE!</v>
      </c>
      <c r="S176" s="25" t="e">
        <f t="shared" si="28"/>
        <v>#VALUE!</v>
      </c>
    </row>
    <row r="177" spans="1:19" x14ac:dyDescent="0.25">
      <c r="A177" t="e">
        <f t="shared" si="24"/>
        <v>#VALUE!</v>
      </c>
      <c r="B177" t="e">
        <f t="shared" si="25"/>
        <v>#VALUE!</v>
      </c>
      <c r="D177" s="21" t="str" cm="1">
        <f t="array" ref="D177">IF(ROWS($D$7:D177)&gt;COUNTIF('[1]U$S'!$H$5:$H$1008,$L$5),"",INDEX(CuentaUS,_xlfn.AGGREGATE(15,6,ROW('[1]U$S'!$H$5:$H$1008)-ROW('[1]U$S'!$O$5)+1/--('[1]U$S'!$H$5:$H$1008=$L$5),ROWS($D$7:D177)),1))</f>
        <v/>
      </c>
      <c r="E177" s="22" t="str" cm="1">
        <f t="array" ref="E177">IF(ROWS($E$7:E177)&gt;COUNTIF('[1]U$S'!$H$5:$H$1008,$L$5),"",INDEX(CuentaUS,_xlfn.AGGREGATE(15,6,ROW('[1]U$S'!$H$5:$H$1008)-ROW('[1]U$S'!$O$5)+1/--('[1]U$S'!$H$5:$H$1008=$L$5),ROWS($E$7:E177)),6))</f>
        <v/>
      </c>
      <c r="F177" s="22" t="str">
        <f>IF(E177="","",IF(E177&gt;0,SUMIFS('[1]UY$'!$L$5:$L$993,'[1]UY$'!$O$5:$O$993,"Cambio",'[1]UY$'!$E$5:$E$993,'Efecto TC'!D177),""))</f>
        <v/>
      </c>
      <c r="G177" s="23" t="str">
        <f t="shared" si="29"/>
        <v/>
      </c>
      <c r="H177" s="22" t="str">
        <f t="shared" si="30"/>
        <v/>
      </c>
      <c r="I177" s="22" t="str">
        <f t="shared" si="27"/>
        <v/>
      </c>
      <c r="R177" s="24" t="e">
        <f t="shared" si="31"/>
        <v>#VALUE!</v>
      </c>
      <c r="S177" s="25" t="e">
        <f t="shared" si="28"/>
        <v>#VALUE!</v>
      </c>
    </row>
    <row r="178" spans="1:19" x14ac:dyDescent="0.25">
      <c r="A178" t="e">
        <f t="shared" si="24"/>
        <v>#VALUE!</v>
      </c>
      <c r="B178" t="e">
        <f t="shared" si="25"/>
        <v>#VALUE!</v>
      </c>
      <c r="D178" s="21" t="str" cm="1">
        <f t="array" ref="D178">IF(ROWS($D$7:D178)&gt;COUNTIF('[1]U$S'!$H$5:$H$1008,$L$5),"",INDEX(CuentaUS,_xlfn.AGGREGATE(15,6,ROW('[1]U$S'!$H$5:$H$1008)-ROW('[1]U$S'!$O$5)+1/--('[1]U$S'!$H$5:$H$1008=$L$5),ROWS($D$7:D178)),1))</f>
        <v/>
      </c>
      <c r="E178" s="22" t="str" cm="1">
        <f t="array" ref="E178">IF(ROWS($E$7:E178)&gt;COUNTIF('[1]U$S'!$H$5:$H$1008,$L$5),"",INDEX(CuentaUS,_xlfn.AGGREGATE(15,6,ROW('[1]U$S'!$H$5:$H$1008)-ROW('[1]U$S'!$O$5)+1/--('[1]U$S'!$H$5:$H$1008=$L$5),ROWS($E$7:E178)),6))</f>
        <v/>
      </c>
      <c r="F178" s="22" t="str">
        <f>IF(E178="","",IF(E178&gt;0,SUMIFS('[1]UY$'!$L$5:$L$993,'[1]UY$'!$O$5:$O$993,"Cambio",'[1]UY$'!$E$5:$E$993,'Efecto TC'!D178),""))</f>
        <v/>
      </c>
      <c r="G178" s="23" t="str">
        <f t="shared" si="29"/>
        <v/>
      </c>
      <c r="H178" s="22" t="str">
        <f t="shared" si="30"/>
        <v/>
      </c>
      <c r="I178" s="22" t="str">
        <f t="shared" si="27"/>
        <v/>
      </c>
      <c r="R178" s="24" t="e">
        <f t="shared" si="31"/>
        <v>#VALUE!</v>
      </c>
      <c r="S178" s="25" t="e">
        <f t="shared" si="28"/>
        <v>#VALUE!</v>
      </c>
    </row>
    <row r="179" spans="1:19" x14ac:dyDescent="0.25">
      <c r="A179" t="e">
        <f t="shared" si="24"/>
        <v>#VALUE!</v>
      </c>
      <c r="B179" t="e">
        <f t="shared" si="25"/>
        <v>#VALUE!</v>
      </c>
      <c r="D179" s="21" t="str" cm="1">
        <f t="array" ref="D179">IF(ROWS($D$7:D179)&gt;COUNTIF('[1]U$S'!$H$5:$H$1008,$L$5),"",INDEX(CuentaUS,_xlfn.AGGREGATE(15,6,ROW('[1]U$S'!$H$5:$H$1008)-ROW('[1]U$S'!$O$5)+1/--('[1]U$S'!$H$5:$H$1008=$L$5),ROWS($D$7:D179)),1))</f>
        <v/>
      </c>
      <c r="E179" s="22" t="str" cm="1">
        <f t="array" ref="E179">IF(ROWS($E$7:E179)&gt;COUNTIF('[1]U$S'!$H$5:$H$1008,$L$5),"",INDEX(CuentaUS,_xlfn.AGGREGATE(15,6,ROW('[1]U$S'!$H$5:$H$1008)-ROW('[1]U$S'!$O$5)+1/--('[1]U$S'!$H$5:$H$1008=$L$5),ROWS($E$7:E179)),6))</f>
        <v/>
      </c>
      <c r="F179" s="22" t="str">
        <f>IF(E179="","",IF(E179&gt;0,SUMIFS('[1]UY$'!$L$5:$L$993,'[1]UY$'!$O$5:$O$993,"Cambio",'[1]UY$'!$E$5:$E$993,'Efecto TC'!D179),""))</f>
        <v/>
      </c>
      <c r="G179" s="23" t="str">
        <f t="shared" si="29"/>
        <v/>
      </c>
      <c r="H179" s="22" t="str">
        <f t="shared" si="30"/>
        <v/>
      </c>
      <c r="I179" s="22" t="str">
        <f t="shared" si="27"/>
        <v/>
      </c>
      <c r="R179" s="24" t="e">
        <f t="shared" si="31"/>
        <v>#VALUE!</v>
      </c>
      <c r="S179" s="25" t="e">
        <f t="shared" si="28"/>
        <v>#VALUE!</v>
      </c>
    </row>
    <row r="180" spans="1:19" x14ac:dyDescent="0.25">
      <c r="A180" t="e">
        <f t="shared" si="24"/>
        <v>#VALUE!</v>
      </c>
      <c r="B180" t="e">
        <f t="shared" si="25"/>
        <v>#VALUE!</v>
      </c>
      <c r="D180" s="21" t="str" cm="1">
        <f t="array" ref="D180">IF(ROWS($D$7:D180)&gt;COUNTIF('[1]U$S'!$H$5:$H$1008,$L$5),"",INDEX(CuentaUS,_xlfn.AGGREGATE(15,6,ROW('[1]U$S'!$H$5:$H$1008)-ROW('[1]U$S'!$O$5)+1/--('[1]U$S'!$H$5:$H$1008=$L$5),ROWS($D$7:D180)),1))</f>
        <v/>
      </c>
      <c r="E180" s="22" t="str" cm="1">
        <f t="array" ref="E180">IF(ROWS($E$7:E180)&gt;COUNTIF('[1]U$S'!$H$5:$H$1008,$L$5),"",INDEX(CuentaUS,_xlfn.AGGREGATE(15,6,ROW('[1]U$S'!$H$5:$H$1008)-ROW('[1]U$S'!$O$5)+1/--('[1]U$S'!$H$5:$H$1008=$L$5),ROWS($E$7:E180)),6))</f>
        <v/>
      </c>
      <c r="F180" s="22" t="str">
        <f>IF(E180="","",IF(E180&gt;0,SUMIFS('[1]UY$'!$L$5:$L$993,'[1]UY$'!$O$5:$O$993,"Cambio",'[1]UY$'!$E$5:$E$993,'Efecto TC'!D180),""))</f>
        <v/>
      </c>
      <c r="G180" s="23" t="str">
        <f t="shared" si="29"/>
        <v/>
      </c>
      <c r="H180" s="22" t="str">
        <f t="shared" si="30"/>
        <v/>
      </c>
      <c r="I180" s="22" t="str">
        <f t="shared" si="27"/>
        <v/>
      </c>
      <c r="R180" s="24" t="e">
        <f t="shared" si="31"/>
        <v>#VALUE!</v>
      </c>
      <c r="S180" s="25" t="e">
        <f t="shared" si="28"/>
        <v>#VALUE!</v>
      </c>
    </row>
    <row r="181" spans="1:19" x14ac:dyDescent="0.25">
      <c r="A181" t="e">
        <f t="shared" si="24"/>
        <v>#VALUE!</v>
      </c>
      <c r="B181" t="e">
        <f t="shared" si="25"/>
        <v>#VALUE!</v>
      </c>
      <c r="D181" s="21" t="str" cm="1">
        <f t="array" ref="D181">IF(ROWS($D$7:D181)&gt;COUNTIF('[1]U$S'!$H$5:$H$1008,$L$5),"",INDEX(CuentaUS,_xlfn.AGGREGATE(15,6,ROW('[1]U$S'!$H$5:$H$1008)-ROW('[1]U$S'!$O$5)+1/--('[1]U$S'!$H$5:$H$1008=$L$5),ROWS($D$7:D181)),1))</f>
        <v/>
      </c>
      <c r="E181" s="22" t="str" cm="1">
        <f t="array" ref="E181">IF(ROWS($E$7:E181)&gt;COUNTIF('[1]U$S'!$H$5:$H$1008,$L$5),"",INDEX(CuentaUS,_xlfn.AGGREGATE(15,6,ROW('[1]U$S'!$H$5:$H$1008)-ROW('[1]U$S'!$O$5)+1/--('[1]U$S'!$H$5:$H$1008=$L$5),ROWS($E$7:E181)),6))</f>
        <v/>
      </c>
      <c r="F181" s="22" t="str">
        <f>IF(E181="","",IF(E181&gt;0,SUMIFS('[1]UY$'!$L$5:$L$993,'[1]UY$'!$O$5:$O$993,"Cambio",'[1]UY$'!$E$5:$E$993,'Efecto TC'!D181),""))</f>
        <v/>
      </c>
      <c r="G181" s="23" t="str">
        <f t="shared" si="29"/>
        <v/>
      </c>
      <c r="H181" s="22" t="str">
        <f t="shared" si="30"/>
        <v/>
      </c>
      <c r="I181" s="54" t="str">
        <f t="shared" si="27"/>
        <v/>
      </c>
      <c r="R181" s="24" t="e">
        <f t="shared" si="31"/>
        <v>#VALUE!</v>
      </c>
      <c r="S181" s="25" t="e">
        <f t="shared" si="28"/>
        <v>#VALUE!</v>
      </c>
    </row>
    <row r="182" spans="1:19" x14ac:dyDescent="0.25">
      <c r="A182" t="e">
        <f t="shared" si="24"/>
        <v>#VALUE!</v>
      </c>
      <c r="B182" t="e">
        <f t="shared" si="25"/>
        <v>#VALUE!</v>
      </c>
      <c r="D182" s="21" t="str" cm="1">
        <f t="array" ref="D182">IF(ROWS($D$7:D182)&gt;COUNTIF('[1]U$S'!$H$5:$H$1008,$L$5),"",INDEX(CuentaUS,_xlfn.AGGREGATE(15,6,ROW('[1]U$S'!$H$5:$H$1008)-ROW('[1]U$S'!$O$5)+1/--('[1]U$S'!$H$5:$H$1008=$L$5),ROWS($D$7:D182)),1))</f>
        <v/>
      </c>
      <c r="E182" s="22" t="str" cm="1">
        <f t="array" ref="E182">IF(ROWS($E$7:E182)&gt;COUNTIF('[1]U$S'!$H$5:$H$1008,$L$5),"",INDEX(CuentaUS,_xlfn.AGGREGATE(15,6,ROW('[1]U$S'!$H$5:$H$1008)-ROW('[1]U$S'!$O$5)+1/--('[1]U$S'!$H$5:$H$1008=$L$5),ROWS($E$7:E182)),6))</f>
        <v/>
      </c>
      <c r="F182" s="22" t="str">
        <f>IF(E182="","",IF(E182&gt;0,SUMIFS('[1]UY$'!$L$5:$L$993,'[1]UY$'!$O$5:$O$993,"Cambio",'[1]UY$'!$E$5:$E$993,'Efecto TC'!D182),""))</f>
        <v/>
      </c>
      <c r="G182" s="23" t="str">
        <f t="shared" si="29"/>
        <v/>
      </c>
      <c r="H182" s="22" t="str">
        <f t="shared" si="30"/>
        <v/>
      </c>
      <c r="I182" s="54" t="str">
        <f t="shared" si="27"/>
        <v/>
      </c>
      <c r="R182" s="24" t="e">
        <f t="shared" si="31"/>
        <v>#VALUE!</v>
      </c>
      <c r="S182" s="25" t="e">
        <f t="shared" si="28"/>
        <v>#VALUE!</v>
      </c>
    </row>
    <row r="183" spans="1:19" x14ac:dyDescent="0.25">
      <c r="A183" t="e">
        <f t="shared" si="24"/>
        <v>#VALUE!</v>
      </c>
      <c r="B183" t="e">
        <f t="shared" si="25"/>
        <v>#VALUE!</v>
      </c>
      <c r="D183" s="21" t="str" cm="1">
        <f t="array" ref="D183">IF(ROWS($D$7:D183)&gt;COUNTIF('[1]U$S'!$H$5:$H$1008,$L$5),"",INDEX(CuentaUS,_xlfn.AGGREGATE(15,6,ROW('[1]U$S'!$H$5:$H$1008)-ROW('[1]U$S'!$O$5)+1/--('[1]U$S'!$H$5:$H$1008=$L$5),ROWS($D$7:D183)),1))</f>
        <v/>
      </c>
      <c r="E183" s="22" t="str" cm="1">
        <f t="array" ref="E183">IF(ROWS($E$7:E183)&gt;COUNTIF('[1]U$S'!$H$5:$H$1008,$L$5),"",INDEX(CuentaUS,_xlfn.AGGREGATE(15,6,ROW('[1]U$S'!$H$5:$H$1008)-ROW('[1]U$S'!$O$5)+1/--('[1]U$S'!$H$5:$H$1008=$L$5),ROWS($E$7:E183)),6))</f>
        <v/>
      </c>
      <c r="F183" s="22" t="str">
        <f>IF(E183="","",IF(E183&gt;0,SUMIFS('[1]UY$'!$L$5:$L$993,'[1]UY$'!$O$5:$O$993,"Cambio",'[1]UY$'!$E$5:$E$993,'Efecto TC'!D183),""))</f>
        <v/>
      </c>
      <c r="G183" s="23" t="str">
        <f t="shared" si="29"/>
        <v/>
      </c>
      <c r="H183" s="22" t="str">
        <f t="shared" si="30"/>
        <v/>
      </c>
      <c r="I183" s="54" t="str">
        <f t="shared" si="27"/>
        <v/>
      </c>
      <c r="R183" s="24" t="e">
        <f t="shared" si="31"/>
        <v>#VALUE!</v>
      </c>
      <c r="S183" s="25" t="e">
        <f t="shared" si="28"/>
        <v>#VALUE!</v>
      </c>
    </row>
    <row r="184" spans="1:19" x14ac:dyDescent="0.25">
      <c r="A184" t="e">
        <f t="shared" si="24"/>
        <v>#VALUE!</v>
      </c>
      <c r="B184" t="e">
        <f t="shared" si="25"/>
        <v>#VALUE!</v>
      </c>
      <c r="D184" s="21" t="str" cm="1">
        <f t="array" ref="D184">IF(ROWS($D$7:D184)&gt;COUNTIF('[1]U$S'!$H$5:$H$1008,$L$5),"",INDEX(CuentaUS,_xlfn.AGGREGATE(15,6,ROW('[1]U$S'!$H$5:$H$1008)-ROW('[1]U$S'!$O$5)+1/--('[1]U$S'!$H$5:$H$1008=$L$5),ROWS($D$7:D184)),1))</f>
        <v/>
      </c>
      <c r="E184" s="22" t="str" cm="1">
        <f t="array" ref="E184">IF(ROWS($E$7:E184)&gt;COUNTIF('[1]U$S'!$H$5:$H$1008,$L$5),"",INDEX(CuentaUS,_xlfn.AGGREGATE(15,6,ROW('[1]U$S'!$H$5:$H$1008)-ROW('[1]U$S'!$O$5)+1/--('[1]U$S'!$H$5:$H$1008=$L$5),ROWS($E$7:E184)),6))</f>
        <v/>
      </c>
      <c r="F184" s="22" t="str">
        <f>IF(E184="","",IF(E184&gt;0,SUMIFS('[1]UY$'!$L$5:$L$993,'[1]UY$'!$O$5:$O$993,"Cambio",'[1]UY$'!$E$5:$E$993,'Efecto TC'!D184),""))</f>
        <v/>
      </c>
      <c r="G184" s="23" t="str">
        <f t="shared" si="29"/>
        <v/>
      </c>
      <c r="H184" s="22" t="str">
        <f t="shared" si="30"/>
        <v/>
      </c>
      <c r="I184" s="54" t="str">
        <f t="shared" si="27"/>
        <v/>
      </c>
      <c r="R184" s="24" t="e">
        <f t="shared" si="31"/>
        <v>#VALUE!</v>
      </c>
      <c r="S184" s="25" t="e">
        <f t="shared" si="28"/>
        <v>#VALUE!</v>
      </c>
    </row>
    <row r="185" spans="1:19" x14ac:dyDescent="0.25">
      <c r="A185" t="e">
        <f t="shared" si="24"/>
        <v>#VALUE!</v>
      </c>
      <c r="B185" t="e">
        <f t="shared" si="25"/>
        <v>#VALUE!</v>
      </c>
      <c r="D185" s="21" t="str" cm="1">
        <f t="array" ref="D185">IF(ROWS($D$7:D185)&gt;COUNTIF('[1]U$S'!$H$5:$H$1008,$L$5),"",INDEX(CuentaUS,_xlfn.AGGREGATE(15,6,ROW('[1]U$S'!$H$5:$H$1008)-ROW('[1]U$S'!$O$5)+1/--('[1]U$S'!$H$5:$H$1008=$L$5),ROWS($D$7:D185)),1))</f>
        <v/>
      </c>
      <c r="E185" s="22" t="str" cm="1">
        <f t="array" ref="E185">IF(ROWS($E$7:E185)&gt;COUNTIF('[1]U$S'!$H$5:$H$1008,$L$5),"",INDEX(CuentaUS,_xlfn.AGGREGATE(15,6,ROW('[1]U$S'!$H$5:$H$1008)-ROW('[1]U$S'!$O$5)+1/--('[1]U$S'!$H$5:$H$1008=$L$5),ROWS($E$7:E185)),6))</f>
        <v/>
      </c>
      <c r="F185" s="22" t="str">
        <f>IF(E185="","",IF(E185&gt;0,SUMIFS('[1]UY$'!$L$5:$L$993,'[1]UY$'!$O$5:$O$993,"Cambio",'[1]UY$'!$E$5:$E$993,'Efecto TC'!D185),""))</f>
        <v/>
      </c>
      <c r="G185" s="23" t="str">
        <f t="shared" si="29"/>
        <v/>
      </c>
      <c r="H185" s="22" t="str">
        <f t="shared" si="30"/>
        <v/>
      </c>
      <c r="I185" s="54" t="str">
        <f t="shared" si="27"/>
        <v/>
      </c>
      <c r="R185" s="24" t="e">
        <f t="shared" si="31"/>
        <v>#VALUE!</v>
      </c>
      <c r="S185" s="25" t="e">
        <f t="shared" si="28"/>
        <v>#VALUE!</v>
      </c>
    </row>
    <row r="186" spans="1:19" x14ac:dyDescent="0.25">
      <c r="A186" t="e">
        <f t="shared" si="24"/>
        <v>#VALUE!</v>
      </c>
      <c r="B186" t="e">
        <f t="shared" si="25"/>
        <v>#VALUE!</v>
      </c>
      <c r="D186" s="21" t="str" cm="1">
        <f t="array" ref="D186">IF(ROWS($D$7:D186)&gt;COUNTIF('[1]U$S'!$H$5:$H$1008,$L$5),"",INDEX(CuentaUS,_xlfn.AGGREGATE(15,6,ROW('[1]U$S'!$H$5:$H$1008)-ROW('[1]U$S'!$O$5)+1/--('[1]U$S'!$H$5:$H$1008=$L$5),ROWS($D$7:D186)),1))</f>
        <v/>
      </c>
      <c r="E186" s="22" t="str" cm="1">
        <f t="array" ref="E186">IF(ROWS($E$7:E186)&gt;COUNTIF('[1]U$S'!$H$5:$H$1008,$L$5),"",INDEX(CuentaUS,_xlfn.AGGREGATE(15,6,ROW('[1]U$S'!$H$5:$H$1008)-ROW('[1]U$S'!$O$5)+1/--('[1]U$S'!$H$5:$H$1008=$L$5),ROWS($E$7:E186)),6))</f>
        <v/>
      </c>
      <c r="F186" s="22" t="str">
        <f>IF(E186="","",IF(E186&gt;0,SUMIFS('[1]UY$'!$L$5:$L$993,'[1]UY$'!$O$5:$O$993,"Cambio",'[1]UY$'!$E$5:$E$993,'Efecto TC'!D186),""))</f>
        <v/>
      </c>
      <c r="G186" s="23" t="str">
        <f t="shared" si="29"/>
        <v/>
      </c>
      <c r="H186" s="22" t="str">
        <f t="shared" si="30"/>
        <v/>
      </c>
      <c r="I186" s="54" t="str">
        <f t="shared" si="27"/>
        <v/>
      </c>
      <c r="R186" s="24" t="e">
        <f t="shared" si="31"/>
        <v>#VALUE!</v>
      </c>
      <c r="S186" s="25" t="e">
        <f t="shared" si="28"/>
        <v>#VALUE!</v>
      </c>
    </row>
    <row r="187" spans="1:19" x14ac:dyDescent="0.25">
      <c r="A187" t="e">
        <f t="shared" si="24"/>
        <v>#VALUE!</v>
      </c>
      <c r="B187" t="e">
        <f t="shared" si="25"/>
        <v>#VALUE!</v>
      </c>
      <c r="D187" s="21" t="str" cm="1">
        <f t="array" ref="D187">IF(ROWS($D$7:D187)&gt;COUNTIF('[1]U$S'!$H$5:$H$1008,$L$5),"",INDEX(CuentaUS,_xlfn.AGGREGATE(15,6,ROW('[1]U$S'!$H$5:$H$1008)-ROW('[1]U$S'!$O$5)+1/--('[1]U$S'!$H$5:$H$1008=$L$5),ROWS($D$7:D187)),1))</f>
        <v/>
      </c>
      <c r="E187" s="22" t="str" cm="1">
        <f t="array" ref="E187">IF(ROWS($E$7:E187)&gt;COUNTIF('[1]U$S'!$H$5:$H$1008,$L$5),"",INDEX(CuentaUS,_xlfn.AGGREGATE(15,6,ROW('[1]U$S'!$H$5:$H$1008)-ROW('[1]U$S'!$O$5)+1/--('[1]U$S'!$H$5:$H$1008=$L$5),ROWS($E$7:E187)),6))</f>
        <v/>
      </c>
      <c r="F187" s="22" t="str">
        <f>IF(E187="","",IF(E187&gt;0,SUMIFS('[1]UY$'!$L$5:$L$993,'[1]UY$'!$O$5:$O$993,"Cambio",'[1]UY$'!$E$5:$E$993,'Efecto TC'!D187),""))</f>
        <v/>
      </c>
      <c r="G187" s="23" t="str">
        <f t="shared" si="29"/>
        <v/>
      </c>
      <c r="H187" s="22" t="str">
        <f t="shared" si="30"/>
        <v/>
      </c>
      <c r="I187" s="54" t="str">
        <f t="shared" si="27"/>
        <v/>
      </c>
      <c r="R187" s="24" t="e">
        <f t="shared" si="31"/>
        <v>#VALUE!</v>
      </c>
      <c r="S187" s="25" t="e">
        <f t="shared" si="28"/>
        <v>#VALUE!</v>
      </c>
    </row>
    <row r="188" spans="1:19" x14ac:dyDescent="0.25">
      <c r="A188" t="e">
        <f t="shared" si="24"/>
        <v>#VALUE!</v>
      </c>
      <c r="B188" t="e">
        <f t="shared" si="25"/>
        <v>#VALUE!</v>
      </c>
      <c r="D188" s="21" t="str" cm="1">
        <f t="array" ref="D188">IF(ROWS($D$7:D188)&gt;COUNTIF('[1]U$S'!$H$5:$H$1008,$L$5),"",INDEX(CuentaUS,_xlfn.AGGREGATE(15,6,ROW('[1]U$S'!$H$5:$H$1008)-ROW('[1]U$S'!$O$5)+1/--('[1]U$S'!$H$5:$H$1008=$L$5),ROWS($D$7:D188)),1))</f>
        <v/>
      </c>
      <c r="E188" s="22" t="str" cm="1">
        <f t="array" ref="E188">IF(ROWS($E$7:E188)&gt;COUNTIF('[1]U$S'!$H$5:$H$1008,$L$5),"",INDEX(CuentaUS,_xlfn.AGGREGATE(15,6,ROW('[1]U$S'!$H$5:$H$1008)-ROW('[1]U$S'!$O$5)+1/--('[1]U$S'!$H$5:$H$1008=$L$5),ROWS($E$7:E188)),6))</f>
        <v/>
      </c>
      <c r="F188" s="22" t="str">
        <f>IF(E188="","",IF(E188&gt;0,SUMIFS('[1]UY$'!$L$5:$L$993,'[1]UY$'!$O$5:$O$993,"Cambio",'[1]UY$'!$E$5:$E$993,'Efecto TC'!D188),""))</f>
        <v/>
      </c>
      <c r="G188" s="23" t="str">
        <f t="shared" si="29"/>
        <v/>
      </c>
      <c r="H188" s="22" t="str">
        <f t="shared" si="30"/>
        <v/>
      </c>
      <c r="I188" s="54" t="str">
        <f t="shared" si="27"/>
        <v/>
      </c>
      <c r="R188" s="24" t="e">
        <f t="shared" si="31"/>
        <v>#VALUE!</v>
      </c>
      <c r="S188" s="25" t="e">
        <f t="shared" si="28"/>
        <v>#VALUE!</v>
      </c>
    </row>
    <row r="189" spans="1:19" x14ac:dyDescent="0.25">
      <c r="A189" t="e">
        <f t="shared" si="24"/>
        <v>#VALUE!</v>
      </c>
      <c r="B189" t="e">
        <f t="shared" si="25"/>
        <v>#VALUE!</v>
      </c>
      <c r="D189" s="21" t="str" cm="1">
        <f t="array" ref="D189">IF(ROWS($D$7:D189)&gt;COUNTIF('[1]U$S'!$H$5:$H$1008,$L$5),"",INDEX(CuentaUS,_xlfn.AGGREGATE(15,6,ROW('[1]U$S'!$H$5:$H$1008)-ROW('[1]U$S'!$O$5)+1/--('[1]U$S'!$H$5:$H$1008=$L$5),ROWS($D$7:D189)),1))</f>
        <v/>
      </c>
      <c r="E189" s="22" t="str" cm="1">
        <f t="array" ref="E189">IF(ROWS($E$7:E189)&gt;COUNTIF('[1]U$S'!$H$5:$H$1008,$L$5),"",INDEX(CuentaUS,_xlfn.AGGREGATE(15,6,ROW('[1]U$S'!$H$5:$H$1008)-ROW('[1]U$S'!$O$5)+1/--('[1]U$S'!$H$5:$H$1008=$L$5),ROWS($E$7:E189)),6))</f>
        <v/>
      </c>
      <c r="F189" s="22" t="str">
        <f>IF(E189="","",IF(E189&gt;0,SUMIFS('[1]UY$'!$L$5:$L$993,'[1]UY$'!$O$5:$O$993,"Cambio",'[1]UY$'!$E$5:$E$993,'Efecto TC'!D189),""))</f>
        <v/>
      </c>
      <c r="G189" s="23" t="str">
        <f t="shared" si="29"/>
        <v/>
      </c>
      <c r="H189" s="22" t="str">
        <f t="shared" si="30"/>
        <v/>
      </c>
      <c r="I189" s="54" t="str">
        <f t="shared" si="27"/>
        <v/>
      </c>
      <c r="R189" s="24" t="e">
        <f t="shared" si="31"/>
        <v>#VALUE!</v>
      </c>
      <c r="S189" s="25" t="e">
        <f t="shared" si="28"/>
        <v>#VALUE!</v>
      </c>
    </row>
    <row r="190" spans="1:19" x14ac:dyDescent="0.25">
      <c r="A190" t="e">
        <f t="shared" si="24"/>
        <v>#VALUE!</v>
      </c>
      <c r="B190" t="e">
        <f t="shared" si="25"/>
        <v>#VALUE!</v>
      </c>
      <c r="D190" s="21" t="str" cm="1">
        <f t="array" ref="D190">IF(ROWS($D$7:D190)&gt;COUNTIF('[1]U$S'!$H$5:$H$1008,$L$5),"",INDEX(CuentaUS,_xlfn.AGGREGATE(15,6,ROW('[1]U$S'!$H$5:$H$1008)-ROW('[1]U$S'!$O$5)+1/--('[1]U$S'!$H$5:$H$1008=$L$5),ROWS($D$7:D190)),1))</f>
        <v/>
      </c>
      <c r="E190" s="22" t="str" cm="1">
        <f t="array" ref="E190">IF(ROWS($E$7:E190)&gt;COUNTIF('[1]U$S'!$H$5:$H$1008,$L$5),"",INDEX(CuentaUS,_xlfn.AGGREGATE(15,6,ROW('[1]U$S'!$H$5:$H$1008)-ROW('[1]U$S'!$O$5)+1/--('[1]U$S'!$H$5:$H$1008=$L$5),ROWS($E$7:E190)),6))</f>
        <v/>
      </c>
      <c r="F190" s="22" t="str">
        <f>IF(E190="","",IF(E190&gt;0,SUMIFS('[1]UY$'!$L$5:$L$993,'[1]UY$'!$O$5:$O$993,"Cambio",'[1]UY$'!$E$5:$E$993,'Efecto TC'!D190),""))</f>
        <v/>
      </c>
      <c r="G190" s="23" t="str">
        <f t="shared" si="29"/>
        <v/>
      </c>
      <c r="H190" s="22" t="str">
        <f t="shared" si="30"/>
        <v/>
      </c>
      <c r="I190" s="54" t="str">
        <f t="shared" si="27"/>
        <v/>
      </c>
      <c r="R190" s="24" t="e">
        <f t="shared" si="31"/>
        <v>#VALUE!</v>
      </c>
      <c r="S190" s="25" t="e">
        <f t="shared" si="28"/>
        <v>#VALUE!</v>
      </c>
    </row>
    <row r="191" spans="1:19" x14ac:dyDescent="0.25">
      <c r="A191" t="e">
        <f t="shared" si="24"/>
        <v>#VALUE!</v>
      </c>
      <c r="B191" t="e">
        <f t="shared" si="25"/>
        <v>#VALUE!</v>
      </c>
      <c r="D191" s="21" t="str" cm="1">
        <f t="array" ref="D191">IF(ROWS($D$7:D191)&gt;COUNTIF('[1]U$S'!$H$5:$H$1008,$L$5),"",INDEX(CuentaUS,_xlfn.AGGREGATE(15,6,ROW('[1]U$S'!$H$5:$H$1008)-ROW('[1]U$S'!$O$5)+1/--('[1]U$S'!$H$5:$H$1008=$L$5),ROWS($D$7:D191)),1))</f>
        <v/>
      </c>
      <c r="E191" s="22" t="str" cm="1">
        <f t="array" ref="E191">IF(ROWS($E$7:E191)&gt;COUNTIF('[1]U$S'!$H$5:$H$1008,$L$5),"",INDEX(CuentaUS,_xlfn.AGGREGATE(15,6,ROW('[1]U$S'!$H$5:$H$1008)-ROW('[1]U$S'!$O$5)+1/--('[1]U$S'!$H$5:$H$1008=$L$5),ROWS($E$7:E191)),6))</f>
        <v/>
      </c>
      <c r="F191" s="22" t="str">
        <f>IF(E191="","",IF(E191&gt;0,SUMIFS('[1]UY$'!$L$5:$L$993,'[1]UY$'!$O$5:$O$993,"Cambio",'[1]UY$'!$E$5:$E$993,'Efecto TC'!D191),""))</f>
        <v/>
      </c>
      <c r="G191" s="23" t="str">
        <f t="shared" si="29"/>
        <v/>
      </c>
      <c r="H191" s="22" t="str">
        <f t="shared" si="30"/>
        <v/>
      </c>
      <c r="I191" s="54" t="str">
        <f t="shared" si="27"/>
        <v/>
      </c>
      <c r="R191" s="24" t="e">
        <f t="shared" si="31"/>
        <v>#VALUE!</v>
      </c>
      <c r="S191" s="25" t="e">
        <f t="shared" si="28"/>
        <v>#VALUE!</v>
      </c>
    </row>
    <row r="192" spans="1:19" x14ac:dyDescent="0.25">
      <c r="A192" t="e">
        <f t="shared" si="24"/>
        <v>#VALUE!</v>
      </c>
      <c r="B192" t="e">
        <f t="shared" si="25"/>
        <v>#VALUE!</v>
      </c>
      <c r="D192" s="21" t="str" cm="1">
        <f t="array" ref="D192">IF(ROWS($D$7:D192)&gt;COUNTIF('[1]U$S'!$H$5:$H$1008,$L$5),"",INDEX(CuentaUS,_xlfn.AGGREGATE(15,6,ROW('[1]U$S'!$H$5:$H$1008)-ROW('[1]U$S'!$O$5)+1/--('[1]U$S'!$H$5:$H$1008=$L$5),ROWS($D$7:D192)),1))</f>
        <v/>
      </c>
      <c r="E192" s="22" t="str" cm="1">
        <f t="array" ref="E192">IF(ROWS($E$7:E192)&gt;COUNTIF('[1]U$S'!$H$5:$H$1008,$L$5),"",INDEX(CuentaUS,_xlfn.AGGREGATE(15,6,ROW('[1]U$S'!$H$5:$H$1008)-ROW('[1]U$S'!$O$5)+1/--('[1]U$S'!$H$5:$H$1008=$L$5),ROWS($E$7:E192)),6))</f>
        <v/>
      </c>
      <c r="F192" s="22" t="str">
        <f>IF(E192="","",IF(E192&gt;0,SUMIFS('[1]UY$'!$L$5:$L$993,'[1]UY$'!$O$5:$O$993,"Cambio",'[1]UY$'!$E$5:$E$993,'Efecto TC'!D192),""))</f>
        <v/>
      </c>
      <c r="G192" s="23" t="str">
        <f t="shared" si="29"/>
        <v/>
      </c>
      <c r="H192" s="22" t="str">
        <f t="shared" si="30"/>
        <v/>
      </c>
      <c r="I192" s="54" t="str">
        <f t="shared" si="27"/>
        <v/>
      </c>
      <c r="R192" s="24" t="e">
        <f t="shared" si="31"/>
        <v>#VALUE!</v>
      </c>
      <c r="S192" s="25" t="e">
        <f t="shared" si="28"/>
        <v>#VALUE!</v>
      </c>
    </row>
    <row r="193" spans="1:19" x14ac:dyDescent="0.25">
      <c r="A193" t="e">
        <f t="shared" si="24"/>
        <v>#VALUE!</v>
      </c>
      <c r="B193" t="e">
        <f t="shared" si="25"/>
        <v>#VALUE!</v>
      </c>
      <c r="D193" s="21" t="str" cm="1">
        <f t="array" ref="D193">IF(ROWS($D$7:D193)&gt;COUNTIF('[1]U$S'!$H$5:$H$1008,$L$5),"",INDEX(CuentaUS,_xlfn.AGGREGATE(15,6,ROW('[1]U$S'!$H$5:$H$1008)-ROW('[1]U$S'!$O$5)+1/--('[1]U$S'!$H$5:$H$1008=$L$5),ROWS($D$7:D193)),1))</f>
        <v/>
      </c>
      <c r="E193" s="22" t="str" cm="1">
        <f t="array" ref="E193">IF(ROWS($E$7:E193)&gt;COUNTIF('[1]U$S'!$H$5:$H$1008,$L$5),"",INDEX(CuentaUS,_xlfn.AGGREGATE(15,6,ROW('[1]U$S'!$H$5:$H$1008)-ROW('[1]U$S'!$O$5)+1/--('[1]U$S'!$H$5:$H$1008=$L$5),ROWS($E$7:E193)),6))</f>
        <v/>
      </c>
      <c r="F193" s="22" t="str">
        <f>IF(E193="","",IF(E193&gt;0,SUMIFS('[1]UY$'!$L$5:$L$993,'[1]UY$'!$O$5:$O$993,"Cambio",'[1]UY$'!$E$5:$E$993,'Efecto TC'!D193),""))</f>
        <v/>
      </c>
      <c r="G193" s="23" t="str">
        <f t="shared" si="29"/>
        <v/>
      </c>
      <c r="H193" s="22" t="str">
        <f t="shared" si="30"/>
        <v/>
      </c>
      <c r="I193" s="54" t="str">
        <f t="shared" si="27"/>
        <v/>
      </c>
      <c r="R193" s="24" t="e">
        <f t="shared" si="31"/>
        <v>#VALUE!</v>
      </c>
      <c r="S193" s="25" t="e">
        <f t="shared" si="28"/>
        <v>#VALUE!</v>
      </c>
    </row>
    <row r="194" spans="1:19" x14ac:dyDescent="0.25">
      <c r="A194" t="e">
        <f t="shared" si="24"/>
        <v>#VALUE!</v>
      </c>
      <c r="B194" t="e">
        <f t="shared" si="25"/>
        <v>#VALUE!</v>
      </c>
      <c r="D194" s="21" t="str" cm="1">
        <f t="array" ref="D194">IF(ROWS($D$7:D194)&gt;COUNTIF('[1]U$S'!$H$5:$H$1008,$L$5),"",INDEX(CuentaUS,_xlfn.AGGREGATE(15,6,ROW('[1]U$S'!$H$5:$H$1008)-ROW('[1]U$S'!$O$5)+1/--('[1]U$S'!$H$5:$H$1008=$L$5),ROWS($D$7:D194)),1))</f>
        <v/>
      </c>
      <c r="E194" s="22" t="str" cm="1">
        <f t="array" ref="E194">IF(ROWS($E$7:E194)&gt;COUNTIF('[1]U$S'!$H$5:$H$1008,$L$5),"",INDEX(CuentaUS,_xlfn.AGGREGATE(15,6,ROW('[1]U$S'!$H$5:$H$1008)-ROW('[1]U$S'!$O$5)+1/--('[1]U$S'!$H$5:$H$1008=$L$5),ROWS($E$7:E194)),6))</f>
        <v/>
      </c>
      <c r="F194" s="22" t="str">
        <f>IF(E194="","",IF(E194&gt;0,SUMIFS('[1]UY$'!$L$5:$L$993,'[1]UY$'!$O$5:$O$993,"Cambio",'[1]UY$'!$E$5:$E$993,'Efecto TC'!D194),""))</f>
        <v/>
      </c>
      <c r="G194" s="23" t="str">
        <f t="shared" si="29"/>
        <v/>
      </c>
      <c r="H194" s="22" t="str">
        <f t="shared" si="30"/>
        <v/>
      </c>
      <c r="I194" s="54" t="str">
        <f t="shared" si="27"/>
        <v/>
      </c>
      <c r="R194" s="24" t="e">
        <f t="shared" si="31"/>
        <v>#VALUE!</v>
      </c>
      <c r="S194" s="25" t="e">
        <f t="shared" si="28"/>
        <v>#VALUE!</v>
      </c>
    </row>
    <row r="195" spans="1:19" x14ac:dyDescent="0.25">
      <c r="A195" t="e">
        <f t="shared" si="24"/>
        <v>#VALUE!</v>
      </c>
      <c r="B195" t="e">
        <f t="shared" si="25"/>
        <v>#VALUE!</v>
      </c>
      <c r="D195" s="21" t="str" cm="1">
        <f t="array" ref="D195">IF(ROWS($D$7:D195)&gt;COUNTIF('[1]U$S'!$H$5:$H$1008,$L$5),"",INDEX(CuentaUS,_xlfn.AGGREGATE(15,6,ROW('[1]U$S'!$H$5:$H$1008)-ROW('[1]U$S'!$O$5)+1/--('[1]U$S'!$H$5:$H$1008=$L$5),ROWS($D$7:D195)),1))</f>
        <v/>
      </c>
      <c r="E195" s="22" t="str" cm="1">
        <f t="array" ref="E195">IF(ROWS($E$7:E195)&gt;COUNTIF('[1]U$S'!$H$5:$H$1008,$L$5),"",INDEX(CuentaUS,_xlfn.AGGREGATE(15,6,ROW('[1]U$S'!$H$5:$H$1008)-ROW('[1]U$S'!$O$5)+1/--('[1]U$S'!$H$5:$H$1008=$L$5),ROWS($E$7:E195)),6))</f>
        <v/>
      </c>
      <c r="F195" s="22" t="str">
        <f>IF(E195="","",IF(E195&gt;0,SUMIFS('[1]UY$'!$L$5:$L$993,'[1]UY$'!$O$5:$O$993,"Cambio",'[1]UY$'!$E$5:$E$993,'Efecto TC'!D195),""))</f>
        <v/>
      </c>
      <c r="G195" s="23" t="str">
        <f t="shared" si="29"/>
        <v/>
      </c>
      <c r="H195" s="22" t="str">
        <f t="shared" si="30"/>
        <v/>
      </c>
      <c r="I195" s="54" t="str">
        <f t="shared" si="27"/>
        <v/>
      </c>
      <c r="R195" s="24" t="e">
        <f t="shared" si="31"/>
        <v>#VALUE!</v>
      </c>
      <c r="S195" s="25" t="e">
        <f t="shared" si="28"/>
        <v>#VALUE!</v>
      </c>
    </row>
    <row r="196" spans="1:19" x14ac:dyDescent="0.25">
      <c r="A196" t="e">
        <f t="shared" si="24"/>
        <v>#VALUE!</v>
      </c>
      <c r="B196" t="e">
        <f t="shared" si="25"/>
        <v>#VALUE!</v>
      </c>
      <c r="D196" s="21" t="str" cm="1">
        <f t="array" ref="D196">IF(ROWS($D$7:D196)&gt;COUNTIF('[1]U$S'!$H$5:$H$1008,$L$5),"",INDEX(CuentaUS,_xlfn.AGGREGATE(15,6,ROW('[1]U$S'!$H$5:$H$1008)-ROW('[1]U$S'!$O$5)+1/--('[1]U$S'!$H$5:$H$1008=$L$5),ROWS($D$7:D196)),1))</f>
        <v/>
      </c>
      <c r="E196" s="22" t="str" cm="1">
        <f t="array" ref="E196">IF(ROWS($E$7:E196)&gt;COUNTIF('[1]U$S'!$H$5:$H$1008,$L$5),"",INDEX(CuentaUS,_xlfn.AGGREGATE(15,6,ROW('[1]U$S'!$H$5:$H$1008)-ROW('[1]U$S'!$O$5)+1/--('[1]U$S'!$H$5:$H$1008=$L$5),ROWS($E$7:E196)),6))</f>
        <v/>
      </c>
      <c r="F196" s="22" t="str">
        <f>IF(E196="","",IF(E196&gt;0,SUMIFS('[1]UY$'!$L$5:$L$993,'[1]UY$'!$O$5:$O$993,"Cambio",'[1]UY$'!$E$5:$E$993,'Efecto TC'!D196),""))</f>
        <v/>
      </c>
      <c r="G196" s="23" t="str">
        <f t="shared" si="29"/>
        <v/>
      </c>
      <c r="H196" s="22" t="str">
        <f t="shared" si="30"/>
        <v/>
      </c>
      <c r="I196" s="54" t="str">
        <f t="shared" si="27"/>
        <v/>
      </c>
      <c r="R196" s="24" t="e">
        <f t="shared" si="31"/>
        <v>#VALUE!</v>
      </c>
      <c r="S196" s="25" t="e">
        <f t="shared" si="28"/>
        <v>#VALUE!</v>
      </c>
    </row>
    <row r="197" spans="1:19" x14ac:dyDescent="0.25">
      <c r="A197" t="e">
        <f t="shared" si="24"/>
        <v>#VALUE!</v>
      </c>
      <c r="B197" t="e">
        <f t="shared" si="25"/>
        <v>#VALUE!</v>
      </c>
      <c r="D197" s="21" t="str" cm="1">
        <f t="array" ref="D197">IF(ROWS($D$7:D197)&gt;COUNTIF('[1]U$S'!$H$5:$H$1008,$L$5),"",INDEX(CuentaUS,_xlfn.AGGREGATE(15,6,ROW('[1]U$S'!$H$5:$H$1008)-ROW('[1]U$S'!$O$5)+1/--('[1]U$S'!$H$5:$H$1008=$L$5),ROWS($D$7:D197)),1))</f>
        <v/>
      </c>
      <c r="E197" s="22" t="str" cm="1">
        <f t="array" ref="E197">IF(ROWS($E$7:E197)&gt;COUNTIF('[1]U$S'!$H$5:$H$1008,$L$5),"",INDEX(CuentaUS,_xlfn.AGGREGATE(15,6,ROW('[1]U$S'!$H$5:$H$1008)-ROW('[1]U$S'!$O$5)+1/--('[1]U$S'!$H$5:$H$1008=$L$5),ROWS($E$7:E197)),6))</f>
        <v/>
      </c>
      <c r="F197" s="22" t="str">
        <f>IF(E197="","",IF(E197&gt;0,SUMIFS('[1]UY$'!$L$5:$L$993,'[1]UY$'!$O$5:$O$993,"Cambio",'[1]UY$'!$E$5:$E$993,'Efecto TC'!D197),""))</f>
        <v/>
      </c>
      <c r="G197" s="23" t="str">
        <f t="shared" si="29"/>
        <v/>
      </c>
      <c r="H197" s="22" t="str">
        <f t="shared" si="30"/>
        <v/>
      </c>
      <c r="I197" s="54" t="str">
        <f t="shared" si="27"/>
        <v/>
      </c>
      <c r="R197" s="24" t="e">
        <f t="shared" si="31"/>
        <v>#VALUE!</v>
      </c>
      <c r="S197" s="25" t="e">
        <f t="shared" si="28"/>
        <v>#VALUE!</v>
      </c>
    </row>
    <row r="198" spans="1:19" x14ac:dyDescent="0.25">
      <c r="A198" t="e">
        <f t="shared" si="24"/>
        <v>#VALUE!</v>
      </c>
      <c r="B198" t="e">
        <f t="shared" si="25"/>
        <v>#VALUE!</v>
      </c>
      <c r="D198" s="21" t="str" cm="1">
        <f t="array" ref="D198">IF(ROWS($D$7:D198)&gt;COUNTIF('[1]U$S'!$H$5:$H$1008,$L$5),"",INDEX(CuentaUS,_xlfn.AGGREGATE(15,6,ROW('[1]U$S'!$H$5:$H$1008)-ROW('[1]U$S'!$O$5)+1/--('[1]U$S'!$H$5:$H$1008=$L$5),ROWS($D$7:D198)),1))</f>
        <v/>
      </c>
      <c r="E198" s="22" t="str" cm="1">
        <f t="array" ref="E198">IF(ROWS($E$7:E198)&gt;COUNTIF('[1]U$S'!$H$5:$H$1008,$L$5),"",INDEX(CuentaUS,_xlfn.AGGREGATE(15,6,ROW('[1]U$S'!$H$5:$H$1008)-ROW('[1]U$S'!$O$5)+1/--('[1]U$S'!$H$5:$H$1008=$L$5),ROWS($E$7:E198)),6))</f>
        <v/>
      </c>
      <c r="F198" s="22" t="str">
        <f>IF(E198="","",IF(E198&gt;0,SUMIFS('[1]UY$'!$L$5:$L$993,'[1]UY$'!$O$5:$O$993,"Cambio",'[1]UY$'!$E$5:$E$993,'Efecto TC'!D198),""))</f>
        <v/>
      </c>
      <c r="G198" s="23" t="str">
        <f t="shared" si="29"/>
        <v/>
      </c>
      <c r="H198" s="22" t="str">
        <f t="shared" si="30"/>
        <v/>
      </c>
      <c r="I198" s="54" t="str">
        <f t="shared" si="27"/>
        <v/>
      </c>
      <c r="R198" s="24" t="e">
        <f t="shared" si="31"/>
        <v>#VALUE!</v>
      </c>
      <c r="S198" s="25" t="e">
        <f t="shared" si="28"/>
        <v>#VALUE!</v>
      </c>
    </row>
    <row r="199" spans="1:19" x14ac:dyDescent="0.25">
      <c r="A199" t="e">
        <f t="shared" ref="A199:A262" si="32">MONTH(D199)</f>
        <v>#VALUE!</v>
      </c>
      <c r="B199" t="e">
        <f t="shared" ref="B199:B262" si="33">YEAR(D199)</f>
        <v>#VALUE!</v>
      </c>
      <c r="D199" s="21" t="str" cm="1">
        <f t="array" ref="D199">IF(ROWS($D$7:D199)&gt;COUNTIF('[1]U$S'!$H$5:$H$1008,$L$5),"",INDEX(CuentaUS,_xlfn.AGGREGATE(15,6,ROW('[1]U$S'!$H$5:$H$1008)-ROW('[1]U$S'!$O$5)+1/--('[1]U$S'!$H$5:$H$1008=$L$5),ROWS($D$7:D199)),1))</f>
        <v/>
      </c>
      <c r="E199" s="22" t="str" cm="1">
        <f t="array" ref="E199">IF(ROWS($E$7:E199)&gt;COUNTIF('[1]U$S'!$H$5:$H$1008,$L$5),"",INDEX(CuentaUS,_xlfn.AGGREGATE(15,6,ROW('[1]U$S'!$H$5:$H$1008)-ROW('[1]U$S'!$O$5)+1/--('[1]U$S'!$H$5:$H$1008=$L$5),ROWS($E$7:E199)),6))</f>
        <v/>
      </c>
      <c r="F199" s="22" t="str">
        <f>IF(E199="","",IF(E199&gt;0,SUMIFS('[1]UY$'!$L$5:$L$993,'[1]UY$'!$O$5:$O$993,"Cambio",'[1]UY$'!$E$5:$E$993,'Efecto TC'!D199),""))</f>
        <v/>
      </c>
      <c r="G199" s="23" t="str">
        <f t="shared" si="29"/>
        <v/>
      </c>
      <c r="H199" s="22" t="str">
        <f t="shared" si="30"/>
        <v/>
      </c>
      <c r="I199" s="54" t="str">
        <f t="shared" si="27"/>
        <v/>
      </c>
      <c r="R199" s="24" t="e">
        <f t="shared" si="31"/>
        <v>#VALUE!</v>
      </c>
      <c r="S199" s="25" t="e">
        <f t="shared" si="28"/>
        <v>#VALUE!</v>
      </c>
    </row>
    <row r="200" spans="1:19" x14ac:dyDescent="0.25">
      <c r="A200" t="e">
        <f t="shared" si="32"/>
        <v>#VALUE!</v>
      </c>
      <c r="B200" t="e">
        <f t="shared" si="33"/>
        <v>#VALUE!</v>
      </c>
      <c r="D200" s="21" t="str" cm="1">
        <f t="array" ref="D200">IF(ROWS($D$7:D200)&gt;COUNTIF('[1]U$S'!$H$5:$H$1008,$L$5),"",INDEX(CuentaUS,_xlfn.AGGREGATE(15,6,ROW('[1]U$S'!$H$5:$H$1008)-ROW('[1]U$S'!$O$5)+1/--('[1]U$S'!$H$5:$H$1008=$L$5),ROWS($D$7:D200)),1))</f>
        <v/>
      </c>
      <c r="E200" s="22" t="str" cm="1">
        <f t="array" ref="E200">IF(ROWS($E$7:E200)&gt;COUNTIF('[1]U$S'!$H$5:$H$1008,$L$5),"",INDEX(CuentaUS,_xlfn.AGGREGATE(15,6,ROW('[1]U$S'!$H$5:$H$1008)-ROW('[1]U$S'!$O$5)+1/--('[1]U$S'!$H$5:$H$1008=$L$5),ROWS($E$7:E200)),6))</f>
        <v/>
      </c>
      <c r="F200" s="22" t="str">
        <f>IF(E200="","",IF(E200&gt;0,SUMIFS('[1]UY$'!$L$5:$L$993,'[1]UY$'!$O$5:$O$993,"Cambio",'[1]UY$'!$E$5:$E$993,'Efecto TC'!D200),""))</f>
        <v/>
      </c>
      <c r="G200" s="23" t="str">
        <f t="shared" si="29"/>
        <v/>
      </c>
      <c r="H200" s="22" t="str">
        <f t="shared" si="30"/>
        <v/>
      </c>
      <c r="I200" s="54" t="str">
        <f t="shared" si="27"/>
        <v/>
      </c>
      <c r="R200" s="24" t="e">
        <f t="shared" si="31"/>
        <v>#VALUE!</v>
      </c>
      <c r="S200" s="25" t="e">
        <f t="shared" si="28"/>
        <v>#VALUE!</v>
      </c>
    </row>
    <row r="201" spans="1:19" x14ac:dyDescent="0.25">
      <c r="A201" t="e">
        <f t="shared" si="32"/>
        <v>#VALUE!</v>
      </c>
      <c r="B201" t="e">
        <f t="shared" si="33"/>
        <v>#VALUE!</v>
      </c>
      <c r="D201" s="21" t="str" cm="1">
        <f t="array" ref="D201">IF(ROWS($D$7:D201)&gt;COUNTIF('[1]U$S'!$H$5:$H$1008,$L$5),"",INDEX(CuentaUS,_xlfn.AGGREGATE(15,6,ROW('[1]U$S'!$H$5:$H$1008)-ROW('[1]U$S'!$O$5)+1/--('[1]U$S'!$H$5:$H$1008=$L$5),ROWS($D$7:D201)),1))</f>
        <v/>
      </c>
      <c r="E201" s="22" t="str" cm="1">
        <f t="array" ref="E201">IF(ROWS($E$7:E201)&gt;COUNTIF('[1]U$S'!$H$5:$H$1008,$L$5),"",INDEX(CuentaUS,_xlfn.AGGREGATE(15,6,ROW('[1]U$S'!$H$5:$H$1008)-ROW('[1]U$S'!$O$5)+1/--('[1]U$S'!$H$5:$H$1008=$L$5),ROWS($E$7:E201)),6))</f>
        <v/>
      </c>
      <c r="F201" s="22" t="str">
        <f>IF(E201="","",IF(E201&gt;0,SUMIFS('[1]UY$'!$L$5:$L$993,'[1]UY$'!$O$5:$O$993,"Cambio",'[1]UY$'!$E$5:$E$993,'Efecto TC'!D201),""))</f>
        <v/>
      </c>
      <c r="G201" s="23" t="str">
        <f t="shared" si="29"/>
        <v/>
      </c>
      <c r="H201" s="22" t="str">
        <f t="shared" si="30"/>
        <v/>
      </c>
      <c r="I201" s="54" t="str">
        <f t="shared" si="27"/>
        <v/>
      </c>
      <c r="R201" s="24" t="e">
        <f t="shared" si="31"/>
        <v>#VALUE!</v>
      </c>
      <c r="S201" s="25" t="e">
        <f t="shared" si="28"/>
        <v>#VALUE!</v>
      </c>
    </row>
    <row r="202" spans="1:19" x14ac:dyDescent="0.25">
      <c r="A202" t="e">
        <f t="shared" si="32"/>
        <v>#VALUE!</v>
      </c>
      <c r="B202" t="e">
        <f t="shared" si="33"/>
        <v>#VALUE!</v>
      </c>
      <c r="D202" s="21" t="str" cm="1">
        <f t="array" ref="D202">IF(ROWS($D$7:D202)&gt;COUNTIF('[1]U$S'!$H$5:$H$1008,$L$5),"",INDEX(CuentaUS,_xlfn.AGGREGATE(15,6,ROW('[1]U$S'!$H$5:$H$1008)-ROW('[1]U$S'!$O$5)+1/--('[1]U$S'!$H$5:$H$1008=$L$5),ROWS($D$7:D202)),1))</f>
        <v/>
      </c>
      <c r="E202" s="22" t="str" cm="1">
        <f t="array" ref="E202">IF(ROWS($E$7:E202)&gt;COUNTIF('[1]U$S'!$H$5:$H$1008,$L$5),"",INDEX(CuentaUS,_xlfn.AGGREGATE(15,6,ROW('[1]U$S'!$H$5:$H$1008)-ROW('[1]U$S'!$O$5)+1/--('[1]U$S'!$H$5:$H$1008=$L$5),ROWS($E$7:E202)),6))</f>
        <v/>
      </c>
      <c r="F202" s="22" t="str">
        <f>IF(E202="","",IF(E202&gt;0,SUMIFS('[1]UY$'!$L$5:$L$993,'[1]UY$'!$O$5:$O$993,"Cambio",'[1]UY$'!$E$5:$E$993,'Efecto TC'!D202),""))</f>
        <v/>
      </c>
      <c r="G202" s="23" t="str">
        <f t="shared" si="29"/>
        <v/>
      </c>
      <c r="H202" s="22" t="str">
        <f t="shared" si="30"/>
        <v/>
      </c>
      <c r="I202" s="54" t="str">
        <f t="shared" ref="I202:I265" si="34">IF(H202="","",+H202+I201)</f>
        <v/>
      </c>
      <c r="R202" s="24" t="e">
        <f t="shared" si="31"/>
        <v>#VALUE!</v>
      </c>
      <c r="S202" s="25" t="e">
        <f t="shared" si="28"/>
        <v>#VALUE!</v>
      </c>
    </row>
    <row r="203" spans="1:19" x14ac:dyDescent="0.25">
      <c r="A203" t="e">
        <f t="shared" si="32"/>
        <v>#VALUE!</v>
      </c>
      <c r="B203" t="e">
        <f t="shared" si="33"/>
        <v>#VALUE!</v>
      </c>
      <c r="D203" s="21" t="str" cm="1">
        <f t="array" ref="D203">IF(ROWS($D$7:D203)&gt;COUNTIF('[1]U$S'!$H$5:$H$1008,$L$5),"",INDEX(CuentaUS,_xlfn.AGGREGATE(15,6,ROW('[1]U$S'!$H$5:$H$1008)-ROW('[1]U$S'!$O$5)+1/--('[1]U$S'!$H$5:$H$1008=$L$5),ROWS($D$7:D203)),1))</f>
        <v/>
      </c>
      <c r="E203" s="22" t="str" cm="1">
        <f t="array" ref="E203">IF(ROWS($E$7:E203)&gt;COUNTIF('[1]U$S'!$H$5:$H$1008,$L$5),"",INDEX(CuentaUS,_xlfn.AGGREGATE(15,6,ROW('[1]U$S'!$H$5:$H$1008)-ROW('[1]U$S'!$O$5)+1/--('[1]U$S'!$H$5:$H$1008=$L$5),ROWS($E$7:E203)),6))</f>
        <v/>
      </c>
      <c r="F203" s="22" t="str">
        <f>IF(E203="","",IF(E203&gt;0,SUMIFS('[1]UY$'!$L$5:$L$993,'[1]UY$'!$O$5:$O$993,"Cambio",'[1]UY$'!$E$5:$E$993,'Efecto TC'!D203),""))</f>
        <v/>
      </c>
      <c r="G203" s="23" t="str">
        <f t="shared" si="29"/>
        <v/>
      </c>
      <c r="H203" s="22" t="str">
        <f t="shared" si="30"/>
        <v/>
      </c>
      <c r="I203" s="54" t="str">
        <f t="shared" si="34"/>
        <v/>
      </c>
      <c r="R203" s="24" t="e">
        <f t="shared" si="31"/>
        <v>#VALUE!</v>
      </c>
      <c r="S203" s="25" t="e">
        <f t="shared" si="28"/>
        <v>#VALUE!</v>
      </c>
    </row>
    <row r="204" spans="1:19" x14ac:dyDescent="0.25">
      <c r="A204" t="e">
        <f t="shared" si="32"/>
        <v>#VALUE!</v>
      </c>
      <c r="B204" t="e">
        <f t="shared" si="33"/>
        <v>#VALUE!</v>
      </c>
      <c r="D204" s="21" t="str" cm="1">
        <f t="array" ref="D204">IF(ROWS($D$7:D204)&gt;COUNTIF('[1]U$S'!$H$5:$H$1008,$L$5),"",INDEX(CuentaUS,_xlfn.AGGREGATE(15,6,ROW('[1]U$S'!$H$5:$H$1008)-ROW('[1]U$S'!$O$5)+1/--('[1]U$S'!$H$5:$H$1008=$L$5),ROWS($D$7:D204)),1))</f>
        <v/>
      </c>
      <c r="E204" s="22" t="str" cm="1">
        <f t="array" ref="E204">IF(ROWS($E$7:E204)&gt;COUNTIF('[1]U$S'!$H$5:$H$1008,$L$5),"",INDEX(CuentaUS,_xlfn.AGGREGATE(15,6,ROW('[1]U$S'!$H$5:$H$1008)-ROW('[1]U$S'!$O$5)+1/--('[1]U$S'!$H$5:$H$1008=$L$5),ROWS($E$7:E204)),6))</f>
        <v/>
      </c>
      <c r="F204" s="22" t="str">
        <f>IF(E204="","",IF(E204&gt;0,SUMIFS('[1]UY$'!$L$5:$L$993,'[1]UY$'!$O$5:$O$993,"Cambio",'[1]UY$'!$E$5:$E$993,'Efecto TC'!D204),""))</f>
        <v/>
      </c>
      <c r="G204" s="23" t="str">
        <f t="shared" si="29"/>
        <v/>
      </c>
      <c r="H204" s="22" t="str">
        <f t="shared" si="30"/>
        <v/>
      </c>
      <c r="I204" s="54" t="str">
        <f t="shared" si="34"/>
        <v/>
      </c>
      <c r="R204" s="24" t="e">
        <f t="shared" si="31"/>
        <v>#VALUE!</v>
      </c>
      <c r="S204" s="25" t="e">
        <f t="shared" si="28"/>
        <v>#VALUE!</v>
      </c>
    </row>
    <row r="205" spans="1:19" x14ac:dyDescent="0.25">
      <c r="A205" t="e">
        <f t="shared" si="32"/>
        <v>#VALUE!</v>
      </c>
      <c r="B205" t="e">
        <f t="shared" si="33"/>
        <v>#VALUE!</v>
      </c>
      <c r="D205" s="21" t="str" cm="1">
        <f t="array" ref="D205">IF(ROWS($D$7:D205)&gt;COUNTIF('[1]U$S'!$H$5:$H$1008,$L$5),"",INDEX(CuentaUS,_xlfn.AGGREGATE(15,6,ROW('[1]U$S'!$H$5:$H$1008)-ROW('[1]U$S'!$O$5)+1/--('[1]U$S'!$H$5:$H$1008=$L$5),ROWS($D$7:D205)),1))</f>
        <v/>
      </c>
      <c r="E205" s="22" t="str" cm="1">
        <f t="array" ref="E205">IF(ROWS($E$7:E205)&gt;COUNTIF('[1]U$S'!$H$5:$H$1008,$L$5),"",INDEX(CuentaUS,_xlfn.AGGREGATE(15,6,ROW('[1]U$S'!$H$5:$H$1008)-ROW('[1]U$S'!$O$5)+1/--('[1]U$S'!$H$5:$H$1008=$L$5),ROWS($E$7:E205)),6))</f>
        <v/>
      </c>
      <c r="F205" s="22" t="str">
        <f>IF(E205="","",IF(E205&gt;0,SUMIFS('[1]UY$'!$L$5:$L$993,'[1]UY$'!$O$5:$O$993,"Cambio",'[1]UY$'!$E$5:$E$993,'Efecto TC'!D205),""))</f>
        <v/>
      </c>
      <c r="G205" s="23" t="str">
        <f t="shared" si="29"/>
        <v/>
      </c>
      <c r="H205" s="22" t="str">
        <f t="shared" si="30"/>
        <v/>
      </c>
      <c r="I205" s="54" t="str">
        <f t="shared" si="34"/>
        <v/>
      </c>
      <c r="R205" s="24" t="e">
        <f t="shared" si="31"/>
        <v>#VALUE!</v>
      </c>
      <c r="S205" s="25" t="e">
        <f t="shared" si="28"/>
        <v>#VALUE!</v>
      </c>
    </row>
    <row r="206" spans="1:19" x14ac:dyDescent="0.25">
      <c r="A206" t="e">
        <f t="shared" si="32"/>
        <v>#VALUE!</v>
      </c>
      <c r="B206" t="e">
        <f t="shared" si="33"/>
        <v>#VALUE!</v>
      </c>
      <c r="D206" s="21" t="str" cm="1">
        <f t="array" ref="D206">IF(ROWS($D$7:D206)&gt;COUNTIF('[1]U$S'!$H$5:$H$1008,$L$5),"",INDEX(CuentaUS,_xlfn.AGGREGATE(15,6,ROW('[1]U$S'!$H$5:$H$1008)-ROW('[1]U$S'!$O$5)+1/--('[1]U$S'!$H$5:$H$1008=$L$5),ROWS($D$7:D206)),1))</f>
        <v/>
      </c>
      <c r="E206" s="22" t="str" cm="1">
        <f t="array" ref="E206">IF(ROWS($E$7:E206)&gt;COUNTIF('[1]U$S'!$H$5:$H$1008,$L$5),"",INDEX(CuentaUS,_xlfn.AGGREGATE(15,6,ROW('[1]U$S'!$H$5:$H$1008)-ROW('[1]U$S'!$O$5)+1/--('[1]U$S'!$H$5:$H$1008=$L$5),ROWS($E$7:E206)),6))</f>
        <v/>
      </c>
      <c r="F206" s="22" t="str">
        <f>IF(E206="","",IF(E206&gt;0,SUMIFS('[1]UY$'!$L$5:$L$993,'[1]UY$'!$O$5:$O$993,"Cambio",'[1]UY$'!$E$5:$E$993,'Efecto TC'!D206),""))</f>
        <v/>
      </c>
      <c r="G206" s="23" t="str">
        <f t="shared" si="29"/>
        <v/>
      </c>
      <c r="H206" s="22" t="str">
        <f t="shared" si="30"/>
        <v/>
      </c>
      <c r="I206" s="54" t="str">
        <f t="shared" si="34"/>
        <v/>
      </c>
      <c r="R206" s="24" t="e">
        <f t="shared" si="31"/>
        <v>#VALUE!</v>
      </c>
      <c r="S206" s="25" t="e">
        <f t="shared" si="28"/>
        <v>#VALUE!</v>
      </c>
    </row>
    <row r="207" spans="1:19" x14ac:dyDescent="0.25">
      <c r="A207" t="e">
        <f t="shared" si="32"/>
        <v>#VALUE!</v>
      </c>
      <c r="B207" t="e">
        <f t="shared" si="33"/>
        <v>#VALUE!</v>
      </c>
      <c r="D207" s="21" t="str" cm="1">
        <f t="array" ref="D207">IF(ROWS($D$7:D207)&gt;COUNTIF('[1]U$S'!$H$5:$H$1008,$L$5),"",INDEX(CuentaUS,_xlfn.AGGREGATE(15,6,ROW('[1]U$S'!$H$5:$H$1008)-ROW('[1]U$S'!$O$5)+1/--('[1]U$S'!$H$5:$H$1008=$L$5),ROWS($D$7:D207)),1))</f>
        <v/>
      </c>
      <c r="E207" s="22" t="str" cm="1">
        <f t="array" ref="E207">IF(ROWS($E$7:E207)&gt;COUNTIF('[1]U$S'!$H$5:$H$1008,$L$5),"",INDEX(CuentaUS,_xlfn.AGGREGATE(15,6,ROW('[1]U$S'!$H$5:$H$1008)-ROW('[1]U$S'!$O$5)+1/--('[1]U$S'!$H$5:$H$1008=$L$5),ROWS($E$7:E207)),6))</f>
        <v/>
      </c>
      <c r="F207" s="22" t="str">
        <f>IF(E207="","",IF(E207&gt;0,SUMIFS('[1]UY$'!$L$5:$L$993,'[1]UY$'!$O$5:$O$993,"Cambio",'[1]UY$'!$E$5:$E$993,'Efecto TC'!D207),""))</f>
        <v/>
      </c>
      <c r="G207" s="23" t="str">
        <f t="shared" si="29"/>
        <v/>
      </c>
      <c r="H207" s="22" t="str">
        <f t="shared" si="30"/>
        <v/>
      </c>
      <c r="I207" s="54" t="str">
        <f t="shared" si="34"/>
        <v/>
      </c>
      <c r="R207" s="24" t="e">
        <f t="shared" si="31"/>
        <v>#VALUE!</v>
      </c>
      <c r="S207" s="25" t="e">
        <f t="shared" si="28"/>
        <v>#VALUE!</v>
      </c>
    </row>
    <row r="208" spans="1:19" x14ac:dyDescent="0.25">
      <c r="A208" t="e">
        <f t="shared" si="32"/>
        <v>#VALUE!</v>
      </c>
      <c r="B208" t="e">
        <f t="shared" si="33"/>
        <v>#VALUE!</v>
      </c>
      <c r="D208" s="21" t="str" cm="1">
        <f t="array" ref="D208">IF(ROWS($D$7:D208)&gt;COUNTIF('[1]U$S'!$H$5:$H$1008,$L$5),"",INDEX(CuentaUS,_xlfn.AGGREGATE(15,6,ROW('[1]U$S'!$H$5:$H$1008)-ROW('[1]U$S'!$O$5)+1/--('[1]U$S'!$H$5:$H$1008=$L$5),ROWS($D$7:D208)),1))</f>
        <v/>
      </c>
      <c r="E208" s="22" t="str" cm="1">
        <f t="array" ref="E208">IF(ROWS($E$7:E208)&gt;COUNTIF('[1]U$S'!$H$5:$H$1008,$L$5),"",INDEX(CuentaUS,_xlfn.AGGREGATE(15,6,ROW('[1]U$S'!$H$5:$H$1008)-ROW('[1]U$S'!$O$5)+1/--('[1]U$S'!$H$5:$H$1008=$L$5),ROWS($E$7:E208)),6))</f>
        <v/>
      </c>
      <c r="F208" s="22" t="str">
        <f>IF(E208="","",IF(E208&gt;0,SUMIFS('[1]UY$'!$L$5:$L$993,'[1]UY$'!$O$5:$O$993,"Cambio",'[1]UY$'!$E$5:$E$993,'Efecto TC'!D208),""))</f>
        <v/>
      </c>
      <c r="G208" s="23" t="str">
        <f t="shared" si="29"/>
        <v/>
      </c>
      <c r="H208" s="22" t="str">
        <f t="shared" si="30"/>
        <v/>
      </c>
      <c r="I208" s="54" t="str">
        <f t="shared" si="34"/>
        <v/>
      </c>
      <c r="R208" s="24" t="e">
        <f t="shared" si="31"/>
        <v>#VALUE!</v>
      </c>
      <c r="S208" s="25" t="e">
        <f t="shared" si="28"/>
        <v>#VALUE!</v>
      </c>
    </row>
    <row r="209" spans="1:19" x14ac:dyDescent="0.25">
      <c r="A209" t="e">
        <f t="shared" si="32"/>
        <v>#VALUE!</v>
      </c>
      <c r="B209" t="e">
        <f t="shared" si="33"/>
        <v>#VALUE!</v>
      </c>
      <c r="D209" s="21" t="str" cm="1">
        <f t="array" ref="D209">IF(ROWS($D$7:D209)&gt;COUNTIF('[1]U$S'!$H$5:$H$1008,$L$5),"",INDEX(CuentaUS,_xlfn.AGGREGATE(15,6,ROW('[1]U$S'!$H$5:$H$1008)-ROW('[1]U$S'!$O$5)+1/--('[1]U$S'!$H$5:$H$1008=$L$5),ROWS($D$7:D209)),1))</f>
        <v/>
      </c>
      <c r="E209" s="22" t="str" cm="1">
        <f t="array" ref="E209">IF(ROWS($E$7:E209)&gt;COUNTIF('[1]U$S'!$H$5:$H$1008,$L$5),"",INDEX(CuentaUS,_xlfn.AGGREGATE(15,6,ROW('[1]U$S'!$H$5:$H$1008)-ROW('[1]U$S'!$O$5)+1/--('[1]U$S'!$H$5:$H$1008=$L$5),ROWS($E$7:E209)),6))</f>
        <v/>
      </c>
      <c r="F209" s="22" t="str">
        <f>IF(E209="","",IF(E209&gt;0,SUMIFS('[1]UY$'!$L$5:$L$993,'[1]UY$'!$O$5:$O$993,"Cambio",'[1]UY$'!$E$5:$E$993,'Efecto TC'!D209),""))</f>
        <v/>
      </c>
      <c r="G209" s="23" t="str">
        <f t="shared" si="29"/>
        <v/>
      </c>
      <c r="H209" s="22" t="str">
        <f t="shared" si="30"/>
        <v/>
      </c>
      <c r="I209" s="54" t="str">
        <f t="shared" si="34"/>
        <v/>
      </c>
      <c r="R209" s="24" t="e">
        <f t="shared" si="31"/>
        <v>#VALUE!</v>
      </c>
      <c r="S209" s="25" t="e">
        <f t="shared" si="28"/>
        <v>#VALUE!</v>
      </c>
    </row>
    <row r="210" spans="1:19" x14ac:dyDescent="0.25">
      <c r="A210" t="e">
        <f t="shared" si="32"/>
        <v>#VALUE!</v>
      </c>
      <c r="B210" t="e">
        <f t="shared" si="33"/>
        <v>#VALUE!</v>
      </c>
      <c r="D210" s="21" t="str" cm="1">
        <f t="array" ref="D210">IF(ROWS($D$7:D210)&gt;COUNTIF('[1]U$S'!$H$5:$H$1008,$L$5),"",INDEX(CuentaUS,_xlfn.AGGREGATE(15,6,ROW('[1]U$S'!$H$5:$H$1008)-ROW('[1]U$S'!$O$5)+1/--('[1]U$S'!$H$5:$H$1008=$L$5),ROWS($D$7:D210)),1))</f>
        <v/>
      </c>
      <c r="E210" s="22" t="str" cm="1">
        <f t="array" ref="E210">IF(ROWS($E$7:E210)&gt;COUNTIF('[1]U$S'!$H$5:$H$1008,$L$5),"",INDEX(CuentaUS,_xlfn.AGGREGATE(15,6,ROW('[1]U$S'!$H$5:$H$1008)-ROW('[1]U$S'!$O$5)+1/--('[1]U$S'!$H$5:$H$1008=$L$5),ROWS($E$7:E210)),6))</f>
        <v/>
      </c>
      <c r="F210" s="22" t="str">
        <f>IF(E210="","",IF(E210&gt;0,SUMIFS('[1]UY$'!$L$5:$L$993,'[1]UY$'!$O$5:$O$993,"Cambio",'[1]UY$'!$E$5:$E$993,'Efecto TC'!D210),""))</f>
        <v/>
      </c>
      <c r="G210" s="23" t="str">
        <f t="shared" si="29"/>
        <v/>
      </c>
      <c r="H210" s="22" t="str">
        <f t="shared" si="30"/>
        <v/>
      </c>
      <c r="I210" s="54" t="str">
        <f t="shared" si="34"/>
        <v/>
      </c>
      <c r="R210" s="24" t="e">
        <f t="shared" si="31"/>
        <v>#VALUE!</v>
      </c>
      <c r="S210" s="25" t="e">
        <f t="shared" si="28"/>
        <v>#VALUE!</v>
      </c>
    </row>
    <row r="211" spans="1:19" x14ac:dyDescent="0.25">
      <c r="A211" t="e">
        <f t="shared" si="32"/>
        <v>#VALUE!</v>
      </c>
      <c r="B211" t="e">
        <f t="shared" si="33"/>
        <v>#VALUE!</v>
      </c>
      <c r="D211" s="21" t="str" cm="1">
        <f t="array" ref="D211">IF(ROWS($D$7:D211)&gt;COUNTIF('[1]U$S'!$H$5:$H$1008,$L$5),"",INDEX(CuentaUS,_xlfn.AGGREGATE(15,6,ROW('[1]U$S'!$H$5:$H$1008)-ROW('[1]U$S'!$O$5)+1/--('[1]U$S'!$H$5:$H$1008=$L$5),ROWS($D$7:D211)),1))</f>
        <v/>
      </c>
      <c r="E211" s="22" t="str" cm="1">
        <f t="array" ref="E211">IF(ROWS($E$7:E211)&gt;COUNTIF('[1]U$S'!$H$5:$H$1008,$L$5),"",INDEX(CuentaUS,_xlfn.AGGREGATE(15,6,ROW('[1]U$S'!$H$5:$H$1008)-ROW('[1]U$S'!$O$5)+1/--('[1]U$S'!$H$5:$H$1008=$L$5),ROWS($E$7:E211)),6))</f>
        <v/>
      </c>
      <c r="F211" s="22" t="str">
        <f>IF(E211="","",IF(E211&gt;0,SUMIFS('[1]UY$'!$L$5:$L$993,'[1]UY$'!$O$5:$O$993,"Cambio",'[1]UY$'!$E$5:$E$993,'Efecto TC'!D211),""))</f>
        <v/>
      </c>
      <c r="G211" s="23" t="str">
        <f t="shared" si="29"/>
        <v/>
      </c>
      <c r="H211" s="22" t="str">
        <f t="shared" si="30"/>
        <v/>
      </c>
      <c r="I211" s="54" t="str">
        <f t="shared" si="34"/>
        <v/>
      </c>
      <c r="R211" s="24" t="e">
        <f t="shared" si="31"/>
        <v>#VALUE!</v>
      </c>
      <c r="S211" s="25" t="e">
        <f t="shared" si="28"/>
        <v>#VALUE!</v>
      </c>
    </row>
    <row r="212" spans="1:19" x14ac:dyDescent="0.25">
      <c r="A212" t="e">
        <f t="shared" si="32"/>
        <v>#VALUE!</v>
      </c>
      <c r="B212" t="e">
        <f t="shared" si="33"/>
        <v>#VALUE!</v>
      </c>
      <c r="D212" s="21" t="str" cm="1">
        <f t="array" ref="D212">IF(ROWS($D$7:D212)&gt;COUNTIF('[1]U$S'!$H$5:$H$1008,$L$5),"",INDEX(CuentaUS,_xlfn.AGGREGATE(15,6,ROW('[1]U$S'!$H$5:$H$1008)-ROW('[1]U$S'!$O$5)+1/--('[1]U$S'!$H$5:$H$1008=$L$5),ROWS($D$7:D212)),1))</f>
        <v/>
      </c>
      <c r="E212" s="22" t="str" cm="1">
        <f t="array" ref="E212">IF(ROWS($E$7:E212)&gt;COUNTIF('[1]U$S'!$H$5:$H$1008,$L$5),"",INDEX(CuentaUS,_xlfn.AGGREGATE(15,6,ROW('[1]U$S'!$H$5:$H$1008)-ROW('[1]U$S'!$O$5)+1/--('[1]U$S'!$H$5:$H$1008=$L$5),ROWS($E$7:E212)),6))</f>
        <v/>
      </c>
      <c r="F212" s="22" t="str">
        <f>IF(E212="","",IF(E212&gt;0,SUMIFS('[1]UY$'!$L$5:$L$993,'[1]UY$'!$O$5:$O$993,"Cambio",'[1]UY$'!$E$5:$E$993,'Efecto TC'!D212),""))</f>
        <v/>
      </c>
      <c r="G212" s="23" t="str">
        <f t="shared" si="29"/>
        <v/>
      </c>
      <c r="H212" s="22" t="str">
        <f t="shared" si="30"/>
        <v/>
      </c>
      <c r="I212" s="54" t="str">
        <f t="shared" si="34"/>
        <v/>
      </c>
      <c r="R212" s="24" t="e">
        <f t="shared" si="31"/>
        <v>#VALUE!</v>
      </c>
      <c r="S212" s="25" t="e">
        <f t="shared" si="28"/>
        <v>#VALUE!</v>
      </c>
    </row>
    <row r="213" spans="1:19" x14ac:dyDescent="0.25">
      <c r="A213" t="e">
        <f t="shared" si="32"/>
        <v>#VALUE!</v>
      </c>
      <c r="B213" t="e">
        <f t="shared" si="33"/>
        <v>#VALUE!</v>
      </c>
      <c r="D213" s="21" t="str" cm="1">
        <f t="array" ref="D213">IF(ROWS($D$7:D213)&gt;COUNTIF('[1]U$S'!$H$5:$H$1008,$L$5),"",INDEX(CuentaUS,_xlfn.AGGREGATE(15,6,ROW('[1]U$S'!$H$5:$H$1008)-ROW('[1]U$S'!$O$5)+1/--('[1]U$S'!$H$5:$H$1008=$L$5),ROWS($D$7:D213)),1))</f>
        <v/>
      </c>
      <c r="E213" s="22" t="str" cm="1">
        <f t="array" ref="E213">IF(ROWS($E$7:E213)&gt;COUNTIF('[1]U$S'!$H$5:$H$1008,$L$5),"",INDEX(CuentaUS,_xlfn.AGGREGATE(15,6,ROW('[1]U$S'!$H$5:$H$1008)-ROW('[1]U$S'!$O$5)+1/--('[1]U$S'!$H$5:$H$1008=$L$5),ROWS($E$7:E213)),6))</f>
        <v/>
      </c>
      <c r="F213" s="22" t="str">
        <f>IF(E213="","",IF(E213&gt;0,SUMIFS('[1]UY$'!$L$5:$L$993,'[1]UY$'!$O$5:$O$993,"Cambio",'[1]UY$'!$E$5:$E$993,'Efecto TC'!D213),""))</f>
        <v/>
      </c>
      <c r="G213" s="23" t="str">
        <f t="shared" si="29"/>
        <v/>
      </c>
      <c r="H213" s="22" t="str">
        <f t="shared" si="30"/>
        <v/>
      </c>
      <c r="I213" s="54" t="str">
        <f t="shared" si="34"/>
        <v/>
      </c>
      <c r="R213" s="24" t="e">
        <f t="shared" si="31"/>
        <v>#VALUE!</v>
      </c>
      <c r="S213" s="25" t="e">
        <f t="shared" si="28"/>
        <v>#VALUE!</v>
      </c>
    </row>
    <row r="214" spans="1:19" x14ac:dyDescent="0.25">
      <c r="A214" t="e">
        <f t="shared" si="32"/>
        <v>#VALUE!</v>
      </c>
      <c r="B214" t="e">
        <f t="shared" si="33"/>
        <v>#VALUE!</v>
      </c>
      <c r="D214" s="21" t="str" cm="1">
        <f t="array" ref="D214">IF(ROWS($D$7:D214)&gt;COUNTIF('[1]U$S'!$H$5:$H$1008,$L$5),"",INDEX(CuentaUS,_xlfn.AGGREGATE(15,6,ROW('[1]U$S'!$H$5:$H$1008)-ROW('[1]U$S'!$O$5)+1/--('[1]U$S'!$H$5:$H$1008=$L$5),ROWS($D$7:D214)),1))</f>
        <v/>
      </c>
      <c r="E214" s="22" t="str" cm="1">
        <f t="array" ref="E214">IF(ROWS($E$7:E214)&gt;COUNTIF('[1]U$S'!$H$5:$H$1008,$L$5),"",INDEX(CuentaUS,_xlfn.AGGREGATE(15,6,ROW('[1]U$S'!$H$5:$H$1008)-ROW('[1]U$S'!$O$5)+1/--('[1]U$S'!$H$5:$H$1008=$L$5),ROWS($E$7:E214)),6))</f>
        <v/>
      </c>
      <c r="F214" s="22" t="str">
        <f>IF(E214="","",IF(E214&gt;0,SUMIFS('[1]UY$'!$L$5:$L$993,'[1]UY$'!$O$5:$O$993,"Cambio",'[1]UY$'!$E$5:$E$993,'Efecto TC'!D214),""))</f>
        <v/>
      </c>
      <c r="G214" s="23" t="str">
        <f t="shared" si="29"/>
        <v/>
      </c>
      <c r="H214" s="22" t="str">
        <f t="shared" si="30"/>
        <v/>
      </c>
      <c r="I214" s="54" t="str">
        <f t="shared" si="34"/>
        <v/>
      </c>
      <c r="R214" s="24" t="e">
        <f t="shared" si="31"/>
        <v>#VALUE!</v>
      </c>
      <c r="S214" s="25" t="e">
        <f t="shared" si="28"/>
        <v>#VALUE!</v>
      </c>
    </row>
    <row r="215" spans="1:19" x14ac:dyDescent="0.25">
      <c r="A215" t="e">
        <f t="shared" si="32"/>
        <v>#VALUE!</v>
      </c>
      <c r="B215" t="e">
        <f t="shared" si="33"/>
        <v>#VALUE!</v>
      </c>
      <c r="D215" s="21" t="str" cm="1">
        <f t="array" ref="D215">IF(ROWS($D$7:D215)&gt;COUNTIF('[1]U$S'!$H$5:$H$1008,$L$5),"",INDEX(CuentaUS,_xlfn.AGGREGATE(15,6,ROW('[1]U$S'!$H$5:$H$1008)-ROW('[1]U$S'!$O$5)+1/--('[1]U$S'!$H$5:$H$1008=$L$5),ROWS($D$7:D215)),1))</f>
        <v/>
      </c>
      <c r="E215" s="22" t="str" cm="1">
        <f t="array" ref="E215">IF(ROWS($E$7:E215)&gt;COUNTIF('[1]U$S'!$H$5:$H$1008,$L$5),"",INDEX(CuentaUS,_xlfn.AGGREGATE(15,6,ROW('[1]U$S'!$H$5:$H$1008)-ROW('[1]U$S'!$O$5)+1/--('[1]U$S'!$H$5:$H$1008=$L$5),ROWS($E$7:E215)),6))</f>
        <v/>
      </c>
      <c r="F215" s="22" t="str">
        <f>IF(E215="","",IF(E215&gt;0,SUMIFS('[1]UY$'!$L$5:$L$993,'[1]UY$'!$O$5:$O$993,"Cambio",'[1]UY$'!$E$5:$E$993,'Efecto TC'!D215),""))</f>
        <v/>
      </c>
      <c r="G215" s="23" t="str">
        <f t="shared" si="29"/>
        <v/>
      </c>
      <c r="H215" s="22" t="str">
        <f t="shared" si="30"/>
        <v/>
      </c>
      <c r="I215" s="54" t="str">
        <f t="shared" si="34"/>
        <v/>
      </c>
      <c r="R215" s="24" t="e">
        <f t="shared" si="31"/>
        <v>#VALUE!</v>
      </c>
      <c r="S215" s="25" t="e">
        <f t="shared" si="28"/>
        <v>#VALUE!</v>
      </c>
    </row>
    <row r="216" spans="1:19" x14ac:dyDescent="0.25">
      <c r="A216" t="e">
        <f t="shared" si="32"/>
        <v>#VALUE!</v>
      </c>
      <c r="B216" t="e">
        <f t="shared" si="33"/>
        <v>#VALUE!</v>
      </c>
      <c r="D216" s="21" t="str" cm="1">
        <f t="array" ref="D216">IF(ROWS($D$7:D216)&gt;COUNTIF('[1]U$S'!$H$5:$H$1008,$L$5),"",INDEX(CuentaUS,_xlfn.AGGREGATE(15,6,ROW('[1]U$S'!$H$5:$H$1008)-ROW('[1]U$S'!$O$5)+1/--('[1]U$S'!$H$5:$H$1008=$L$5),ROWS($D$7:D216)),1))</f>
        <v/>
      </c>
      <c r="E216" s="22" t="str" cm="1">
        <f t="array" ref="E216">IF(ROWS($E$7:E216)&gt;COUNTIF('[1]U$S'!$H$5:$H$1008,$L$5),"",INDEX(CuentaUS,_xlfn.AGGREGATE(15,6,ROW('[1]U$S'!$H$5:$H$1008)-ROW('[1]U$S'!$O$5)+1/--('[1]U$S'!$H$5:$H$1008=$L$5),ROWS($E$7:E216)),6))</f>
        <v/>
      </c>
      <c r="F216" s="22" t="str">
        <f>IF(E216="","",IF(E216&gt;0,SUMIFS('[1]UY$'!$L$5:$L$993,'[1]UY$'!$O$5:$O$993,"Cambio",'[1]UY$'!$E$5:$E$993,'Efecto TC'!D216),""))</f>
        <v/>
      </c>
      <c r="G216" s="23" t="str">
        <f t="shared" si="29"/>
        <v/>
      </c>
      <c r="H216" s="22" t="str">
        <f t="shared" si="30"/>
        <v/>
      </c>
      <c r="I216" s="54" t="str">
        <f t="shared" si="34"/>
        <v/>
      </c>
      <c r="R216" s="24" t="e">
        <f t="shared" si="31"/>
        <v>#VALUE!</v>
      </c>
      <c r="S216" s="25" t="e">
        <f t="shared" si="28"/>
        <v>#VALUE!</v>
      </c>
    </row>
    <row r="217" spans="1:19" x14ac:dyDescent="0.25">
      <c r="A217" t="e">
        <f t="shared" si="32"/>
        <v>#VALUE!</v>
      </c>
      <c r="B217" t="e">
        <f t="shared" si="33"/>
        <v>#VALUE!</v>
      </c>
      <c r="D217" s="21" t="str" cm="1">
        <f t="array" ref="D217">IF(ROWS($D$7:D217)&gt;COUNTIF('[1]U$S'!$H$5:$H$1008,$L$5),"",INDEX(CuentaUS,_xlfn.AGGREGATE(15,6,ROW('[1]U$S'!$H$5:$H$1008)-ROW('[1]U$S'!$O$5)+1/--('[1]U$S'!$H$5:$H$1008=$L$5),ROWS($D$7:D217)),1))</f>
        <v/>
      </c>
      <c r="E217" s="22" t="str" cm="1">
        <f t="array" ref="E217">IF(ROWS($E$7:E217)&gt;COUNTIF('[1]U$S'!$H$5:$H$1008,$L$5),"",INDEX(CuentaUS,_xlfn.AGGREGATE(15,6,ROW('[1]U$S'!$H$5:$H$1008)-ROW('[1]U$S'!$O$5)+1/--('[1]U$S'!$H$5:$H$1008=$L$5),ROWS($E$7:E217)),6))</f>
        <v/>
      </c>
      <c r="F217" s="22" t="str">
        <f>IF(E217="","",IF(E217&gt;0,SUMIFS('[1]UY$'!$L$5:$L$993,'[1]UY$'!$O$5:$O$993,"Cambio",'[1]UY$'!$E$5:$E$993,'Efecto TC'!D217),""))</f>
        <v/>
      </c>
      <c r="G217" s="23" t="str">
        <f t="shared" si="29"/>
        <v/>
      </c>
      <c r="H217" s="22" t="str">
        <f t="shared" si="30"/>
        <v/>
      </c>
      <c r="I217" s="54" t="str">
        <f t="shared" si="34"/>
        <v/>
      </c>
      <c r="R217" s="24" t="e">
        <f t="shared" si="31"/>
        <v>#VALUE!</v>
      </c>
      <c r="S217" s="25" t="e">
        <f t="shared" si="28"/>
        <v>#VALUE!</v>
      </c>
    </row>
    <row r="218" spans="1:19" x14ac:dyDescent="0.25">
      <c r="A218" t="e">
        <f t="shared" si="32"/>
        <v>#VALUE!</v>
      </c>
      <c r="B218" t="e">
        <f t="shared" si="33"/>
        <v>#VALUE!</v>
      </c>
      <c r="D218" s="21" t="str" cm="1">
        <f t="array" ref="D218">IF(ROWS($D$7:D218)&gt;COUNTIF('[1]U$S'!$H$5:$H$1008,$L$5),"",INDEX(CuentaUS,_xlfn.AGGREGATE(15,6,ROW('[1]U$S'!$H$5:$H$1008)-ROW('[1]U$S'!$O$5)+1/--('[1]U$S'!$H$5:$H$1008=$L$5),ROWS($D$7:D218)),1))</f>
        <v/>
      </c>
      <c r="E218" s="22" t="str" cm="1">
        <f t="array" ref="E218">IF(ROWS($E$7:E218)&gt;COUNTIF('[1]U$S'!$H$5:$H$1008,$L$5),"",INDEX(CuentaUS,_xlfn.AGGREGATE(15,6,ROW('[1]U$S'!$H$5:$H$1008)-ROW('[1]U$S'!$O$5)+1/--('[1]U$S'!$H$5:$H$1008=$L$5),ROWS($E$7:E218)),6))</f>
        <v/>
      </c>
      <c r="F218" s="22" t="str">
        <f>IF(E218="","",IF(E218&gt;0,SUMIFS('[1]UY$'!$L$5:$L$993,'[1]UY$'!$O$5:$O$993,"Cambio",'[1]UY$'!$E$5:$E$993,'Efecto TC'!D218),""))</f>
        <v/>
      </c>
      <c r="G218" s="23" t="str">
        <f t="shared" si="29"/>
        <v/>
      </c>
      <c r="H218" s="22" t="str">
        <f t="shared" si="30"/>
        <v/>
      </c>
      <c r="I218" s="54" t="str">
        <f t="shared" si="34"/>
        <v/>
      </c>
      <c r="R218" s="24" t="e">
        <f t="shared" si="31"/>
        <v>#VALUE!</v>
      </c>
      <c r="S218" s="25" t="e">
        <f t="shared" si="28"/>
        <v>#VALUE!</v>
      </c>
    </row>
    <row r="219" spans="1:19" x14ac:dyDescent="0.25">
      <c r="A219" t="e">
        <f t="shared" si="32"/>
        <v>#VALUE!</v>
      </c>
      <c r="B219" t="e">
        <f t="shared" si="33"/>
        <v>#VALUE!</v>
      </c>
      <c r="D219" s="21" t="str" cm="1">
        <f t="array" ref="D219">IF(ROWS($D$7:D219)&gt;COUNTIF('[1]U$S'!$H$5:$H$1008,$L$5),"",INDEX(CuentaUS,_xlfn.AGGREGATE(15,6,ROW('[1]U$S'!$H$5:$H$1008)-ROW('[1]U$S'!$O$5)+1/--('[1]U$S'!$H$5:$H$1008=$L$5),ROWS($D$7:D219)),1))</f>
        <v/>
      </c>
      <c r="E219" s="22" t="str" cm="1">
        <f t="array" ref="E219">IF(ROWS($E$7:E219)&gt;COUNTIF('[1]U$S'!$H$5:$H$1008,$L$5),"",INDEX(CuentaUS,_xlfn.AGGREGATE(15,6,ROW('[1]U$S'!$H$5:$H$1008)-ROW('[1]U$S'!$O$5)+1/--('[1]U$S'!$H$5:$H$1008=$L$5),ROWS($E$7:E219)),6))</f>
        <v/>
      </c>
      <c r="F219" s="22" t="str">
        <f>IF(E219="","",IF(E219&gt;0,SUMIFS('[1]UY$'!$L$5:$L$993,'[1]UY$'!$O$5:$O$993,"Cambio",'[1]UY$'!$E$5:$E$993,'Efecto TC'!D219),""))</f>
        <v/>
      </c>
      <c r="G219" s="23" t="str">
        <f t="shared" si="29"/>
        <v/>
      </c>
      <c r="H219" s="22" t="str">
        <f t="shared" si="30"/>
        <v/>
      </c>
      <c r="I219" s="54" t="str">
        <f t="shared" si="34"/>
        <v/>
      </c>
      <c r="R219" s="24" t="e">
        <f t="shared" si="31"/>
        <v>#VALUE!</v>
      </c>
      <c r="S219" s="25" t="e">
        <f t="shared" ref="S219:S282" si="35">R219*G213</f>
        <v>#VALUE!</v>
      </c>
    </row>
    <row r="220" spans="1:19" x14ac:dyDescent="0.25">
      <c r="A220" t="e">
        <f t="shared" si="32"/>
        <v>#VALUE!</v>
      </c>
      <c r="B220" t="e">
        <f t="shared" si="33"/>
        <v>#VALUE!</v>
      </c>
      <c r="D220" s="21" t="str" cm="1">
        <f t="array" ref="D220">IF(ROWS($D$7:D220)&gt;COUNTIF('[1]U$S'!$H$5:$H$1008,$L$5),"",INDEX(CuentaUS,_xlfn.AGGREGATE(15,6,ROW('[1]U$S'!$H$5:$H$1008)-ROW('[1]U$S'!$O$5)+1/--('[1]U$S'!$H$5:$H$1008=$L$5),ROWS($D$7:D220)),1))</f>
        <v/>
      </c>
      <c r="E220" s="22" t="str" cm="1">
        <f t="array" ref="E220">IF(ROWS($E$7:E220)&gt;COUNTIF('[1]U$S'!$H$5:$H$1008,$L$5),"",INDEX(CuentaUS,_xlfn.AGGREGATE(15,6,ROW('[1]U$S'!$H$5:$H$1008)-ROW('[1]U$S'!$O$5)+1/--('[1]U$S'!$H$5:$H$1008=$L$5),ROWS($E$7:E220)),6))</f>
        <v/>
      </c>
      <c r="F220" s="22" t="str">
        <f>IF(E220="","",IF(E220&gt;0,SUMIFS('[1]UY$'!$L$5:$L$993,'[1]UY$'!$O$5:$O$993,"Cambio",'[1]UY$'!$E$5:$E$993,'Efecto TC'!D220),""))</f>
        <v/>
      </c>
      <c r="G220" s="23" t="str">
        <f t="shared" si="29"/>
        <v/>
      </c>
      <c r="H220" s="22" t="str">
        <f t="shared" si="30"/>
        <v/>
      </c>
      <c r="I220" s="54" t="str">
        <f t="shared" si="34"/>
        <v/>
      </c>
      <c r="R220" s="24" t="e">
        <f t="shared" si="31"/>
        <v>#VALUE!</v>
      </c>
      <c r="S220" s="25" t="e">
        <f t="shared" si="35"/>
        <v>#VALUE!</v>
      </c>
    </row>
    <row r="221" spans="1:19" x14ac:dyDescent="0.25">
      <c r="A221" t="e">
        <f t="shared" si="32"/>
        <v>#VALUE!</v>
      </c>
      <c r="B221" t="e">
        <f t="shared" si="33"/>
        <v>#VALUE!</v>
      </c>
      <c r="D221" s="21" t="str" cm="1">
        <f t="array" ref="D221">IF(ROWS($D$7:D221)&gt;COUNTIF('[1]U$S'!$H$5:$H$1008,$L$5),"",INDEX(CuentaUS,_xlfn.AGGREGATE(15,6,ROW('[1]U$S'!$H$5:$H$1008)-ROW('[1]U$S'!$O$5)+1/--('[1]U$S'!$H$5:$H$1008=$L$5),ROWS($D$7:D221)),1))</f>
        <v/>
      </c>
      <c r="E221" s="22" t="str" cm="1">
        <f t="array" ref="E221">IF(ROWS($E$7:E221)&gt;COUNTIF('[1]U$S'!$H$5:$H$1008,$L$5),"",INDEX(CuentaUS,_xlfn.AGGREGATE(15,6,ROW('[1]U$S'!$H$5:$H$1008)-ROW('[1]U$S'!$O$5)+1/--('[1]U$S'!$H$5:$H$1008=$L$5),ROWS($E$7:E221)),6))</f>
        <v/>
      </c>
      <c r="F221" s="22" t="str">
        <f>IF(E221="","",IF(E221&gt;0,SUMIFS('[1]UY$'!$L$5:$L$993,'[1]UY$'!$O$5:$O$993,"Cambio",'[1]UY$'!$E$5:$E$993,'Efecto TC'!D221),""))</f>
        <v/>
      </c>
      <c r="G221" s="23" t="str">
        <f t="shared" si="29"/>
        <v/>
      </c>
      <c r="H221" s="22" t="str">
        <f t="shared" si="30"/>
        <v/>
      </c>
      <c r="I221" s="54" t="str">
        <f t="shared" si="34"/>
        <v/>
      </c>
      <c r="R221" s="24" t="e">
        <f t="shared" si="31"/>
        <v>#VALUE!</v>
      </c>
      <c r="S221" s="25" t="e">
        <f t="shared" si="35"/>
        <v>#VALUE!</v>
      </c>
    </row>
    <row r="222" spans="1:19" x14ac:dyDescent="0.25">
      <c r="A222" t="e">
        <f t="shared" si="32"/>
        <v>#VALUE!</v>
      </c>
      <c r="B222" t="e">
        <f t="shared" si="33"/>
        <v>#VALUE!</v>
      </c>
      <c r="D222" s="21" t="str" cm="1">
        <f t="array" ref="D222">IF(ROWS($D$7:D222)&gt;COUNTIF('[1]U$S'!$H$5:$H$1008,$L$5),"",INDEX(CuentaUS,_xlfn.AGGREGATE(15,6,ROW('[1]U$S'!$H$5:$H$1008)-ROW('[1]U$S'!$O$5)+1/--('[1]U$S'!$H$5:$H$1008=$L$5),ROWS($D$7:D222)),1))</f>
        <v/>
      </c>
      <c r="E222" s="22" t="str" cm="1">
        <f t="array" ref="E222">IF(ROWS($E$7:E222)&gt;COUNTIF('[1]U$S'!$H$5:$H$1008,$L$5),"",INDEX(CuentaUS,_xlfn.AGGREGATE(15,6,ROW('[1]U$S'!$H$5:$H$1008)-ROW('[1]U$S'!$O$5)+1/--('[1]U$S'!$H$5:$H$1008=$L$5),ROWS($E$7:E222)),6))</f>
        <v/>
      </c>
      <c r="F222" s="22" t="str">
        <f>IF(E222="","",IF(E222&gt;0,SUMIFS('[1]UY$'!$L$5:$L$993,'[1]UY$'!$O$5:$O$993,"Cambio",'[1]UY$'!$E$5:$E$993,'Efecto TC'!D222),""))</f>
        <v/>
      </c>
      <c r="G222" s="23" t="str">
        <f t="shared" si="29"/>
        <v/>
      </c>
      <c r="H222" s="22" t="str">
        <f t="shared" si="30"/>
        <v/>
      </c>
      <c r="I222" s="54" t="str">
        <f t="shared" si="34"/>
        <v/>
      </c>
      <c r="R222" s="24" t="e">
        <f t="shared" si="31"/>
        <v>#VALUE!</v>
      </c>
      <c r="S222" s="25" t="e">
        <f t="shared" si="35"/>
        <v>#VALUE!</v>
      </c>
    </row>
    <row r="223" spans="1:19" x14ac:dyDescent="0.25">
      <c r="A223" t="e">
        <f t="shared" si="32"/>
        <v>#VALUE!</v>
      </c>
      <c r="B223" t="e">
        <f t="shared" si="33"/>
        <v>#VALUE!</v>
      </c>
      <c r="D223" s="21" t="str" cm="1">
        <f t="array" ref="D223">IF(ROWS($D$7:D223)&gt;COUNTIF('[1]U$S'!$H$5:$H$1008,$L$5),"",INDEX(CuentaUS,_xlfn.AGGREGATE(15,6,ROW('[1]U$S'!$H$5:$H$1008)-ROW('[1]U$S'!$O$5)+1/--('[1]U$S'!$H$5:$H$1008=$L$5),ROWS($D$7:D223)),1))</f>
        <v/>
      </c>
      <c r="E223" s="22" t="str" cm="1">
        <f t="array" ref="E223">IF(ROWS($E$7:E223)&gt;COUNTIF('[1]U$S'!$H$5:$H$1008,$L$5),"",INDEX(CuentaUS,_xlfn.AGGREGATE(15,6,ROW('[1]U$S'!$H$5:$H$1008)-ROW('[1]U$S'!$O$5)+1/--('[1]U$S'!$H$5:$H$1008=$L$5),ROWS($E$7:E223)),6))</f>
        <v/>
      </c>
      <c r="F223" s="22" t="str">
        <f>IF(E223="","",IF(E223&gt;0,SUMIFS('[1]UY$'!$L$5:$L$993,'[1]UY$'!$O$5:$O$993,"Cambio",'[1]UY$'!$E$5:$E$993,'Efecto TC'!D223),""))</f>
        <v/>
      </c>
      <c r="G223" s="23" t="str">
        <f t="shared" si="29"/>
        <v/>
      </c>
      <c r="H223" s="22" t="str">
        <f t="shared" si="30"/>
        <v/>
      </c>
      <c r="I223" s="54" t="str">
        <f t="shared" si="34"/>
        <v/>
      </c>
      <c r="R223" s="24" t="e">
        <f t="shared" si="31"/>
        <v>#VALUE!</v>
      </c>
      <c r="S223" s="25" t="e">
        <f t="shared" si="35"/>
        <v>#VALUE!</v>
      </c>
    </row>
    <row r="224" spans="1:19" x14ac:dyDescent="0.25">
      <c r="A224" t="e">
        <f t="shared" si="32"/>
        <v>#VALUE!</v>
      </c>
      <c r="B224" t="e">
        <f t="shared" si="33"/>
        <v>#VALUE!</v>
      </c>
      <c r="D224" s="21" t="str" cm="1">
        <f t="array" ref="D224">IF(ROWS($D$7:D224)&gt;COUNTIF('[1]U$S'!$H$5:$H$1008,$L$5),"",INDEX(CuentaUS,_xlfn.AGGREGATE(15,6,ROW('[1]U$S'!$H$5:$H$1008)-ROW('[1]U$S'!$O$5)+1/--('[1]U$S'!$H$5:$H$1008=$L$5),ROWS($D$7:D224)),1))</f>
        <v/>
      </c>
      <c r="E224" s="22" t="str" cm="1">
        <f t="array" ref="E224">IF(ROWS($E$7:E224)&gt;COUNTIF('[1]U$S'!$H$5:$H$1008,$L$5),"",INDEX(CuentaUS,_xlfn.AGGREGATE(15,6,ROW('[1]U$S'!$H$5:$H$1008)-ROW('[1]U$S'!$O$5)+1/--('[1]U$S'!$H$5:$H$1008=$L$5),ROWS($E$7:E224)),6))</f>
        <v/>
      </c>
      <c r="F224" s="22" t="str">
        <f>IF(E224="","",IF(E224&gt;0,SUMIFS('[1]UY$'!$L$5:$L$993,'[1]UY$'!$O$5:$O$993,"Cambio",'[1]UY$'!$E$5:$E$993,'Efecto TC'!D224),""))</f>
        <v/>
      </c>
      <c r="G224" s="23" t="str">
        <f t="shared" si="29"/>
        <v/>
      </c>
      <c r="H224" s="22" t="str">
        <f t="shared" si="30"/>
        <v/>
      </c>
      <c r="I224" s="54" t="str">
        <f t="shared" si="34"/>
        <v/>
      </c>
      <c r="R224" s="24" t="e">
        <f t="shared" si="31"/>
        <v>#VALUE!</v>
      </c>
      <c r="S224" s="25" t="e">
        <f t="shared" si="35"/>
        <v>#VALUE!</v>
      </c>
    </row>
    <row r="225" spans="1:19" x14ac:dyDescent="0.25">
      <c r="A225" t="e">
        <f t="shared" si="32"/>
        <v>#VALUE!</v>
      </c>
      <c r="B225" t="e">
        <f t="shared" si="33"/>
        <v>#VALUE!</v>
      </c>
      <c r="D225" s="21" t="str" cm="1">
        <f t="array" ref="D225">IF(ROWS($D$7:D225)&gt;COUNTIF('[1]U$S'!$H$5:$H$1008,$L$5),"",INDEX(CuentaUS,_xlfn.AGGREGATE(15,6,ROW('[1]U$S'!$H$5:$H$1008)-ROW('[1]U$S'!$O$5)+1/--('[1]U$S'!$H$5:$H$1008=$L$5),ROWS($D$7:D225)),1))</f>
        <v/>
      </c>
      <c r="E225" s="22" t="str" cm="1">
        <f t="array" ref="E225">IF(ROWS($E$7:E225)&gt;COUNTIF('[1]U$S'!$H$5:$H$1008,$L$5),"",INDEX(CuentaUS,_xlfn.AGGREGATE(15,6,ROW('[1]U$S'!$H$5:$H$1008)-ROW('[1]U$S'!$O$5)+1/--('[1]U$S'!$H$5:$H$1008=$L$5),ROWS($E$7:E225)),6))</f>
        <v/>
      </c>
      <c r="F225" s="22" t="str">
        <f>IF(E225="","",IF(E225&gt;0,SUMIFS('[1]UY$'!$L$5:$L$993,'[1]UY$'!$O$5:$O$993,"Cambio",'[1]UY$'!$E$5:$E$993,'Efecto TC'!D225),""))</f>
        <v/>
      </c>
      <c r="G225" s="23" t="str">
        <f t="shared" si="29"/>
        <v/>
      </c>
      <c r="H225" s="22" t="str">
        <f t="shared" si="30"/>
        <v/>
      </c>
      <c r="I225" s="54" t="str">
        <f t="shared" si="34"/>
        <v/>
      </c>
      <c r="R225" s="24" t="e">
        <f t="shared" si="31"/>
        <v>#VALUE!</v>
      </c>
      <c r="S225" s="25" t="e">
        <f t="shared" si="35"/>
        <v>#VALUE!</v>
      </c>
    </row>
    <row r="226" spans="1:19" x14ac:dyDescent="0.25">
      <c r="A226" t="e">
        <f t="shared" si="32"/>
        <v>#VALUE!</v>
      </c>
      <c r="B226" t="e">
        <f t="shared" si="33"/>
        <v>#VALUE!</v>
      </c>
      <c r="D226" s="21" t="str" cm="1">
        <f t="array" ref="D226">IF(ROWS($D$7:D226)&gt;COUNTIF('[1]U$S'!$H$5:$H$1008,$L$5),"",INDEX(CuentaUS,_xlfn.AGGREGATE(15,6,ROW('[1]U$S'!$H$5:$H$1008)-ROW('[1]U$S'!$O$5)+1/--('[1]U$S'!$H$5:$H$1008=$L$5),ROWS($D$7:D226)),1))</f>
        <v/>
      </c>
      <c r="E226" s="22" t="str" cm="1">
        <f t="array" ref="E226">IF(ROWS($E$7:E226)&gt;COUNTIF('[1]U$S'!$H$5:$H$1008,$L$5),"",INDEX(CuentaUS,_xlfn.AGGREGATE(15,6,ROW('[1]U$S'!$H$5:$H$1008)-ROW('[1]U$S'!$O$5)+1/--('[1]U$S'!$H$5:$H$1008=$L$5),ROWS($E$7:E226)),6))</f>
        <v/>
      </c>
      <c r="F226" s="22" t="str">
        <f>IF(E226="","",IF(E226&gt;0,SUMIFS('[1]UY$'!$L$5:$L$993,'[1]UY$'!$O$5:$O$993,"Cambio",'[1]UY$'!$E$5:$E$993,'Efecto TC'!D226),""))</f>
        <v/>
      </c>
      <c r="G226" s="23" t="str">
        <f t="shared" ref="G226:G289" si="36">IF(F226="","",F226/E226)</f>
        <v/>
      </c>
      <c r="H226" s="22" t="str">
        <f t="shared" ref="H226:H289" si="37">IF(E226="","",F226/$F$2-F226/G226)</f>
        <v/>
      </c>
      <c r="I226" s="54" t="str">
        <f t="shared" si="34"/>
        <v/>
      </c>
      <c r="R226" s="24" t="e">
        <f t="shared" ref="R226:R289" si="38">E226/$E$1001</f>
        <v>#VALUE!</v>
      </c>
      <c r="S226" s="25" t="e">
        <f t="shared" si="35"/>
        <v>#VALUE!</v>
      </c>
    </row>
    <row r="227" spans="1:19" x14ac:dyDescent="0.25">
      <c r="A227" t="e">
        <f t="shared" si="32"/>
        <v>#VALUE!</v>
      </c>
      <c r="B227" t="e">
        <f t="shared" si="33"/>
        <v>#VALUE!</v>
      </c>
      <c r="D227" s="21" t="str" cm="1">
        <f t="array" ref="D227">IF(ROWS($D$7:D227)&gt;COUNTIF('[1]U$S'!$H$5:$H$1008,$L$5),"",INDEX(CuentaUS,_xlfn.AGGREGATE(15,6,ROW('[1]U$S'!$H$5:$H$1008)-ROW('[1]U$S'!$O$5)+1/--('[1]U$S'!$H$5:$H$1008=$L$5),ROWS($D$7:D227)),1))</f>
        <v/>
      </c>
      <c r="E227" s="22" t="str" cm="1">
        <f t="array" ref="E227">IF(ROWS($E$7:E227)&gt;COUNTIF('[1]U$S'!$H$5:$H$1008,$L$5),"",INDEX(CuentaUS,_xlfn.AGGREGATE(15,6,ROW('[1]U$S'!$H$5:$H$1008)-ROW('[1]U$S'!$O$5)+1/--('[1]U$S'!$H$5:$H$1008=$L$5),ROWS($E$7:E227)),6))</f>
        <v/>
      </c>
      <c r="F227" s="22" t="str">
        <f>IF(E227="","",IF(E227&gt;0,SUMIFS('[1]UY$'!$L$5:$L$993,'[1]UY$'!$O$5:$O$993,"Cambio",'[1]UY$'!$E$5:$E$993,'Efecto TC'!D227),""))</f>
        <v/>
      </c>
      <c r="G227" s="23" t="str">
        <f t="shared" si="36"/>
        <v/>
      </c>
      <c r="H227" s="22" t="str">
        <f t="shared" si="37"/>
        <v/>
      </c>
      <c r="I227" s="54" t="str">
        <f t="shared" si="34"/>
        <v/>
      </c>
      <c r="R227" s="24" t="e">
        <f t="shared" si="38"/>
        <v>#VALUE!</v>
      </c>
      <c r="S227" s="25" t="e">
        <f t="shared" si="35"/>
        <v>#VALUE!</v>
      </c>
    </row>
    <row r="228" spans="1:19" x14ac:dyDescent="0.25">
      <c r="A228" t="e">
        <f t="shared" si="32"/>
        <v>#VALUE!</v>
      </c>
      <c r="B228" t="e">
        <f t="shared" si="33"/>
        <v>#VALUE!</v>
      </c>
      <c r="D228" s="21" t="str" cm="1">
        <f t="array" ref="D228">IF(ROWS($D$7:D228)&gt;COUNTIF('[1]U$S'!$H$5:$H$1008,$L$5),"",INDEX(CuentaUS,_xlfn.AGGREGATE(15,6,ROW('[1]U$S'!$H$5:$H$1008)-ROW('[1]U$S'!$O$5)+1/--('[1]U$S'!$H$5:$H$1008=$L$5),ROWS($D$7:D228)),1))</f>
        <v/>
      </c>
      <c r="E228" s="22" t="str" cm="1">
        <f t="array" ref="E228">IF(ROWS($E$7:E228)&gt;COUNTIF('[1]U$S'!$H$5:$H$1008,$L$5),"",INDEX(CuentaUS,_xlfn.AGGREGATE(15,6,ROW('[1]U$S'!$H$5:$H$1008)-ROW('[1]U$S'!$O$5)+1/--('[1]U$S'!$H$5:$H$1008=$L$5),ROWS($E$7:E228)),6))</f>
        <v/>
      </c>
      <c r="F228" s="22" t="str">
        <f>IF(E228="","",IF(E228&gt;0,SUMIFS('[1]UY$'!$L$5:$L$993,'[1]UY$'!$O$5:$O$993,"Cambio",'[1]UY$'!$E$5:$E$993,'Efecto TC'!D228),""))</f>
        <v/>
      </c>
      <c r="G228" s="23" t="str">
        <f t="shared" si="36"/>
        <v/>
      </c>
      <c r="H228" s="22" t="str">
        <f t="shared" si="37"/>
        <v/>
      </c>
      <c r="I228" s="54" t="str">
        <f t="shared" si="34"/>
        <v/>
      </c>
      <c r="R228" s="24" t="e">
        <f t="shared" si="38"/>
        <v>#VALUE!</v>
      </c>
      <c r="S228" s="25" t="e">
        <f t="shared" si="35"/>
        <v>#VALUE!</v>
      </c>
    </row>
    <row r="229" spans="1:19" x14ac:dyDescent="0.25">
      <c r="A229" t="e">
        <f t="shared" si="32"/>
        <v>#VALUE!</v>
      </c>
      <c r="B229" t="e">
        <f t="shared" si="33"/>
        <v>#VALUE!</v>
      </c>
      <c r="D229" s="21" t="str" cm="1">
        <f t="array" ref="D229">IF(ROWS($D$7:D229)&gt;COUNTIF('[1]U$S'!$H$5:$H$1008,$L$5),"",INDEX(CuentaUS,_xlfn.AGGREGATE(15,6,ROW('[1]U$S'!$H$5:$H$1008)-ROW('[1]U$S'!$O$5)+1/--('[1]U$S'!$H$5:$H$1008=$L$5),ROWS($D$7:D229)),1))</f>
        <v/>
      </c>
      <c r="E229" s="22" t="str" cm="1">
        <f t="array" ref="E229">IF(ROWS($E$7:E229)&gt;COUNTIF('[1]U$S'!$H$5:$H$1008,$L$5),"",INDEX(CuentaUS,_xlfn.AGGREGATE(15,6,ROW('[1]U$S'!$H$5:$H$1008)-ROW('[1]U$S'!$O$5)+1/--('[1]U$S'!$H$5:$H$1008=$L$5),ROWS($E$7:E229)),6))</f>
        <v/>
      </c>
      <c r="F229" s="22" t="str">
        <f>IF(E229="","",IF(E229&gt;0,SUMIFS('[1]UY$'!$L$5:$L$993,'[1]UY$'!$O$5:$O$993,"Cambio",'[1]UY$'!$E$5:$E$993,'Efecto TC'!D229),""))</f>
        <v/>
      </c>
      <c r="G229" s="23" t="str">
        <f t="shared" si="36"/>
        <v/>
      </c>
      <c r="H229" s="22" t="str">
        <f t="shared" si="37"/>
        <v/>
      </c>
      <c r="I229" s="54" t="str">
        <f t="shared" si="34"/>
        <v/>
      </c>
      <c r="R229" s="24" t="e">
        <f t="shared" si="38"/>
        <v>#VALUE!</v>
      </c>
      <c r="S229" s="25" t="e">
        <f t="shared" si="35"/>
        <v>#VALUE!</v>
      </c>
    </row>
    <row r="230" spans="1:19" x14ac:dyDescent="0.25">
      <c r="A230" t="e">
        <f t="shared" si="32"/>
        <v>#VALUE!</v>
      </c>
      <c r="B230" t="e">
        <f t="shared" si="33"/>
        <v>#VALUE!</v>
      </c>
      <c r="D230" s="21" t="str" cm="1">
        <f t="array" ref="D230">IF(ROWS($D$7:D230)&gt;COUNTIF('[1]U$S'!$H$5:$H$1008,$L$5),"",INDEX(CuentaUS,_xlfn.AGGREGATE(15,6,ROW('[1]U$S'!$H$5:$H$1008)-ROW('[1]U$S'!$O$5)+1/--('[1]U$S'!$H$5:$H$1008=$L$5),ROWS($D$7:D230)),1))</f>
        <v/>
      </c>
      <c r="E230" s="22" t="str" cm="1">
        <f t="array" ref="E230">IF(ROWS($E$7:E230)&gt;COUNTIF('[1]U$S'!$H$5:$H$1008,$L$5),"",INDEX(CuentaUS,_xlfn.AGGREGATE(15,6,ROW('[1]U$S'!$H$5:$H$1008)-ROW('[1]U$S'!$O$5)+1/--('[1]U$S'!$H$5:$H$1008=$L$5),ROWS($E$7:E230)),6))</f>
        <v/>
      </c>
      <c r="F230" s="22" t="str">
        <f>IF(E230="","",IF(E230&gt;0,SUMIFS('[1]UY$'!$L$5:$L$993,'[1]UY$'!$O$5:$O$993,"Cambio",'[1]UY$'!$E$5:$E$993,'Efecto TC'!D230),""))</f>
        <v/>
      </c>
      <c r="G230" s="23" t="str">
        <f t="shared" si="36"/>
        <v/>
      </c>
      <c r="H230" s="22" t="str">
        <f t="shared" si="37"/>
        <v/>
      </c>
      <c r="I230" s="54" t="str">
        <f t="shared" si="34"/>
        <v/>
      </c>
      <c r="R230" s="24" t="e">
        <f t="shared" si="38"/>
        <v>#VALUE!</v>
      </c>
      <c r="S230" s="25" t="e">
        <f t="shared" si="35"/>
        <v>#VALUE!</v>
      </c>
    </row>
    <row r="231" spans="1:19" x14ac:dyDescent="0.25">
      <c r="A231" t="e">
        <f t="shared" si="32"/>
        <v>#VALUE!</v>
      </c>
      <c r="B231" t="e">
        <f t="shared" si="33"/>
        <v>#VALUE!</v>
      </c>
      <c r="D231" s="21" t="str" cm="1">
        <f t="array" ref="D231">IF(ROWS($D$7:D231)&gt;COUNTIF('[1]U$S'!$H$5:$H$1008,$L$5),"",INDEX(CuentaUS,_xlfn.AGGREGATE(15,6,ROW('[1]U$S'!$H$5:$H$1008)-ROW('[1]U$S'!$O$5)+1/--('[1]U$S'!$H$5:$H$1008=$L$5),ROWS($D$7:D231)),1))</f>
        <v/>
      </c>
      <c r="E231" s="22" t="str" cm="1">
        <f t="array" ref="E231">IF(ROWS($E$7:E231)&gt;COUNTIF('[1]U$S'!$H$5:$H$1008,$L$5),"",INDEX(CuentaUS,_xlfn.AGGREGATE(15,6,ROW('[1]U$S'!$H$5:$H$1008)-ROW('[1]U$S'!$O$5)+1/--('[1]U$S'!$H$5:$H$1008=$L$5),ROWS($E$7:E231)),6))</f>
        <v/>
      </c>
      <c r="F231" s="22" t="str">
        <f>IF(E231="","",IF(E231&gt;0,SUMIFS('[1]UY$'!$L$5:$L$993,'[1]UY$'!$O$5:$O$993,"Cambio",'[1]UY$'!$E$5:$E$993,'Efecto TC'!D231),""))</f>
        <v/>
      </c>
      <c r="G231" s="23" t="str">
        <f t="shared" si="36"/>
        <v/>
      </c>
      <c r="H231" s="22" t="str">
        <f t="shared" si="37"/>
        <v/>
      </c>
      <c r="I231" s="54" t="str">
        <f t="shared" si="34"/>
        <v/>
      </c>
      <c r="R231" s="24" t="e">
        <f t="shared" si="38"/>
        <v>#VALUE!</v>
      </c>
      <c r="S231" s="25" t="e">
        <f t="shared" si="35"/>
        <v>#VALUE!</v>
      </c>
    </row>
    <row r="232" spans="1:19" x14ac:dyDescent="0.25">
      <c r="A232" t="e">
        <f t="shared" si="32"/>
        <v>#VALUE!</v>
      </c>
      <c r="B232" t="e">
        <f t="shared" si="33"/>
        <v>#VALUE!</v>
      </c>
      <c r="D232" s="21" t="str" cm="1">
        <f t="array" ref="D232">IF(ROWS($D$7:D232)&gt;COUNTIF('[1]U$S'!$H$5:$H$1008,$L$5),"",INDEX(CuentaUS,_xlfn.AGGREGATE(15,6,ROW('[1]U$S'!$H$5:$H$1008)-ROW('[1]U$S'!$O$5)+1/--('[1]U$S'!$H$5:$H$1008=$L$5),ROWS($D$7:D232)),1))</f>
        <v/>
      </c>
      <c r="E232" s="22" t="str" cm="1">
        <f t="array" ref="E232">IF(ROWS($E$7:E232)&gt;COUNTIF('[1]U$S'!$H$5:$H$1008,$L$5),"",INDEX(CuentaUS,_xlfn.AGGREGATE(15,6,ROW('[1]U$S'!$H$5:$H$1008)-ROW('[1]U$S'!$O$5)+1/--('[1]U$S'!$H$5:$H$1008=$L$5),ROWS($E$7:E232)),6))</f>
        <v/>
      </c>
      <c r="F232" s="22" t="str">
        <f>IF(E232="","",IF(E232&gt;0,SUMIFS('[1]UY$'!$L$5:$L$993,'[1]UY$'!$O$5:$O$993,"Cambio",'[1]UY$'!$E$5:$E$993,'Efecto TC'!D232),""))</f>
        <v/>
      </c>
      <c r="G232" s="23" t="str">
        <f t="shared" si="36"/>
        <v/>
      </c>
      <c r="H232" s="22" t="str">
        <f t="shared" si="37"/>
        <v/>
      </c>
      <c r="I232" s="54" t="str">
        <f t="shared" si="34"/>
        <v/>
      </c>
      <c r="R232" s="24" t="e">
        <f t="shared" si="38"/>
        <v>#VALUE!</v>
      </c>
      <c r="S232" s="25" t="e">
        <f t="shared" si="35"/>
        <v>#VALUE!</v>
      </c>
    </row>
    <row r="233" spans="1:19" x14ac:dyDescent="0.25">
      <c r="A233" t="e">
        <f t="shared" si="32"/>
        <v>#VALUE!</v>
      </c>
      <c r="B233" t="e">
        <f t="shared" si="33"/>
        <v>#VALUE!</v>
      </c>
      <c r="D233" s="21" t="str" cm="1">
        <f t="array" ref="D233">IF(ROWS($D$7:D233)&gt;COUNTIF('[1]U$S'!$H$5:$H$1008,$L$5),"",INDEX(CuentaUS,_xlfn.AGGREGATE(15,6,ROW('[1]U$S'!$H$5:$H$1008)-ROW('[1]U$S'!$O$5)+1/--('[1]U$S'!$H$5:$H$1008=$L$5),ROWS($D$7:D233)),1))</f>
        <v/>
      </c>
      <c r="E233" s="22" t="str" cm="1">
        <f t="array" ref="E233">IF(ROWS($E$7:E233)&gt;COUNTIF('[1]U$S'!$H$5:$H$1008,$L$5),"",INDEX(CuentaUS,_xlfn.AGGREGATE(15,6,ROW('[1]U$S'!$H$5:$H$1008)-ROW('[1]U$S'!$O$5)+1/--('[1]U$S'!$H$5:$H$1008=$L$5),ROWS($E$7:E233)),6))</f>
        <v/>
      </c>
      <c r="F233" s="22" t="str">
        <f>IF(E233="","",IF(E233&gt;0,SUMIFS('[1]UY$'!$L$5:$L$993,'[1]UY$'!$O$5:$O$993,"Cambio",'[1]UY$'!$E$5:$E$993,'Efecto TC'!D233),""))</f>
        <v/>
      </c>
      <c r="G233" s="23" t="str">
        <f t="shared" si="36"/>
        <v/>
      </c>
      <c r="H233" s="22" t="str">
        <f t="shared" si="37"/>
        <v/>
      </c>
      <c r="I233" s="54" t="str">
        <f t="shared" si="34"/>
        <v/>
      </c>
      <c r="R233" s="24" t="e">
        <f t="shared" si="38"/>
        <v>#VALUE!</v>
      </c>
      <c r="S233" s="25" t="e">
        <f t="shared" si="35"/>
        <v>#VALUE!</v>
      </c>
    </row>
    <row r="234" spans="1:19" x14ac:dyDescent="0.25">
      <c r="A234" t="e">
        <f t="shared" si="32"/>
        <v>#VALUE!</v>
      </c>
      <c r="B234" t="e">
        <f t="shared" si="33"/>
        <v>#VALUE!</v>
      </c>
      <c r="D234" s="21" t="str" cm="1">
        <f t="array" ref="D234">IF(ROWS($D$7:D234)&gt;COUNTIF('[1]U$S'!$H$5:$H$1008,$L$5),"",INDEX(CuentaUS,_xlfn.AGGREGATE(15,6,ROW('[1]U$S'!$H$5:$H$1008)-ROW('[1]U$S'!$O$5)+1/--('[1]U$S'!$H$5:$H$1008=$L$5),ROWS($D$7:D234)),1))</f>
        <v/>
      </c>
      <c r="E234" s="22" t="str" cm="1">
        <f t="array" ref="E234">IF(ROWS($E$7:E234)&gt;COUNTIF('[1]U$S'!$H$5:$H$1008,$L$5),"",INDEX(CuentaUS,_xlfn.AGGREGATE(15,6,ROW('[1]U$S'!$H$5:$H$1008)-ROW('[1]U$S'!$O$5)+1/--('[1]U$S'!$H$5:$H$1008=$L$5),ROWS($E$7:E234)),6))</f>
        <v/>
      </c>
      <c r="F234" s="22" t="str">
        <f>IF(E234="","",IF(E234&gt;0,SUMIFS('[1]UY$'!$L$5:$L$993,'[1]UY$'!$O$5:$O$993,"Cambio",'[1]UY$'!$E$5:$E$993,'Efecto TC'!D234),""))</f>
        <v/>
      </c>
      <c r="G234" s="23" t="str">
        <f t="shared" si="36"/>
        <v/>
      </c>
      <c r="H234" s="22" t="str">
        <f t="shared" si="37"/>
        <v/>
      </c>
      <c r="I234" s="54" t="str">
        <f t="shared" si="34"/>
        <v/>
      </c>
      <c r="R234" s="24" t="e">
        <f t="shared" si="38"/>
        <v>#VALUE!</v>
      </c>
      <c r="S234" s="25" t="e">
        <f t="shared" si="35"/>
        <v>#VALUE!</v>
      </c>
    </row>
    <row r="235" spans="1:19" x14ac:dyDescent="0.25">
      <c r="A235" t="e">
        <f t="shared" si="32"/>
        <v>#VALUE!</v>
      </c>
      <c r="B235" t="e">
        <f t="shared" si="33"/>
        <v>#VALUE!</v>
      </c>
      <c r="D235" s="21" t="str" cm="1">
        <f t="array" ref="D235">IF(ROWS($D$7:D235)&gt;COUNTIF('[1]U$S'!$H$5:$H$1008,$L$5),"",INDEX(CuentaUS,_xlfn.AGGREGATE(15,6,ROW('[1]U$S'!$H$5:$H$1008)-ROW('[1]U$S'!$O$5)+1/--('[1]U$S'!$H$5:$H$1008=$L$5),ROWS($D$7:D235)),1))</f>
        <v/>
      </c>
      <c r="E235" s="22" t="str" cm="1">
        <f t="array" ref="E235">IF(ROWS($E$7:E235)&gt;COUNTIF('[1]U$S'!$H$5:$H$1008,$L$5),"",INDEX(CuentaUS,_xlfn.AGGREGATE(15,6,ROW('[1]U$S'!$H$5:$H$1008)-ROW('[1]U$S'!$O$5)+1/--('[1]U$S'!$H$5:$H$1008=$L$5),ROWS($E$7:E235)),6))</f>
        <v/>
      </c>
      <c r="F235" s="22" t="str">
        <f>IF(E235="","",IF(E235&gt;0,SUMIFS('[1]UY$'!$L$5:$L$993,'[1]UY$'!$O$5:$O$993,"Cambio",'[1]UY$'!$E$5:$E$993,'Efecto TC'!D235),""))</f>
        <v/>
      </c>
      <c r="G235" s="23" t="str">
        <f t="shared" si="36"/>
        <v/>
      </c>
      <c r="H235" s="22" t="str">
        <f t="shared" si="37"/>
        <v/>
      </c>
      <c r="I235" s="54" t="str">
        <f t="shared" si="34"/>
        <v/>
      </c>
      <c r="R235" s="24" t="e">
        <f t="shared" si="38"/>
        <v>#VALUE!</v>
      </c>
      <c r="S235" s="25" t="e">
        <f t="shared" si="35"/>
        <v>#VALUE!</v>
      </c>
    </row>
    <row r="236" spans="1:19" x14ac:dyDescent="0.25">
      <c r="A236" t="e">
        <f t="shared" si="32"/>
        <v>#VALUE!</v>
      </c>
      <c r="B236" t="e">
        <f t="shared" si="33"/>
        <v>#VALUE!</v>
      </c>
      <c r="D236" s="21" t="str" cm="1">
        <f t="array" ref="D236">IF(ROWS($D$7:D236)&gt;COUNTIF('[1]U$S'!$H$5:$H$1008,$L$5),"",INDEX(CuentaUS,_xlfn.AGGREGATE(15,6,ROW('[1]U$S'!$H$5:$H$1008)-ROW('[1]U$S'!$O$5)+1/--('[1]U$S'!$H$5:$H$1008=$L$5),ROWS($D$7:D236)),1))</f>
        <v/>
      </c>
      <c r="E236" s="22" t="str" cm="1">
        <f t="array" ref="E236">IF(ROWS($E$7:E236)&gt;COUNTIF('[1]U$S'!$H$5:$H$1008,$L$5),"",INDEX(CuentaUS,_xlfn.AGGREGATE(15,6,ROW('[1]U$S'!$H$5:$H$1008)-ROW('[1]U$S'!$O$5)+1/--('[1]U$S'!$H$5:$H$1008=$L$5),ROWS($E$7:E236)),6))</f>
        <v/>
      </c>
      <c r="F236" s="22" t="str">
        <f>IF(E236="","",IF(E236&gt;0,SUMIFS('[1]UY$'!$L$5:$L$993,'[1]UY$'!$O$5:$O$993,"Cambio",'[1]UY$'!$E$5:$E$993,'Efecto TC'!D236),""))</f>
        <v/>
      </c>
      <c r="G236" s="23" t="str">
        <f t="shared" si="36"/>
        <v/>
      </c>
      <c r="H236" s="22" t="str">
        <f t="shared" si="37"/>
        <v/>
      </c>
      <c r="I236" s="54" t="str">
        <f t="shared" si="34"/>
        <v/>
      </c>
      <c r="R236" s="24" t="e">
        <f t="shared" si="38"/>
        <v>#VALUE!</v>
      </c>
      <c r="S236" s="25" t="e">
        <f t="shared" si="35"/>
        <v>#VALUE!</v>
      </c>
    </row>
    <row r="237" spans="1:19" x14ac:dyDescent="0.25">
      <c r="A237" t="e">
        <f t="shared" si="32"/>
        <v>#VALUE!</v>
      </c>
      <c r="B237" t="e">
        <f t="shared" si="33"/>
        <v>#VALUE!</v>
      </c>
      <c r="D237" s="21" t="str" cm="1">
        <f t="array" ref="D237">IF(ROWS($D$7:D237)&gt;COUNTIF('[1]U$S'!$H$5:$H$1008,$L$5),"",INDEX(CuentaUS,_xlfn.AGGREGATE(15,6,ROW('[1]U$S'!$H$5:$H$1008)-ROW('[1]U$S'!$O$5)+1/--('[1]U$S'!$H$5:$H$1008=$L$5),ROWS($D$7:D237)),1))</f>
        <v/>
      </c>
      <c r="E237" s="22" t="str" cm="1">
        <f t="array" ref="E237">IF(ROWS($E$7:E237)&gt;COUNTIF('[1]U$S'!$H$5:$H$1008,$L$5),"",INDEX(CuentaUS,_xlfn.AGGREGATE(15,6,ROW('[1]U$S'!$H$5:$H$1008)-ROW('[1]U$S'!$O$5)+1/--('[1]U$S'!$H$5:$H$1008=$L$5),ROWS($E$7:E237)),6))</f>
        <v/>
      </c>
      <c r="F237" s="22" t="str">
        <f>IF(E237="","",IF(E237&gt;0,SUMIFS('[1]UY$'!$L$5:$L$993,'[1]UY$'!$O$5:$O$993,"Cambio",'[1]UY$'!$E$5:$E$993,'Efecto TC'!D237),""))</f>
        <v/>
      </c>
      <c r="G237" s="23" t="str">
        <f t="shared" si="36"/>
        <v/>
      </c>
      <c r="H237" s="22" t="str">
        <f t="shared" si="37"/>
        <v/>
      </c>
      <c r="I237" s="54" t="str">
        <f t="shared" si="34"/>
        <v/>
      </c>
      <c r="R237" s="24" t="e">
        <f t="shared" si="38"/>
        <v>#VALUE!</v>
      </c>
      <c r="S237" s="25" t="e">
        <f t="shared" si="35"/>
        <v>#VALUE!</v>
      </c>
    </row>
    <row r="238" spans="1:19" x14ac:dyDescent="0.25">
      <c r="A238" t="e">
        <f t="shared" si="32"/>
        <v>#VALUE!</v>
      </c>
      <c r="B238" t="e">
        <f t="shared" si="33"/>
        <v>#VALUE!</v>
      </c>
      <c r="D238" s="21" t="str" cm="1">
        <f t="array" ref="D238">IF(ROWS($D$7:D238)&gt;COUNTIF('[1]U$S'!$H$5:$H$1008,$L$5),"",INDEX(CuentaUS,_xlfn.AGGREGATE(15,6,ROW('[1]U$S'!$H$5:$H$1008)-ROW('[1]U$S'!$O$5)+1/--('[1]U$S'!$H$5:$H$1008=$L$5),ROWS($D$7:D238)),1))</f>
        <v/>
      </c>
      <c r="E238" s="22" t="str" cm="1">
        <f t="array" ref="E238">IF(ROWS($E$7:E238)&gt;COUNTIF('[1]U$S'!$H$5:$H$1008,$L$5),"",INDEX(CuentaUS,_xlfn.AGGREGATE(15,6,ROW('[1]U$S'!$H$5:$H$1008)-ROW('[1]U$S'!$O$5)+1/--('[1]U$S'!$H$5:$H$1008=$L$5),ROWS($E$7:E238)),6))</f>
        <v/>
      </c>
      <c r="F238" s="22" t="str">
        <f>IF(E238="","",IF(E238&gt;0,SUMIFS('[1]UY$'!$L$5:$L$993,'[1]UY$'!$O$5:$O$993,"Cambio",'[1]UY$'!$E$5:$E$993,'Efecto TC'!D238),""))</f>
        <v/>
      </c>
      <c r="G238" s="23" t="str">
        <f t="shared" si="36"/>
        <v/>
      </c>
      <c r="H238" s="22" t="str">
        <f t="shared" si="37"/>
        <v/>
      </c>
      <c r="I238" s="54" t="str">
        <f t="shared" si="34"/>
        <v/>
      </c>
      <c r="R238" s="24" t="e">
        <f t="shared" si="38"/>
        <v>#VALUE!</v>
      </c>
      <c r="S238" s="25" t="e">
        <f t="shared" si="35"/>
        <v>#VALUE!</v>
      </c>
    </row>
    <row r="239" spans="1:19" x14ac:dyDescent="0.25">
      <c r="A239" t="e">
        <f t="shared" si="32"/>
        <v>#VALUE!</v>
      </c>
      <c r="B239" t="e">
        <f t="shared" si="33"/>
        <v>#VALUE!</v>
      </c>
      <c r="D239" s="21" t="str" cm="1">
        <f t="array" ref="D239">IF(ROWS($D$7:D239)&gt;COUNTIF('[1]U$S'!$H$5:$H$1008,$L$5),"",INDEX(CuentaUS,_xlfn.AGGREGATE(15,6,ROW('[1]U$S'!$H$5:$H$1008)-ROW('[1]U$S'!$O$5)+1/--('[1]U$S'!$H$5:$H$1008=$L$5),ROWS($D$7:D239)),1))</f>
        <v/>
      </c>
      <c r="E239" s="22" t="str" cm="1">
        <f t="array" ref="E239">IF(ROWS($E$7:E239)&gt;COUNTIF('[1]U$S'!$H$5:$H$1008,$L$5),"",INDEX(CuentaUS,_xlfn.AGGREGATE(15,6,ROW('[1]U$S'!$H$5:$H$1008)-ROW('[1]U$S'!$O$5)+1/--('[1]U$S'!$H$5:$H$1008=$L$5),ROWS($E$7:E239)),6))</f>
        <v/>
      </c>
      <c r="F239" s="22" t="str">
        <f>IF(E239="","",IF(E239&gt;0,SUMIFS('[1]UY$'!$L$5:$L$993,'[1]UY$'!$O$5:$O$993,"Cambio",'[1]UY$'!$E$5:$E$993,'Efecto TC'!D239),""))</f>
        <v/>
      </c>
      <c r="G239" s="23" t="str">
        <f t="shared" si="36"/>
        <v/>
      </c>
      <c r="H239" s="22" t="str">
        <f t="shared" si="37"/>
        <v/>
      </c>
      <c r="I239" s="54" t="str">
        <f t="shared" si="34"/>
        <v/>
      </c>
      <c r="R239" s="24" t="e">
        <f t="shared" si="38"/>
        <v>#VALUE!</v>
      </c>
      <c r="S239" s="25" t="e">
        <f t="shared" si="35"/>
        <v>#VALUE!</v>
      </c>
    </row>
    <row r="240" spans="1:19" x14ac:dyDescent="0.25">
      <c r="A240" t="e">
        <f t="shared" si="32"/>
        <v>#VALUE!</v>
      </c>
      <c r="B240" t="e">
        <f t="shared" si="33"/>
        <v>#VALUE!</v>
      </c>
      <c r="D240" s="21" t="str" cm="1">
        <f t="array" ref="D240">IF(ROWS($D$7:D240)&gt;COUNTIF('[1]U$S'!$H$5:$H$1008,$L$5),"",INDEX(CuentaUS,_xlfn.AGGREGATE(15,6,ROW('[1]U$S'!$H$5:$H$1008)-ROW('[1]U$S'!$O$5)+1/--('[1]U$S'!$H$5:$H$1008=$L$5),ROWS($D$7:D240)),1))</f>
        <v/>
      </c>
      <c r="E240" s="22" t="str" cm="1">
        <f t="array" ref="E240">IF(ROWS($E$7:E240)&gt;COUNTIF('[1]U$S'!$H$5:$H$1008,$L$5),"",INDEX(CuentaUS,_xlfn.AGGREGATE(15,6,ROW('[1]U$S'!$H$5:$H$1008)-ROW('[1]U$S'!$O$5)+1/--('[1]U$S'!$H$5:$H$1008=$L$5),ROWS($E$7:E240)),6))</f>
        <v/>
      </c>
      <c r="F240" s="22" t="str">
        <f>IF(E240="","",IF(E240&gt;0,SUMIFS('[1]UY$'!$L$5:$L$993,'[1]UY$'!$O$5:$O$993,"Cambio",'[1]UY$'!$E$5:$E$993,'Efecto TC'!D240),""))</f>
        <v/>
      </c>
      <c r="G240" s="23" t="str">
        <f t="shared" si="36"/>
        <v/>
      </c>
      <c r="H240" s="22" t="str">
        <f t="shared" si="37"/>
        <v/>
      </c>
      <c r="I240" s="54" t="str">
        <f t="shared" si="34"/>
        <v/>
      </c>
      <c r="R240" s="24" t="e">
        <f t="shared" si="38"/>
        <v>#VALUE!</v>
      </c>
      <c r="S240" s="25" t="e">
        <f t="shared" si="35"/>
        <v>#VALUE!</v>
      </c>
    </row>
    <row r="241" spans="1:19" x14ac:dyDescent="0.25">
      <c r="A241" t="e">
        <f t="shared" si="32"/>
        <v>#VALUE!</v>
      </c>
      <c r="B241" t="e">
        <f t="shared" si="33"/>
        <v>#VALUE!</v>
      </c>
      <c r="D241" s="21" t="str" cm="1">
        <f t="array" ref="D241">IF(ROWS($D$7:D241)&gt;COUNTIF('[1]U$S'!$H$5:$H$1008,$L$5),"",INDEX(CuentaUS,_xlfn.AGGREGATE(15,6,ROW('[1]U$S'!$H$5:$H$1008)-ROW('[1]U$S'!$O$5)+1/--('[1]U$S'!$H$5:$H$1008=$L$5),ROWS($D$7:D241)),1))</f>
        <v/>
      </c>
      <c r="E241" s="22" t="str" cm="1">
        <f t="array" ref="E241">IF(ROWS($E$7:E241)&gt;COUNTIF('[1]U$S'!$H$5:$H$1008,$L$5),"",INDEX(CuentaUS,_xlfn.AGGREGATE(15,6,ROW('[1]U$S'!$H$5:$H$1008)-ROW('[1]U$S'!$O$5)+1/--('[1]U$S'!$H$5:$H$1008=$L$5),ROWS($E$7:E241)),6))</f>
        <v/>
      </c>
      <c r="F241" s="22" t="str">
        <f>IF(E241="","",IF(E241&gt;0,SUMIFS('[1]UY$'!$L$5:$L$993,'[1]UY$'!$O$5:$O$993,"Cambio",'[1]UY$'!$E$5:$E$993,'Efecto TC'!D241),""))</f>
        <v/>
      </c>
      <c r="G241" s="23" t="str">
        <f t="shared" si="36"/>
        <v/>
      </c>
      <c r="H241" s="22" t="str">
        <f t="shared" si="37"/>
        <v/>
      </c>
      <c r="I241" s="54" t="str">
        <f t="shared" si="34"/>
        <v/>
      </c>
      <c r="R241" s="24" t="e">
        <f t="shared" si="38"/>
        <v>#VALUE!</v>
      </c>
      <c r="S241" s="25" t="e">
        <f t="shared" si="35"/>
        <v>#VALUE!</v>
      </c>
    </row>
    <row r="242" spans="1:19" x14ac:dyDescent="0.25">
      <c r="A242" t="e">
        <f t="shared" si="32"/>
        <v>#VALUE!</v>
      </c>
      <c r="B242" t="e">
        <f t="shared" si="33"/>
        <v>#VALUE!</v>
      </c>
      <c r="D242" s="21" t="str" cm="1">
        <f t="array" ref="D242">IF(ROWS($D$7:D242)&gt;COUNTIF('[1]U$S'!$H$5:$H$1008,$L$5),"",INDEX(CuentaUS,_xlfn.AGGREGATE(15,6,ROW('[1]U$S'!$H$5:$H$1008)-ROW('[1]U$S'!$O$5)+1/--('[1]U$S'!$H$5:$H$1008=$L$5),ROWS($D$7:D242)),1))</f>
        <v/>
      </c>
      <c r="E242" s="22" t="str" cm="1">
        <f t="array" ref="E242">IF(ROWS($E$7:E242)&gt;COUNTIF('[1]U$S'!$H$5:$H$1008,$L$5),"",INDEX(CuentaUS,_xlfn.AGGREGATE(15,6,ROW('[1]U$S'!$H$5:$H$1008)-ROW('[1]U$S'!$O$5)+1/--('[1]U$S'!$H$5:$H$1008=$L$5),ROWS($E$7:E242)),6))</f>
        <v/>
      </c>
      <c r="F242" s="22" t="str">
        <f>IF(E242="","",IF(E242&gt;0,SUMIFS('[1]UY$'!$L$5:$L$993,'[1]UY$'!$O$5:$O$993,"Cambio",'[1]UY$'!$E$5:$E$993,'Efecto TC'!D242),""))</f>
        <v/>
      </c>
      <c r="G242" s="23" t="str">
        <f t="shared" si="36"/>
        <v/>
      </c>
      <c r="H242" s="22" t="str">
        <f t="shared" si="37"/>
        <v/>
      </c>
      <c r="I242" s="54" t="str">
        <f t="shared" si="34"/>
        <v/>
      </c>
      <c r="R242" s="24" t="e">
        <f t="shared" si="38"/>
        <v>#VALUE!</v>
      </c>
      <c r="S242" s="25" t="e">
        <f t="shared" si="35"/>
        <v>#VALUE!</v>
      </c>
    </row>
    <row r="243" spans="1:19" x14ac:dyDescent="0.25">
      <c r="A243" t="e">
        <f t="shared" si="32"/>
        <v>#VALUE!</v>
      </c>
      <c r="B243" t="e">
        <f t="shared" si="33"/>
        <v>#VALUE!</v>
      </c>
      <c r="D243" s="21" t="str" cm="1">
        <f t="array" ref="D243">IF(ROWS($D$7:D243)&gt;COUNTIF('[1]U$S'!$H$5:$H$1008,$L$5),"",INDEX(CuentaUS,_xlfn.AGGREGATE(15,6,ROW('[1]U$S'!$H$5:$H$1008)-ROW('[1]U$S'!$O$5)+1/--('[1]U$S'!$H$5:$H$1008=$L$5),ROWS($D$7:D243)),1))</f>
        <v/>
      </c>
      <c r="E243" s="22" t="str" cm="1">
        <f t="array" ref="E243">IF(ROWS($E$7:E243)&gt;COUNTIF('[1]U$S'!$H$5:$H$1008,$L$5),"",INDEX(CuentaUS,_xlfn.AGGREGATE(15,6,ROW('[1]U$S'!$H$5:$H$1008)-ROW('[1]U$S'!$O$5)+1/--('[1]U$S'!$H$5:$H$1008=$L$5),ROWS($E$7:E243)),6))</f>
        <v/>
      </c>
      <c r="F243" s="22" t="str">
        <f>IF(E243="","",IF(E243&gt;0,SUMIFS('[1]UY$'!$L$5:$L$993,'[1]UY$'!$O$5:$O$993,"Cambio",'[1]UY$'!$E$5:$E$993,'Efecto TC'!D243),""))</f>
        <v/>
      </c>
      <c r="G243" s="23" t="str">
        <f t="shared" si="36"/>
        <v/>
      </c>
      <c r="H243" s="22" t="str">
        <f t="shared" si="37"/>
        <v/>
      </c>
      <c r="I243" s="54" t="str">
        <f t="shared" si="34"/>
        <v/>
      </c>
      <c r="R243" s="24" t="e">
        <f t="shared" si="38"/>
        <v>#VALUE!</v>
      </c>
      <c r="S243" s="25" t="e">
        <f t="shared" si="35"/>
        <v>#VALUE!</v>
      </c>
    </row>
    <row r="244" spans="1:19" x14ac:dyDescent="0.25">
      <c r="A244" t="e">
        <f t="shared" si="32"/>
        <v>#VALUE!</v>
      </c>
      <c r="B244" t="e">
        <f t="shared" si="33"/>
        <v>#VALUE!</v>
      </c>
      <c r="D244" s="21" t="str" cm="1">
        <f t="array" ref="D244">IF(ROWS($D$7:D244)&gt;COUNTIF('[1]U$S'!$H$5:$H$1008,$L$5),"",INDEX(CuentaUS,_xlfn.AGGREGATE(15,6,ROW('[1]U$S'!$H$5:$H$1008)-ROW('[1]U$S'!$O$5)+1/--('[1]U$S'!$H$5:$H$1008=$L$5),ROWS($D$7:D244)),1))</f>
        <v/>
      </c>
      <c r="E244" s="22" t="str" cm="1">
        <f t="array" ref="E244">IF(ROWS($E$7:E244)&gt;COUNTIF('[1]U$S'!$H$5:$H$1008,$L$5),"",INDEX(CuentaUS,_xlfn.AGGREGATE(15,6,ROW('[1]U$S'!$H$5:$H$1008)-ROW('[1]U$S'!$O$5)+1/--('[1]U$S'!$H$5:$H$1008=$L$5),ROWS($E$7:E244)),6))</f>
        <v/>
      </c>
      <c r="F244" s="22" t="str">
        <f>IF(E244="","",IF(E244&gt;0,SUMIFS('[1]UY$'!$L$5:$L$993,'[1]UY$'!$O$5:$O$993,"Cambio",'[1]UY$'!$E$5:$E$993,'Efecto TC'!D244),""))</f>
        <v/>
      </c>
      <c r="G244" s="23" t="str">
        <f t="shared" si="36"/>
        <v/>
      </c>
      <c r="H244" s="22" t="str">
        <f t="shared" si="37"/>
        <v/>
      </c>
      <c r="I244" s="54" t="str">
        <f t="shared" si="34"/>
        <v/>
      </c>
      <c r="R244" s="24" t="e">
        <f t="shared" si="38"/>
        <v>#VALUE!</v>
      </c>
      <c r="S244" s="25" t="e">
        <f t="shared" si="35"/>
        <v>#VALUE!</v>
      </c>
    </row>
    <row r="245" spans="1:19" x14ac:dyDescent="0.25">
      <c r="A245" t="e">
        <f t="shared" si="32"/>
        <v>#VALUE!</v>
      </c>
      <c r="B245" t="e">
        <f t="shared" si="33"/>
        <v>#VALUE!</v>
      </c>
      <c r="D245" s="21" t="str" cm="1">
        <f t="array" ref="D245">IF(ROWS($D$7:D245)&gt;COUNTIF('[1]U$S'!$H$5:$H$1008,$L$5),"",INDEX(CuentaUS,_xlfn.AGGREGATE(15,6,ROW('[1]U$S'!$H$5:$H$1008)-ROW('[1]U$S'!$O$5)+1/--('[1]U$S'!$H$5:$H$1008=$L$5),ROWS($D$7:D245)),1))</f>
        <v/>
      </c>
      <c r="E245" s="22" t="str" cm="1">
        <f t="array" ref="E245">IF(ROWS($E$7:E245)&gt;COUNTIF('[1]U$S'!$H$5:$H$1008,$L$5),"",INDEX(CuentaUS,_xlfn.AGGREGATE(15,6,ROW('[1]U$S'!$H$5:$H$1008)-ROW('[1]U$S'!$O$5)+1/--('[1]U$S'!$H$5:$H$1008=$L$5),ROWS($E$7:E245)),6))</f>
        <v/>
      </c>
      <c r="F245" s="22" t="str">
        <f>IF(E245="","",IF(E245&gt;0,SUMIFS('[1]UY$'!$L$5:$L$993,'[1]UY$'!$O$5:$O$993,"Cambio",'[1]UY$'!$E$5:$E$993,'Efecto TC'!D245),""))</f>
        <v/>
      </c>
      <c r="G245" s="23" t="str">
        <f t="shared" si="36"/>
        <v/>
      </c>
      <c r="H245" s="22" t="str">
        <f t="shared" si="37"/>
        <v/>
      </c>
      <c r="I245" s="54" t="str">
        <f t="shared" si="34"/>
        <v/>
      </c>
      <c r="R245" s="24" t="e">
        <f t="shared" si="38"/>
        <v>#VALUE!</v>
      </c>
      <c r="S245" s="25" t="e">
        <f t="shared" si="35"/>
        <v>#VALUE!</v>
      </c>
    </row>
    <row r="246" spans="1:19" x14ac:dyDescent="0.25">
      <c r="A246" t="e">
        <f t="shared" si="32"/>
        <v>#VALUE!</v>
      </c>
      <c r="B246" t="e">
        <f t="shared" si="33"/>
        <v>#VALUE!</v>
      </c>
      <c r="D246" s="21" t="str" cm="1">
        <f t="array" ref="D246">IF(ROWS($D$7:D246)&gt;COUNTIF('[1]U$S'!$H$5:$H$1008,$L$5),"",INDEX(CuentaUS,_xlfn.AGGREGATE(15,6,ROW('[1]U$S'!$H$5:$H$1008)-ROW('[1]U$S'!$O$5)+1/--('[1]U$S'!$H$5:$H$1008=$L$5),ROWS($D$7:D246)),1))</f>
        <v/>
      </c>
      <c r="E246" s="22" t="str" cm="1">
        <f t="array" ref="E246">IF(ROWS($E$7:E246)&gt;COUNTIF('[1]U$S'!$H$5:$H$1008,$L$5),"",INDEX(CuentaUS,_xlfn.AGGREGATE(15,6,ROW('[1]U$S'!$H$5:$H$1008)-ROW('[1]U$S'!$O$5)+1/--('[1]U$S'!$H$5:$H$1008=$L$5),ROWS($E$7:E246)),6))</f>
        <v/>
      </c>
      <c r="F246" s="22" t="str">
        <f>IF(E246="","",IF(E246&gt;0,SUMIFS('[1]UY$'!$L$5:$L$993,'[1]UY$'!$O$5:$O$993,"Cambio",'[1]UY$'!$E$5:$E$993,'Efecto TC'!D246),""))</f>
        <v/>
      </c>
      <c r="G246" s="23" t="str">
        <f t="shared" si="36"/>
        <v/>
      </c>
      <c r="H246" s="22" t="str">
        <f t="shared" si="37"/>
        <v/>
      </c>
      <c r="I246" s="54" t="str">
        <f t="shared" si="34"/>
        <v/>
      </c>
      <c r="R246" s="24" t="e">
        <f t="shared" si="38"/>
        <v>#VALUE!</v>
      </c>
      <c r="S246" s="25" t="e">
        <f t="shared" si="35"/>
        <v>#VALUE!</v>
      </c>
    </row>
    <row r="247" spans="1:19" x14ac:dyDescent="0.25">
      <c r="A247" t="e">
        <f t="shared" si="32"/>
        <v>#VALUE!</v>
      </c>
      <c r="B247" t="e">
        <f t="shared" si="33"/>
        <v>#VALUE!</v>
      </c>
      <c r="D247" s="21" t="str" cm="1">
        <f t="array" ref="D247">IF(ROWS($D$7:D247)&gt;COUNTIF('[1]U$S'!$H$5:$H$1008,$L$5),"",INDEX(CuentaUS,_xlfn.AGGREGATE(15,6,ROW('[1]U$S'!$H$5:$H$1008)-ROW('[1]U$S'!$O$5)+1/--('[1]U$S'!$H$5:$H$1008=$L$5),ROWS($D$7:D247)),1))</f>
        <v/>
      </c>
      <c r="E247" s="22" t="str" cm="1">
        <f t="array" ref="E247">IF(ROWS($E$7:E247)&gt;COUNTIF('[1]U$S'!$H$5:$H$1008,$L$5),"",INDEX(CuentaUS,_xlfn.AGGREGATE(15,6,ROW('[1]U$S'!$H$5:$H$1008)-ROW('[1]U$S'!$O$5)+1/--('[1]U$S'!$H$5:$H$1008=$L$5),ROWS($E$7:E247)),6))</f>
        <v/>
      </c>
      <c r="F247" s="22" t="str">
        <f>IF(E247="","",IF(E247&gt;0,SUMIFS('[1]UY$'!$L$5:$L$993,'[1]UY$'!$O$5:$O$993,"Cambio",'[1]UY$'!$E$5:$E$993,'Efecto TC'!D247),""))</f>
        <v/>
      </c>
      <c r="G247" s="23" t="str">
        <f t="shared" si="36"/>
        <v/>
      </c>
      <c r="H247" s="22" t="str">
        <f t="shared" si="37"/>
        <v/>
      </c>
      <c r="I247" s="54" t="str">
        <f t="shared" si="34"/>
        <v/>
      </c>
      <c r="R247" s="24" t="e">
        <f t="shared" si="38"/>
        <v>#VALUE!</v>
      </c>
      <c r="S247" s="25" t="e">
        <f t="shared" si="35"/>
        <v>#VALUE!</v>
      </c>
    </row>
    <row r="248" spans="1:19" x14ac:dyDescent="0.25">
      <c r="A248" t="e">
        <f t="shared" si="32"/>
        <v>#VALUE!</v>
      </c>
      <c r="B248" t="e">
        <f t="shared" si="33"/>
        <v>#VALUE!</v>
      </c>
      <c r="D248" s="21" t="str" cm="1">
        <f t="array" ref="D248">IF(ROWS($D$7:D248)&gt;COUNTIF('[1]U$S'!$H$5:$H$1008,$L$5),"",INDEX(CuentaUS,_xlfn.AGGREGATE(15,6,ROW('[1]U$S'!$H$5:$H$1008)-ROW('[1]U$S'!$O$5)+1/--('[1]U$S'!$H$5:$H$1008=$L$5),ROWS($D$7:D248)),1))</f>
        <v/>
      </c>
      <c r="E248" s="22" t="str" cm="1">
        <f t="array" ref="E248">IF(ROWS($E$7:E248)&gt;COUNTIF('[1]U$S'!$H$5:$H$1008,$L$5),"",INDEX(CuentaUS,_xlfn.AGGREGATE(15,6,ROW('[1]U$S'!$H$5:$H$1008)-ROW('[1]U$S'!$O$5)+1/--('[1]U$S'!$H$5:$H$1008=$L$5),ROWS($E$7:E248)),6))</f>
        <v/>
      </c>
      <c r="F248" s="22" t="str">
        <f>IF(E248="","",IF(E248&gt;0,SUMIFS('[1]UY$'!$L$5:$L$993,'[1]UY$'!$O$5:$O$993,"Cambio",'[1]UY$'!$E$5:$E$993,'Efecto TC'!D248),""))</f>
        <v/>
      </c>
      <c r="G248" s="23" t="str">
        <f t="shared" si="36"/>
        <v/>
      </c>
      <c r="H248" s="22" t="str">
        <f t="shared" si="37"/>
        <v/>
      </c>
      <c r="I248" s="54" t="str">
        <f t="shared" si="34"/>
        <v/>
      </c>
      <c r="R248" s="24" t="e">
        <f t="shared" si="38"/>
        <v>#VALUE!</v>
      </c>
      <c r="S248" s="25" t="e">
        <f t="shared" si="35"/>
        <v>#VALUE!</v>
      </c>
    </row>
    <row r="249" spans="1:19" x14ac:dyDescent="0.25">
      <c r="A249" t="e">
        <f t="shared" si="32"/>
        <v>#VALUE!</v>
      </c>
      <c r="B249" t="e">
        <f t="shared" si="33"/>
        <v>#VALUE!</v>
      </c>
      <c r="D249" s="21" t="str" cm="1">
        <f t="array" ref="D249">IF(ROWS($D$7:D249)&gt;COUNTIF('[1]U$S'!$H$5:$H$1008,$L$5),"",INDEX(CuentaUS,_xlfn.AGGREGATE(15,6,ROW('[1]U$S'!$H$5:$H$1008)-ROW('[1]U$S'!$O$5)+1/--('[1]U$S'!$H$5:$H$1008=$L$5),ROWS($D$7:D249)),1))</f>
        <v/>
      </c>
      <c r="E249" s="22" t="str" cm="1">
        <f t="array" ref="E249">IF(ROWS($E$7:E249)&gt;COUNTIF('[1]U$S'!$H$5:$H$1008,$L$5),"",INDEX(CuentaUS,_xlfn.AGGREGATE(15,6,ROW('[1]U$S'!$H$5:$H$1008)-ROW('[1]U$S'!$O$5)+1/--('[1]U$S'!$H$5:$H$1008=$L$5),ROWS($E$7:E249)),6))</f>
        <v/>
      </c>
      <c r="F249" s="22" t="str">
        <f>IF(E249="","",IF(E249&gt;0,SUMIFS('[1]UY$'!$L$5:$L$993,'[1]UY$'!$O$5:$O$993,"Cambio",'[1]UY$'!$E$5:$E$993,'Efecto TC'!D249),""))</f>
        <v/>
      </c>
      <c r="G249" s="23" t="str">
        <f t="shared" si="36"/>
        <v/>
      </c>
      <c r="H249" s="22" t="str">
        <f t="shared" si="37"/>
        <v/>
      </c>
      <c r="I249" s="54" t="str">
        <f t="shared" si="34"/>
        <v/>
      </c>
      <c r="R249" s="24" t="e">
        <f t="shared" si="38"/>
        <v>#VALUE!</v>
      </c>
      <c r="S249" s="25" t="e">
        <f t="shared" si="35"/>
        <v>#VALUE!</v>
      </c>
    </row>
    <row r="250" spans="1:19" x14ac:dyDescent="0.25">
      <c r="A250" t="e">
        <f t="shared" si="32"/>
        <v>#VALUE!</v>
      </c>
      <c r="B250" t="e">
        <f t="shared" si="33"/>
        <v>#VALUE!</v>
      </c>
      <c r="D250" s="21" t="str" cm="1">
        <f t="array" ref="D250">IF(ROWS($D$7:D250)&gt;COUNTIF('[1]U$S'!$H$5:$H$1008,$L$5),"",INDEX(CuentaUS,_xlfn.AGGREGATE(15,6,ROW('[1]U$S'!$H$5:$H$1008)-ROW('[1]U$S'!$O$5)+1/--('[1]U$S'!$H$5:$H$1008=$L$5),ROWS($D$7:D250)),1))</f>
        <v/>
      </c>
      <c r="E250" s="22" t="str" cm="1">
        <f t="array" ref="E250">IF(ROWS($E$7:E250)&gt;COUNTIF('[1]U$S'!$H$5:$H$1008,$L$5),"",INDEX(CuentaUS,_xlfn.AGGREGATE(15,6,ROW('[1]U$S'!$H$5:$H$1008)-ROW('[1]U$S'!$O$5)+1/--('[1]U$S'!$H$5:$H$1008=$L$5),ROWS($E$7:E250)),6))</f>
        <v/>
      </c>
      <c r="F250" s="22" t="str">
        <f>IF(E250="","",IF(E250&gt;0,SUMIFS('[1]UY$'!$L$5:$L$993,'[1]UY$'!$O$5:$O$993,"Cambio",'[1]UY$'!$E$5:$E$993,'Efecto TC'!D250),""))</f>
        <v/>
      </c>
      <c r="G250" s="23" t="str">
        <f t="shared" si="36"/>
        <v/>
      </c>
      <c r="H250" s="22" t="str">
        <f t="shared" si="37"/>
        <v/>
      </c>
      <c r="I250" s="54" t="str">
        <f t="shared" si="34"/>
        <v/>
      </c>
      <c r="R250" s="24" t="e">
        <f t="shared" si="38"/>
        <v>#VALUE!</v>
      </c>
      <c r="S250" s="25" t="e">
        <f t="shared" si="35"/>
        <v>#VALUE!</v>
      </c>
    </row>
    <row r="251" spans="1:19" x14ac:dyDescent="0.25">
      <c r="A251" t="e">
        <f t="shared" si="32"/>
        <v>#VALUE!</v>
      </c>
      <c r="B251" t="e">
        <f t="shared" si="33"/>
        <v>#VALUE!</v>
      </c>
      <c r="D251" s="21" t="str" cm="1">
        <f t="array" ref="D251">IF(ROWS($D$7:D251)&gt;COUNTIF('[1]U$S'!$H$5:$H$1008,$L$5),"",INDEX(CuentaUS,_xlfn.AGGREGATE(15,6,ROW('[1]U$S'!$H$5:$H$1008)-ROW('[1]U$S'!$O$5)+1/--('[1]U$S'!$H$5:$H$1008=$L$5),ROWS($D$7:D251)),1))</f>
        <v/>
      </c>
      <c r="E251" s="22" t="str" cm="1">
        <f t="array" ref="E251">IF(ROWS($E$7:E251)&gt;COUNTIF('[1]U$S'!$H$5:$H$1008,$L$5),"",INDEX(CuentaUS,_xlfn.AGGREGATE(15,6,ROW('[1]U$S'!$H$5:$H$1008)-ROW('[1]U$S'!$O$5)+1/--('[1]U$S'!$H$5:$H$1008=$L$5),ROWS($E$7:E251)),6))</f>
        <v/>
      </c>
      <c r="F251" s="22" t="str">
        <f>IF(E251="","",IF(E251&gt;0,SUMIFS('[1]UY$'!$L$5:$L$993,'[1]UY$'!$O$5:$O$993,"Cambio",'[1]UY$'!$E$5:$E$993,'Efecto TC'!D251),""))</f>
        <v/>
      </c>
      <c r="G251" s="23" t="str">
        <f t="shared" si="36"/>
        <v/>
      </c>
      <c r="H251" s="22" t="str">
        <f t="shared" si="37"/>
        <v/>
      </c>
      <c r="I251" s="54" t="str">
        <f t="shared" si="34"/>
        <v/>
      </c>
      <c r="R251" s="24" t="e">
        <f t="shared" si="38"/>
        <v>#VALUE!</v>
      </c>
      <c r="S251" s="25" t="e">
        <f t="shared" si="35"/>
        <v>#VALUE!</v>
      </c>
    </row>
    <row r="252" spans="1:19" x14ac:dyDescent="0.25">
      <c r="A252" t="e">
        <f t="shared" si="32"/>
        <v>#VALUE!</v>
      </c>
      <c r="B252" t="e">
        <f t="shared" si="33"/>
        <v>#VALUE!</v>
      </c>
      <c r="D252" s="21" t="str" cm="1">
        <f t="array" ref="D252">IF(ROWS($D$7:D252)&gt;COUNTIF('[1]U$S'!$H$5:$H$1008,$L$5),"",INDEX(CuentaUS,_xlfn.AGGREGATE(15,6,ROW('[1]U$S'!$H$5:$H$1008)-ROW('[1]U$S'!$O$5)+1/--('[1]U$S'!$H$5:$H$1008=$L$5),ROWS($D$7:D252)),1))</f>
        <v/>
      </c>
      <c r="E252" s="22" t="str" cm="1">
        <f t="array" ref="E252">IF(ROWS($E$7:E252)&gt;COUNTIF('[1]U$S'!$H$5:$H$1008,$L$5),"",INDEX(CuentaUS,_xlfn.AGGREGATE(15,6,ROW('[1]U$S'!$H$5:$H$1008)-ROW('[1]U$S'!$O$5)+1/--('[1]U$S'!$H$5:$H$1008=$L$5),ROWS($E$7:E252)),6))</f>
        <v/>
      </c>
      <c r="F252" s="22" t="str">
        <f>IF(E252="","",IF(E252&gt;0,SUMIFS('[1]UY$'!$L$5:$L$993,'[1]UY$'!$O$5:$O$993,"Cambio",'[1]UY$'!$E$5:$E$993,'Efecto TC'!D252),""))</f>
        <v/>
      </c>
      <c r="G252" s="23" t="str">
        <f t="shared" si="36"/>
        <v/>
      </c>
      <c r="H252" s="22" t="str">
        <f t="shared" si="37"/>
        <v/>
      </c>
      <c r="I252" s="54" t="str">
        <f t="shared" si="34"/>
        <v/>
      </c>
      <c r="R252" s="24" t="e">
        <f t="shared" si="38"/>
        <v>#VALUE!</v>
      </c>
      <c r="S252" s="25" t="e">
        <f t="shared" si="35"/>
        <v>#VALUE!</v>
      </c>
    </row>
    <row r="253" spans="1:19" x14ac:dyDescent="0.25">
      <c r="A253" t="e">
        <f t="shared" si="32"/>
        <v>#VALUE!</v>
      </c>
      <c r="B253" t="e">
        <f t="shared" si="33"/>
        <v>#VALUE!</v>
      </c>
      <c r="D253" s="21" t="str" cm="1">
        <f t="array" ref="D253">IF(ROWS($D$7:D253)&gt;COUNTIF('[1]U$S'!$H$5:$H$1008,$L$5),"",INDEX(CuentaUS,_xlfn.AGGREGATE(15,6,ROW('[1]U$S'!$H$5:$H$1008)-ROW('[1]U$S'!$O$5)+1/--('[1]U$S'!$H$5:$H$1008=$L$5),ROWS($D$7:D253)),1))</f>
        <v/>
      </c>
      <c r="E253" s="22" t="str" cm="1">
        <f t="array" ref="E253">IF(ROWS($E$7:E253)&gt;COUNTIF('[1]U$S'!$H$5:$H$1008,$L$5),"",INDEX(CuentaUS,_xlfn.AGGREGATE(15,6,ROW('[1]U$S'!$H$5:$H$1008)-ROW('[1]U$S'!$O$5)+1/--('[1]U$S'!$H$5:$H$1008=$L$5),ROWS($E$7:E253)),6))</f>
        <v/>
      </c>
      <c r="F253" s="22" t="str">
        <f>IF(E253="","",IF(E253&gt;0,SUMIFS('[1]UY$'!$L$5:$L$993,'[1]UY$'!$O$5:$O$993,"Cambio",'[1]UY$'!$E$5:$E$993,'Efecto TC'!D253),""))</f>
        <v/>
      </c>
      <c r="G253" s="23" t="str">
        <f t="shared" si="36"/>
        <v/>
      </c>
      <c r="H253" s="22" t="str">
        <f t="shared" si="37"/>
        <v/>
      </c>
      <c r="I253" s="54" t="str">
        <f t="shared" si="34"/>
        <v/>
      </c>
      <c r="R253" s="24" t="e">
        <f t="shared" si="38"/>
        <v>#VALUE!</v>
      </c>
      <c r="S253" s="25" t="e">
        <f t="shared" si="35"/>
        <v>#VALUE!</v>
      </c>
    </row>
    <row r="254" spans="1:19" x14ac:dyDescent="0.25">
      <c r="A254" t="e">
        <f t="shared" si="32"/>
        <v>#VALUE!</v>
      </c>
      <c r="B254" t="e">
        <f t="shared" si="33"/>
        <v>#VALUE!</v>
      </c>
      <c r="D254" s="21" t="str" cm="1">
        <f t="array" ref="D254">IF(ROWS($D$7:D254)&gt;COUNTIF('[1]U$S'!$H$5:$H$1008,$L$5),"",INDEX(CuentaUS,_xlfn.AGGREGATE(15,6,ROW('[1]U$S'!$H$5:$H$1008)-ROW('[1]U$S'!$O$5)+1/--('[1]U$S'!$H$5:$H$1008=$L$5),ROWS($D$7:D254)),1))</f>
        <v/>
      </c>
      <c r="E254" s="22" t="str" cm="1">
        <f t="array" ref="E254">IF(ROWS($E$7:E254)&gt;COUNTIF('[1]U$S'!$H$5:$H$1008,$L$5),"",INDEX(CuentaUS,_xlfn.AGGREGATE(15,6,ROW('[1]U$S'!$H$5:$H$1008)-ROW('[1]U$S'!$O$5)+1/--('[1]U$S'!$H$5:$H$1008=$L$5),ROWS($E$7:E254)),6))</f>
        <v/>
      </c>
      <c r="F254" s="22" t="str">
        <f>IF(E254="","",IF(E254&gt;0,SUMIFS('[1]UY$'!$L$5:$L$993,'[1]UY$'!$O$5:$O$993,"Cambio",'[1]UY$'!$E$5:$E$993,'Efecto TC'!D254),""))</f>
        <v/>
      </c>
      <c r="G254" s="23" t="str">
        <f t="shared" si="36"/>
        <v/>
      </c>
      <c r="H254" s="22" t="str">
        <f t="shared" si="37"/>
        <v/>
      </c>
      <c r="I254" s="54" t="str">
        <f t="shared" si="34"/>
        <v/>
      </c>
      <c r="R254" s="24" t="e">
        <f t="shared" si="38"/>
        <v>#VALUE!</v>
      </c>
      <c r="S254" s="25" t="e">
        <f t="shared" si="35"/>
        <v>#VALUE!</v>
      </c>
    </row>
    <row r="255" spans="1:19" x14ac:dyDescent="0.25">
      <c r="A255" t="e">
        <f t="shared" si="32"/>
        <v>#VALUE!</v>
      </c>
      <c r="B255" t="e">
        <f t="shared" si="33"/>
        <v>#VALUE!</v>
      </c>
      <c r="D255" s="21" t="str" cm="1">
        <f t="array" ref="D255">IF(ROWS($D$7:D255)&gt;COUNTIF('[1]U$S'!$H$5:$H$1008,$L$5),"",INDEX(CuentaUS,_xlfn.AGGREGATE(15,6,ROW('[1]U$S'!$H$5:$H$1008)-ROW('[1]U$S'!$O$5)+1/--('[1]U$S'!$H$5:$H$1008=$L$5),ROWS($D$7:D255)),1))</f>
        <v/>
      </c>
      <c r="E255" s="22" t="str" cm="1">
        <f t="array" ref="E255">IF(ROWS($E$7:E255)&gt;COUNTIF('[1]U$S'!$H$5:$H$1008,$L$5),"",INDEX(CuentaUS,_xlfn.AGGREGATE(15,6,ROW('[1]U$S'!$H$5:$H$1008)-ROW('[1]U$S'!$O$5)+1/--('[1]U$S'!$H$5:$H$1008=$L$5),ROWS($E$7:E255)),6))</f>
        <v/>
      </c>
      <c r="F255" s="22" t="str">
        <f>IF(E255="","",IF(E255&gt;0,SUMIFS('[1]UY$'!$L$5:$L$993,'[1]UY$'!$O$5:$O$993,"Cambio",'[1]UY$'!$E$5:$E$993,'Efecto TC'!D255),""))</f>
        <v/>
      </c>
      <c r="G255" s="23" t="str">
        <f t="shared" si="36"/>
        <v/>
      </c>
      <c r="H255" s="22" t="str">
        <f t="shared" si="37"/>
        <v/>
      </c>
      <c r="I255" s="54" t="str">
        <f t="shared" si="34"/>
        <v/>
      </c>
      <c r="R255" s="24" t="e">
        <f t="shared" si="38"/>
        <v>#VALUE!</v>
      </c>
      <c r="S255" s="25" t="e">
        <f t="shared" si="35"/>
        <v>#VALUE!</v>
      </c>
    </row>
    <row r="256" spans="1:19" x14ac:dyDescent="0.25">
      <c r="A256" t="e">
        <f t="shared" si="32"/>
        <v>#VALUE!</v>
      </c>
      <c r="B256" t="e">
        <f t="shared" si="33"/>
        <v>#VALUE!</v>
      </c>
      <c r="D256" s="21" t="str" cm="1">
        <f t="array" ref="D256">IF(ROWS($D$7:D256)&gt;COUNTIF('[1]U$S'!$H$5:$H$1008,$L$5),"",INDEX(CuentaUS,_xlfn.AGGREGATE(15,6,ROW('[1]U$S'!$H$5:$H$1008)-ROW('[1]U$S'!$O$5)+1/--('[1]U$S'!$H$5:$H$1008=$L$5),ROWS($D$7:D256)),1))</f>
        <v/>
      </c>
      <c r="E256" s="22" t="str" cm="1">
        <f t="array" ref="E256">IF(ROWS($E$7:E256)&gt;COUNTIF('[1]U$S'!$H$5:$H$1008,$L$5),"",INDEX(CuentaUS,_xlfn.AGGREGATE(15,6,ROW('[1]U$S'!$H$5:$H$1008)-ROW('[1]U$S'!$O$5)+1/--('[1]U$S'!$H$5:$H$1008=$L$5),ROWS($E$7:E256)),6))</f>
        <v/>
      </c>
      <c r="F256" s="22" t="str">
        <f>IF(E256="","",IF(E256&gt;0,SUMIFS('[1]UY$'!$L$5:$L$993,'[1]UY$'!$O$5:$O$993,"Cambio",'[1]UY$'!$E$5:$E$993,'Efecto TC'!D256),""))</f>
        <v/>
      </c>
      <c r="G256" s="23" t="str">
        <f t="shared" si="36"/>
        <v/>
      </c>
      <c r="H256" s="22" t="str">
        <f t="shared" si="37"/>
        <v/>
      </c>
      <c r="I256" s="54" t="str">
        <f t="shared" si="34"/>
        <v/>
      </c>
      <c r="R256" s="24" t="e">
        <f t="shared" si="38"/>
        <v>#VALUE!</v>
      </c>
      <c r="S256" s="25" t="e">
        <f t="shared" si="35"/>
        <v>#VALUE!</v>
      </c>
    </row>
    <row r="257" spans="1:19" x14ac:dyDescent="0.25">
      <c r="A257" t="e">
        <f t="shared" si="32"/>
        <v>#VALUE!</v>
      </c>
      <c r="B257" t="e">
        <f t="shared" si="33"/>
        <v>#VALUE!</v>
      </c>
      <c r="D257" s="21" t="str" cm="1">
        <f t="array" ref="D257">IF(ROWS($D$7:D257)&gt;COUNTIF('[1]U$S'!$H$5:$H$1008,$L$5),"",INDEX(CuentaUS,_xlfn.AGGREGATE(15,6,ROW('[1]U$S'!$H$5:$H$1008)-ROW('[1]U$S'!$O$5)+1/--('[1]U$S'!$H$5:$H$1008=$L$5),ROWS($D$7:D257)),1))</f>
        <v/>
      </c>
      <c r="E257" s="22" t="str" cm="1">
        <f t="array" ref="E257">IF(ROWS($E$7:E257)&gt;COUNTIF('[1]U$S'!$H$5:$H$1008,$L$5),"",INDEX(CuentaUS,_xlfn.AGGREGATE(15,6,ROW('[1]U$S'!$H$5:$H$1008)-ROW('[1]U$S'!$O$5)+1/--('[1]U$S'!$H$5:$H$1008=$L$5),ROWS($E$7:E257)),6))</f>
        <v/>
      </c>
      <c r="F257" s="22" t="str">
        <f>IF(E257="","",IF(E257&gt;0,SUMIFS('[1]UY$'!$L$5:$L$993,'[1]UY$'!$O$5:$O$993,"Cambio",'[1]UY$'!$E$5:$E$993,'Efecto TC'!D257),""))</f>
        <v/>
      </c>
      <c r="G257" s="23" t="str">
        <f t="shared" si="36"/>
        <v/>
      </c>
      <c r="H257" s="22" t="str">
        <f t="shared" si="37"/>
        <v/>
      </c>
      <c r="I257" s="54" t="str">
        <f t="shared" si="34"/>
        <v/>
      </c>
      <c r="R257" s="24" t="e">
        <f t="shared" si="38"/>
        <v>#VALUE!</v>
      </c>
      <c r="S257" s="25" t="e">
        <f t="shared" si="35"/>
        <v>#VALUE!</v>
      </c>
    </row>
    <row r="258" spans="1:19" x14ac:dyDescent="0.25">
      <c r="A258" t="e">
        <f t="shared" si="32"/>
        <v>#VALUE!</v>
      </c>
      <c r="B258" t="e">
        <f t="shared" si="33"/>
        <v>#VALUE!</v>
      </c>
      <c r="D258" s="21" t="str" cm="1">
        <f t="array" ref="D258">IF(ROWS($D$7:D258)&gt;COUNTIF('[1]U$S'!$H$5:$H$1008,$L$5),"",INDEX(CuentaUS,_xlfn.AGGREGATE(15,6,ROW('[1]U$S'!$H$5:$H$1008)-ROW('[1]U$S'!$O$5)+1/--('[1]U$S'!$H$5:$H$1008=$L$5),ROWS($D$7:D258)),1))</f>
        <v/>
      </c>
      <c r="E258" s="22" t="str" cm="1">
        <f t="array" ref="E258">IF(ROWS($E$7:E258)&gt;COUNTIF('[1]U$S'!$H$5:$H$1008,$L$5),"",INDEX(CuentaUS,_xlfn.AGGREGATE(15,6,ROW('[1]U$S'!$H$5:$H$1008)-ROW('[1]U$S'!$O$5)+1/--('[1]U$S'!$H$5:$H$1008=$L$5),ROWS($E$7:E258)),6))</f>
        <v/>
      </c>
      <c r="F258" s="22" t="str">
        <f>IF(E258="","",IF(E258&gt;0,SUMIFS('[1]UY$'!$L$5:$L$993,'[1]UY$'!$O$5:$O$993,"Cambio",'[1]UY$'!$E$5:$E$993,'Efecto TC'!D258),""))</f>
        <v/>
      </c>
      <c r="G258" s="23" t="str">
        <f t="shared" si="36"/>
        <v/>
      </c>
      <c r="H258" s="22" t="str">
        <f t="shared" si="37"/>
        <v/>
      </c>
      <c r="I258" s="54" t="str">
        <f t="shared" si="34"/>
        <v/>
      </c>
      <c r="R258" s="24" t="e">
        <f t="shared" si="38"/>
        <v>#VALUE!</v>
      </c>
      <c r="S258" s="25" t="e">
        <f t="shared" si="35"/>
        <v>#VALUE!</v>
      </c>
    </row>
    <row r="259" spans="1:19" x14ac:dyDescent="0.25">
      <c r="A259" t="e">
        <f t="shared" si="32"/>
        <v>#VALUE!</v>
      </c>
      <c r="B259" t="e">
        <f t="shared" si="33"/>
        <v>#VALUE!</v>
      </c>
      <c r="D259" s="21" t="str" cm="1">
        <f t="array" ref="D259">IF(ROWS($D$7:D259)&gt;COUNTIF('[1]U$S'!$H$5:$H$1008,$L$5),"",INDEX(CuentaUS,_xlfn.AGGREGATE(15,6,ROW('[1]U$S'!$H$5:$H$1008)-ROW('[1]U$S'!$O$5)+1/--('[1]U$S'!$H$5:$H$1008=$L$5),ROWS($D$7:D259)),1))</f>
        <v/>
      </c>
      <c r="E259" s="22" t="str" cm="1">
        <f t="array" ref="E259">IF(ROWS($E$7:E259)&gt;COUNTIF('[1]U$S'!$H$5:$H$1008,$L$5),"",INDEX(CuentaUS,_xlfn.AGGREGATE(15,6,ROW('[1]U$S'!$H$5:$H$1008)-ROW('[1]U$S'!$O$5)+1/--('[1]U$S'!$H$5:$H$1008=$L$5),ROWS($E$7:E259)),6))</f>
        <v/>
      </c>
      <c r="F259" s="22" t="str">
        <f>IF(E259="","",IF(E259&gt;0,SUMIFS('[1]UY$'!$L$5:$L$993,'[1]UY$'!$O$5:$O$993,"Cambio",'[1]UY$'!$E$5:$E$993,'Efecto TC'!D259),""))</f>
        <v/>
      </c>
      <c r="G259" s="23" t="str">
        <f t="shared" si="36"/>
        <v/>
      </c>
      <c r="H259" s="22" t="str">
        <f t="shared" si="37"/>
        <v/>
      </c>
      <c r="I259" s="54" t="str">
        <f t="shared" si="34"/>
        <v/>
      </c>
      <c r="R259" s="24" t="e">
        <f t="shared" si="38"/>
        <v>#VALUE!</v>
      </c>
      <c r="S259" s="25" t="e">
        <f t="shared" si="35"/>
        <v>#VALUE!</v>
      </c>
    </row>
    <row r="260" spans="1:19" x14ac:dyDescent="0.25">
      <c r="A260" t="e">
        <f t="shared" si="32"/>
        <v>#VALUE!</v>
      </c>
      <c r="B260" t="e">
        <f t="shared" si="33"/>
        <v>#VALUE!</v>
      </c>
      <c r="D260" s="21" t="str" cm="1">
        <f t="array" ref="D260">IF(ROWS($D$7:D260)&gt;COUNTIF('[1]U$S'!$H$5:$H$1008,$L$5),"",INDEX(CuentaUS,_xlfn.AGGREGATE(15,6,ROW('[1]U$S'!$H$5:$H$1008)-ROW('[1]U$S'!$O$5)+1/--('[1]U$S'!$H$5:$H$1008=$L$5),ROWS($D$7:D260)),1))</f>
        <v/>
      </c>
      <c r="E260" s="22" t="str" cm="1">
        <f t="array" ref="E260">IF(ROWS($E$7:E260)&gt;COUNTIF('[1]U$S'!$H$5:$H$1008,$L$5),"",INDEX(CuentaUS,_xlfn.AGGREGATE(15,6,ROW('[1]U$S'!$H$5:$H$1008)-ROW('[1]U$S'!$O$5)+1/--('[1]U$S'!$H$5:$H$1008=$L$5),ROWS($E$7:E260)),6))</f>
        <v/>
      </c>
      <c r="F260" s="22" t="str">
        <f>IF(E260="","",IF(E260&gt;0,SUMIFS('[1]UY$'!$L$5:$L$993,'[1]UY$'!$O$5:$O$993,"Cambio",'[1]UY$'!$E$5:$E$993,'Efecto TC'!D260),""))</f>
        <v/>
      </c>
      <c r="G260" s="23" t="str">
        <f t="shared" si="36"/>
        <v/>
      </c>
      <c r="H260" s="22" t="str">
        <f t="shared" si="37"/>
        <v/>
      </c>
      <c r="I260" s="54" t="str">
        <f t="shared" si="34"/>
        <v/>
      </c>
      <c r="R260" s="24" t="e">
        <f t="shared" si="38"/>
        <v>#VALUE!</v>
      </c>
      <c r="S260" s="25" t="e">
        <f t="shared" si="35"/>
        <v>#VALUE!</v>
      </c>
    </row>
    <row r="261" spans="1:19" x14ac:dyDescent="0.25">
      <c r="A261" t="e">
        <f t="shared" si="32"/>
        <v>#VALUE!</v>
      </c>
      <c r="B261" t="e">
        <f t="shared" si="33"/>
        <v>#VALUE!</v>
      </c>
      <c r="D261" s="21" t="str" cm="1">
        <f t="array" ref="D261">IF(ROWS($D$7:D261)&gt;COUNTIF('[1]U$S'!$H$5:$H$1008,$L$5),"",INDEX(CuentaUS,_xlfn.AGGREGATE(15,6,ROW('[1]U$S'!$H$5:$H$1008)-ROW('[1]U$S'!$O$5)+1/--('[1]U$S'!$H$5:$H$1008=$L$5),ROWS($D$7:D261)),1))</f>
        <v/>
      </c>
      <c r="E261" s="22" t="str" cm="1">
        <f t="array" ref="E261">IF(ROWS($E$7:E261)&gt;COUNTIF('[1]U$S'!$H$5:$H$1008,$L$5),"",INDEX(CuentaUS,_xlfn.AGGREGATE(15,6,ROW('[1]U$S'!$H$5:$H$1008)-ROW('[1]U$S'!$O$5)+1/--('[1]U$S'!$H$5:$H$1008=$L$5),ROWS($E$7:E261)),6))</f>
        <v/>
      </c>
      <c r="F261" s="22" t="str">
        <f>IF(E261="","",IF(E261&gt;0,SUMIFS('[1]UY$'!$L$5:$L$993,'[1]UY$'!$O$5:$O$993,"Cambio",'[1]UY$'!$E$5:$E$993,'Efecto TC'!D261),""))</f>
        <v/>
      </c>
      <c r="G261" s="23" t="str">
        <f t="shared" si="36"/>
        <v/>
      </c>
      <c r="H261" s="22" t="str">
        <f t="shared" si="37"/>
        <v/>
      </c>
      <c r="I261" s="54" t="str">
        <f t="shared" si="34"/>
        <v/>
      </c>
      <c r="R261" s="24" t="e">
        <f t="shared" si="38"/>
        <v>#VALUE!</v>
      </c>
      <c r="S261" s="25" t="e">
        <f t="shared" si="35"/>
        <v>#VALUE!</v>
      </c>
    </row>
    <row r="262" spans="1:19" x14ac:dyDescent="0.25">
      <c r="A262" t="e">
        <f t="shared" si="32"/>
        <v>#VALUE!</v>
      </c>
      <c r="B262" t="e">
        <f t="shared" si="33"/>
        <v>#VALUE!</v>
      </c>
      <c r="D262" s="21" t="str" cm="1">
        <f t="array" ref="D262">IF(ROWS($D$7:D262)&gt;COUNTIF('[1]U$S'!$H$5:$H$1008,$L$5),"",INDEX(CuentaUS,_xlfn.AGGREGATE(15,6,ROW('[1]U$S'!$H$5:$H$1008)-ROW('[1]U$S'!$O$5)+1/--('[1]U$S'!$H$5:$H$1008=$L$5),ROWS($D$7:D262)),1))</f>
        <v/>
      </c>
      <c r="E262" s="22" t="str" cm="1">
        <f t="array" ref="E262">IF(ROWS($E$7:E262)&gt;COUNTIF('[1]U$S'!$H$5:$H$1008,$L$5),"",INDEX(CuentaUS,_xlfn.AGGREGATE(15,6,ROW('[1]U$S'!$H$5:$H$1008)-ROW('[1]U$S'!$O$5)+1/--('[1]U$S'!$H$5:$H$1008=$L$5),ROWS($E$7:E262)),6))</f>
        <v/>
      </c>
      <c r="F262" s="22" t="str">
        <f>IF(E262="","",IF(E262&gt;0,SUMIFS('[1]UY$'!$L$5:$L$993,'[1]UY$'!$O$5:$O$993,"Cambio",'[1]UY$'!$E$5:$E$993,'Efecto TC'!D262),""))</f>
        <v/>
      </c>
      <c r="G262" s="23" t="str">
        <f t="shared" si="36"/>
        <v/>
      </c>
      <c r="H262" s="22" t="str">
        <f t="shared" si="37"/>
        <v/>
      </c>
      <c r="I262" s="54" t="str">
        <f t="shared" si="34"/>
        <v/>
      </c>
      <c r="R262" s="24" t="e">
        <f t="shared" si="38"/>
        <v>#VALUE!</v>
      </c>
      <c r="S262" s="25" t="e">
        <f t="shared" si="35"/>
        <v>#VALUE!</v>
      </c>
    </row>
    <row r="263" spans="1:19" x14ac:dyDescent="0.25">
      <c r="A263" t="e">
        <f t="shared" ref="A263:A326" si="39">MONTH(D263)</f>
        <v>#VALUE!</v>
      </c>
      <c r="B263" t="e">
        <f t="shared" ref="B263:B326" si="40">YEAR(D263)</f>
        <v>#VALUE!</v>
      </c>
      <c r="D263" s="21" t="str" cm="1">
        <f t="array" ref="D263">IF(ROWS($D$7:D263)&gt;COUNTIF('[1]U$S'!$H$5:$H$1008,$L$5),"",INDEX(CuentaUS,_xlfn.AGGREGATE(15,6,ROW('[1]U$S'!$H$5:$H$1008)-ROW('[1]U$S'!$O$5)+1/--('[1]U$S'!$H$5:$H$1008=$L$5),ROWS($D$7:D263)),1))</f>
        <v/>
      </c>
      <c r="E263" s="22" t="str" cm="1">
        <f t="array" ref="E263">IF(ROWS($E$7:E263)&gt;COUNTIF('[1]U$S'!$H$5:$H$1008,$L$5),"",INDEX(CuentaUS,_xlfn.AGGREGATE(15,6,ROW('[1]U$S'!$H$5:$H$1008)-ROW('[1]U$S'!$O$5)+1/--('[1]U$S'!$H$5:$H$1008=$L$5),ROWS($E$7:E263)),6))</f>
        <v/>
      </c>
      <c r="F263" s="22" t="str">
        <f>IF(E263="","",IF(E263&gt;0,SUMIFS('[1]UY$'!$L$5:$L$993,'[1]UY$'!$O$5:$O$993,"Cambio",'[1]UY$'!$E$5:$E$993,'Efecto TC'!D263),""))</f>
        <v/>
      </c>
      <c r="G263" s="23" t="str">
        <f t="shared" si="36"/>
        <v/>
      </c>
      <c r="H263" s="22" t="str">
        <f t="shared" si="37"/>
        <v/>
      </c>
      <c r="I263" s="54" t="str">
        <f t="shared" si="34"/>
        <v/>
      </c>
      <c r="R263" s="24" t="e">
        <f t="shared" si="38"/>
        <v>#VALUE!</v>
      </c>
      <c r="S263" s="25" t="e">
        <f t="shared" si="35"/>
        <v>#VALUE!</v>
      </c>
    </row>
    <row r="264" spans="1:19" x14ac:dyDescent="0.25">
      <c r="A264" t="e">
        <f t="shared" si="39"/>
        <v>#VALUE!</v>
      </c>
      <c r="B264" t="e">
        <f t="shared" si="40"/>
        <v>#VALUE!</v>
      </c>
      <c r="D264" s="21" t="str" cm="1">
        <f t="array" ref="D264">IF(ROWS($D$7:D264)&gt;COUNTIF('[1]U$S'!$H$5:$H$1008,$L$5),"",INDEX(CuentaUS,_xlfn.AGGREGATE(15,6,ROW('[1]U$S'!$H$5:$H$1008)-ROW('[1]U$S'!$O$5)+1/--('[1]U$S'!$H$5:$H$1008=$L$5),ROWS($D$7:D264)),1))</f>
        <v/>
      </c>
      <c r="E264" s="22" t="str" cm="1">
        <f t="array" ref="E264">IF(ROWS($E$7:E264)&gt;COUNTIF('[1]U$S'!$H$5:$H$1008,$L$5),"",INDEX(CuentaUS,_xlfn.AGGREGATE(15,6,ROW('[1]U$S'!$H$5:$H$1008)-ROW('[1]U$S'!$O$5)+1/--('[1]U$S'!$H$5:$H$1008=$L$5),ROWS($E$7:E264)),6))</f>
        <v/>
      </c>
      <c r="F264" s="22" t="str">
        <f>IF(E264="","",IF(E264&gt;0,SUMIFS('[1]UY$'!$L$5:$L$993,'[1]UY$'!$O$5:$O$993,"Cambio",'[1]UY$'!$E$5:$E$993,'Efecto TC'!D264),""))</f>
        <v/>
      </c>
      <c r="G264" s="23" t="str">
        <f t="shared" si="36"/>
        <v/>
      </c>
      <c r="H264" s="22" t="str">
        <f t="shared" si="37"/>
        <v/>
      </c>
      <c r="I264" s="54" t="str">
        <f t="shared" si="34"/>
        <v/>
      </c>
      <c r="R264" s="24" t="e">
        <f t="shared" si="38"/>
        <v>#VALUE!</v>
      </c>
      <c r="S264" s="25" t="e">
        <f t="shared" si="35"/>
        <v>#VALUE!</v>
      </c>
    </row>
    <row r="265" spans="1:19" x14ac:dyDescent="0.25">
      <c r="A265" t="e">
        <f t="shared" si="39"/>
        <v>#VALUE!</v>
      </c>
      <c r="B265" t="e">
        <f t="shared" si="40"/>
        <v>#VALUE!</v>
      </c>
      <c r="D265" s="21" t="str" cm="1">
        <f t="array" ref="D265">IF(ROWS($D$7:D265)&gt;COUNTIF('[1]U$S'!$H$5:$H$1008,$L$5),"",INDEX(CuentaUS,_xlfn.AGGREGATE(15,6,ROW('[1]U$S'!$H$5:$H$1008)-ROW('[1]U$S'!$O$5)+1/--('[1]U$S'!$H$5:$H$1008=$L$5),ROWS($D$7:D265)),1))</f>
        <v/>
      </c>
      <c r="E265" s="22" t="str" cm="1">
        <f t="array" ref="E265">IF(ROWS($E$7:E265)&gt;COUNTIF('[1]U$S'!$H$5:$H$1008,$L$5),"",INDEX(CuentaUS,_xlfn.AGGREGATE(15,6,ROW('[1]U$S'!$H$5:$H$1008)-ROW('[1]U$S'!$O$5)+1/--('[1]U$S'!$H$5:$H$1008=$L$5),ROWS($E$7:E265)),6))</f>
        <v/>
      </c>
      <c r="F265" s="22" t="str">
        <f>IF(E265="","",IF(E265&gt;0,SUMIFS('[1]UY$'!$L$5:$L$993,'[1]UY$'!$O$5:$O$993,"Cambio",'[1]UY$'!$E$5:$E$993,'Efecto TC'!D265),""))</f>
        <v/>
      </c>
      <c r="G265" s="23" t="str">
        <f t="shared" si="36"/>
        <v/>
      </c>
      <c r="H265" s="22" t="str">
        <f t="shared" si="37"/>
        <v/>
      </c>
      <c r="I265" s="54" t="str">
        <f t="shared" si="34"/>
        <v/>
      </c>
      <c r="R265" s="24" t="e">
        <f t="shared" si="38"/>
        <v>#VALUE!</v>
      </c>
      <c r="S265" s="25" t="e">
        <f t="shared" si="35"/>
        <v>#VALUE!</v>
      </c>
    </row>
    <row r="266" spans="1:19" x14ac:dyDescent="0.25">
      <c r="A266" t="e">
        <f t="shared" si="39"/>
        <v>#VALUE!</v>
      </c>
      <c r="B266" t="e">
        <f t="shared" si="40"/>
        <v>#VALUE!</v>
      </c>
      <c r="D266" s="21" t="str" cm="1">
        <f t="array" ref="D266">IF(ROWS($D$7:D266)&gt;COUNTIF('[1]U$S'!$H$5:$H$1008,$L$5),"",INDEX(CuentaUS,_xlfn.AGGREGATE(15,6,ROW('[1]U$S'!$H$5:$H$1008)-ROW('[1]U$S'!$O$5)+1/--('[1]U$S'!$H$5:$H$1008=$L$5),ROWS($D$7:D266)),1))</f>
        <v/>
      </c>
      <c r="E266" s="22" t="str" cm="1">
        <f t="array" ref="E266">IF(ROWS($E$7:E266)&gt;COUNTIF('[1]U$S'!$H$5:$H$1008,$L$5),"",INDEX(CuentaUS,_xlfn.AGGREGATE(15,6,ROW('[1]U$S'!$H$5:$H$1008)-ROW('[1]U$S'!$O$5)+1/--('[1]U$S'!$H$5:$H$1008=$L$5),ROWS($E$7:E266)),6))</f>
        <v/>
      </c>
      <c r="F266" s="22" t="str">
        <f>IF(E266="","",IF(E266&gt;0,SUMIFS('[1]UY$'!$L$5:$L$993,'[1]UY$'!$O$5:$O$993,"Cambio",'[1]UY$'!$E$5:$E$993,'Efecto TC'!D266),""))</f>
        <v/>
      </c>
      <c r="G266" s="23" t="str">
        <f t="shared" si="36"/>
        <v/>
      </c>
      <c r="H266" s="22" t="str">
        <f t="shared" si="37"/>
        <v/>
      </c>
      <c r="I266" s="54" t="str">
        <f t="shared" ref="I266:I329" si="41">IF(H266="","",+H266+I265)</f>
        <v/>
      </c>
      <c r="R266" s="24" t="e">
        <f t="shared" si="38"/>
        <v>#VALUE!</v>
      </c>
      <c r="S266" s="25" t="e">
        <f t="shared" si="35"/>
        <v>#VALUE!</v>
      </c>
    </row>
    <row r="267" spans="1:19" x14ac:dyDescent="0.25">
      <c r="A267" t="e">
        <f t="shared" si="39"/>
        <v>#VALUE!</v>
      </c>
      <c r="B267" t="e">
        <f t="shared" si="40"/>
        <v>#VALUE!</v>
      </c>
      <c r="D267" s="21" t="str" cm="1">
        <f t="array" ref="D267">IF(ROWS($D$7:D267)&gt;COUNTIF('[1]U$S'!$H$5:$H$1008,$L$5),"",INDEX(CuentaUS,_xlfn.AGGREGATE(15,6,ROW('[1]U$S'!$H$5:$H$1008)-ROW('[1]U$S'!$O$5)+1/--('[1]U$S'!$H$5:$H$1008=$L$5),ROWS($D$7:D267)),1))</f>
        <v/>
      </c>
      <c r="E267" s="22" t="str" cm="1">
        <f t="array" ref="E267">IF(ROWS($E$7:E267)&gt;COUNTIF('[1]U$S'!$H$5:$H$1008,$L$5),"",INDEX(CuentaUS,_xlfn.AGGREGATE(15,6,ROW('[1]U$S'!$H$5:$H$1008)-ROW('[1]U$S'!$O$5)+1/--('[1]U$S'!$H$5:$H$1008=$L$5),ROWS($E$7:E267)),6))</f>
        <v/>
      </c>
      <c r="F267" s="22" t="str">
        <f>IF(E267="","",IF(E267&gt;0,SUMIFS('[1]UY$'!$L$5:$L$993,'[1]UY$'!$O$5:$O$993,"Cambio",'[1]UY$'!$E$5:$E$993,'Efecto TC'!D267),""))</f>
        <v/>
      </c>
      <c r="G267" s="23" t="str">
        <f t="shared" si="36"/>
        <v/>
      </c>
      <c r="H267" s="22" t="str">
        <f t="shared" si="37"/>
        <v/>
      </c>
      <c r="I267" s="54" t="str">
        <f t="shared" si="41"/>
        <v/>
      </c>
      <c r="R267" s="24" t="e">
        <f t="shared" si="38"/>
        <v>#VALUE!</v>
      </c>
      <c r="S267" s="25" t="e">
        <f t="shared" si="35"/>
        <v>#VALUE!</v>
      </c>
    </row>
    <row r="268" spans="1:19" x14ac:dyDescent="0.25">
      <c r="A268" t="e">
        <f t="shared" si="39"/>
        <v>#VALUE!</v>
      </c>
      <c r="B268" t="e">
        <f t="shared" si="40"/>
        <v>#VALUE!</v>
      </c>
      <c r="D268" s="21" t="str" cm="1">
        <f t="array" ref="D268">IF(ROWS($D$7:D268)&gt;COUNTIF('[1]U$S'!$H$5:$H$1008,$L$5),"",INDEX(CuentaUS,_xlfn.AGGREGATE(15,6,ROW('[1]U$S'!$H$5:$H$1008)-ROW('[1]U$S'!$O$5)+1/--('[1]U$S'!$H$5:$H$1008=$L$5),ROWS($D$7:D268)),1))</f>
        <v/>
      </c>
      <c r="E268" s="22" t="str" cm="1">
        <f t="array" ref="E268">IF(ROWS($E$7:E268)&gt;COUNTIF('[1]U$S'!$H$5:$H$1008,$L$5),"",INDEX(CuentaUS,_xlfn.AGGREGATE(15,6,ROW('[1]U$S'!$H$5:$H$1008)-ROW('[1]U$S'!$O$5)+1/--('[1]U$S'!$H$5:$H$1008=$L$5),ROWS($E$7:E268)),6))</f>
        <v/>
      </c>
      <c r="F268" s="22" t="str">
        <f>IF(E268="","",IF(E268&gt;0,SUMIFS('[1]UY$'!$L$5:$L$993,'[1]UY$'!$O$5:$O$993,"Cambio",'[1]UY$'!$E$5:$E$993,'Efecto TC'!D268),""))</f>
        <v/>
      </c>
      <c r="G268" s="23" t="str">
        <f t="shared" si="36"/>
        <v/>
      </c>
      <c r="H268" s="22" t="str">
        <f t="shared" si="37"/>
        <v/>
      </c>
      <c r="I268" s="54" t="str">
        <f t="shared" si="41"/>
        <v/>
      </c>
      <c r="R268" s="24" t="e">
        <f t="shared" si="38"/>
        <v>#VALUE!</v>
      </c>
      <c r="S268" s="25" t="e">
        <f t="shared" si="35"/>
        <v>#VALUE!</v>
      </c>
    </row>
    <row r="269" spans="1:19" x14ac:dyDescent="0.25">
      <c r="A269" t="e">
        <f t="shared" si="39"/>
        <v>#VALUE!</v>
      </c>
      <c r="B269" t="e">
        <f t="shared" si="40"/>
        <v>#VALUE!</v>
      </c>
      <c r="D269" s="21" t="str" cm="1">
        <f t="array" ref="D269">IF(ROWS($D$7:D269)&gt;COUNTIF('[1]U$S'!$H$5:$H$1008,$L$5),"",INDEX(CuentaUS,_xlfn.AGGREGATE(15,6,ROW('[1]U$S'!$H$5:$H$1008)-ROW('[1]U$S'!$O$5)+1/--('[1]U$S'!$H$5:$H$1008=$L$5),ROWS($D$7:D269)),1))</f>
        <v/>
      </c>
      <c r="E269" s="22" t="str" cm="1">
        <f t="array" ref="E269">IF(ROWS($E$7:E269)&gt;COUNTIF('[1]U$S'!$H$5:$H$1008,$L$5),"",INDEX(CuentaUS,_xlfn.AGGREGATE(15,6,ROW('[1]U$S'!$H$5:$H$1008)-ROW('[1]U$S'!$O$5)+1/--('[1]U$S'!$H$5:$H$1008=$L$5),ROWS($E$7:E269)),6))</f>
        <v/>
      </c>
      <c r="F269" s="22" t="str">
        <f>IF(E269="","",IF(E269&gt;0,SUMIFS('[1]UY$'!$L$5:$L$993,'[1]UY$'!$O$5:$O$993,"Cambio",'[1]UY$'!$E$5:$E$993,'Efecto TC'!D269),""))</f>
        <v/>
      </c>
      <c r="G269" s="23" t="str">
        <f t="shared" si="36"/>
        <v/>
      </c>
      <c r="H269" s="22" t="str">
        <f t="shared" si="37"/>
        <v/>
      </c>
      <c r="I269" s="54" t="str">
        <f t="shared" si="41"/>
        <v/>
      </c>
      <c r="R269" s="24" t="e">
        <f t="shared" si="38"/>
        <v>#VALUE!</v>
      </c>
      <c r="S269" s="25" t="e">
        <f t="shared" si="35"/>
        <v>#VALUE!</v>
      </c>
    </row>
    <row r="270" spans="1:19" x14ac:dyDescent="0.25">
      <c r="A270" t="e">
        <f t="shared" si="39"/>
        <v>#VALUE!</v>
      </c>
      <c r="B270" t="e">
        <f t="shared" si="40"/>
        <v>#VALUE!</v>
      </c>
      <c r="D270" s="21" t="str" cm="1">
        <f t="array" ref="D270">IF(ROWS($D$7:D270)&gt;COUNTIF('[1]U$S'!$H$5:$H$1008,$L$5),"",INDEX(CuentaUS,_xlfn.AGGREGATE(15,6,ROW('[1]U$S'!$H$5:$H$1008)-ROW('[1]U$S'!$O$5)+1/--('[1]U$S'!$H$5:$H$1008=$L$5),ROWS($D$7:D270)),1))</f>
        <v/>
      </c>
      <c r="E270" s="22" t="str" cm="1">
        <f t="array" ref="E270">IF(ROWS($E$7:E270)&gt;COUNTIF('[1]U$S'!$H$5:$H$1008,$L$5),"",INDEX(CuentaUS,_xlfn.AGGREGATE(15,6,ROW('[1]U$S'!$H$5:$H$1008)-ROW('[1]U$S'!$O$5)+1/--('[1]U$S'!$H$5:$H$1008=$L$5),ROWS($E$7:E270)),6))</f>
        <v/>
      </c>
      <c r="F270" s="22" t="str">
        <f>IF(E270="","",IF(E270&gt;0,SUMIFS('[1]UY$'!$L$5:$L$993,'[1]UY$'!$O$5:$O$993,"Cambio",'[1]UY$'!$E$5:$E$993,'Efecto TC'!D270),""))</f>
        <v/>
      </c>
      <c r="G270" s="23" t="str">
        <f t="shared" si="36"/>
        <v/>
      </c>
      <c r="H270" s="22" t="str">
        <f t="shared" si="37"/>
        <v/>
      </c>
      <c r="I270" s="54" t="str">
        <f t="shared" si="41"/>
        <v/>
      </c>
      <c r="R270" s="24" t="e">
        <f t="shared" si="38"/>
        <v>#VALUE!</v>
      </c>
      <c r="S270" s="25" t="e">
        <f t="shared" si="35"/>
        <v>#VALUE!</v>
      </c>
    </row>
    <row r="271" spans="1:19" x14ac:dyDescent="0.25">
      <c r="A271" t="e">
        <f t="shared" si="39"/>
        <v>#VALUE!</v>
      </c>
      <c r="B271" t="e">
        <f t="shared" si="40"/>
        <v>#VALUE!</v>
      </c>
      <c r="D271" s="21" t="str" cm="1">
        <f t="array" ref="D271">IF(ROWS($D$7:D271)&gt;COUNTIF('[1]U$S'!$H$5:$H$1008,$L$5),"",INDEX(CuentaUS,_xlfn.AGGREGATE(15,6,ROW('[1]U$S'!$H$5:$H$1008)-ROW('[1]U$S'!$O$5)+1/--('[1]U$S'!$H$5:$H$1008=$L$5),ROWS($D$7:D271)),1))</f>
        <v/>
      </c>
      <c r="E271" s="22" t="str" cm="1">
        <f t="array" ref="E271">IF(ROWS($E$7:E271)&gt;COUNTIF('[1]U$S'!$H$5:$H$1008,$L$5),"",INDEX(CuentaUS,_xlfn.AGGREGATE(15,6,ROW('[1]U$S'!$H$5:$H$1008)-ROW('[1]U$S'!$O$5)+1/--('[1]U$S'!$H$5:$H$1008=$L$5),ROWS($E$7:E271)),6))</f>
        <v/>
      </c>
      <c r="F271" s="22" t="str">
        <f>IF(E271="","",IF(E271&gt;0,SUMIFS('[1]UY$'!$L$5:$L$993,'[1]UY$'!$O$5:$O$993,"Cambio",'[1]UY$'!$E$5:$E$993,'Efecto TC'!D271),""))</f>
        <v/>
      </c>
      <c r="G271" s="23" t="str">
        <f t="shared" si="36"/>
        <v/>
      </c>
      <c r="H271" s="22" t="str">
        <f t="shared" si="37"/>
        <v/>
      </c>
      <c r="I271" s="54" t="str">
        <f t="shared" si="41"/>
        <v/>
      </c>
      <c r="R271" s="24" t="e">
        <f t="shared" si="38"/>
        <v>#VALUE!</v>
      </c>
      <c r="S271" s="25" t="e">
        <f t="shared" si="35"/>
        <v>#VALUE!</v>
      </c>
    </row>
    <row r="272" spans="1:19" x14ac:dyDescent="0.25">
      <c r="A272" t="e">
        <f t="shared" si="39"/>
        <v>#VALUE!</v>
      </c>
      <c r="B272" t="e">
        <f t="shared" si="40"/>
        <v>#VALUE!</v>
      </c>
      <c r="D272" s="21" t="str" cm="1">
        <f t="array" ref="D272">IF(ROWS($D$7:D272)&gt;COUNTIF('[1]U$S'!$H$5:$H$1008,$L$5),"",INDEX(CuentaUS,_xlfn.AGGREGATE(15,6,ROW('[1]U$S'!$H$5:$H$1008)-ROW('[1]U$S'!$O$5)+1/--('[1]U$S'!$H$5:$H$1008=$L$5),ROWS($D$7:D272)),1))</f>
        <v/>
      </c>
      <c r="E272" s="22" t="str" cm="1">
        <f t="array" ref="E272">IF(ROWS($E$7:E272)&gt;COUNTIF('[1]U$S'!$H$5:$H$1008,$L$5),"",INDEX(CuentaUS,_xlfn.AGGREGATE(15,6,ROW('[1]U$S'!$H$5:$H$1008)-ROW('[1]U$S'!$O$5)+1/--('[1]U$S'!$H$5:$H$1008=$L$5),ROWS($E$7:E272)),6))</f>
        <v/>
      </c>
      <c r="F272" s="22" t="str">
        <f>IF(E272="","",IF(E272&gt;0,SUMIFS('[1]UY$'!$L$5:$L$993,'[1]UY$'!$O$5:$O$993,"Cambio",'[1]UY$'!$E$5:$E$993,'Efecto TC'!D272),""))</f>
        <v/>
      </c>
      <c r="G272" s="23" t="str">
        <f t="shared" si="36"/>
        <v/>
      </c>
      <c r="H272" s="22" t="str">
        <f t="shared" si="37"/>
        <v/>
      </c>
      <c r="I272" s="54" t="str">
        <f t="shared" si="41"/>
        <v/>
      </c>
      <c r="R272" s="24" t="e">
        <f t="shared" si="38"/>
        <v>#VALUE!</v>
      </c>
      <c r="S272" s="25" t="e">
        <f t="shared" si="35"/>
        <v>#VALUE!</v>
      </c>
    </row>
    <row r="273" spans="1:19" x14ac:dyDescent="0.25">
      <c r="A273" t="e">
        <f t="shared" si="39"/>
        <v>#VALUE!</v>
      </c>
      <c r="B273" t="e">
        <f t="shared" si="40"/>
        <v>#VALUE!</v>
      </c>
      <c r="D273" s="21" t="str" cm="1">
        <f t="array" ref="D273">IF(ROWS($D$7:D273)&gt;COUNTIF('[1]U$S'!$H$5:$H$1008,$L$5),"",INDEX(CuentaUS,_xlfn.AGGREGATE(15,6,ROW('[1]U$S'!$H$5:$H$1008)-ROW('[1]U$S'!$O$5)+1/--('[1]U$S'!$H$5:$H$1008=$L$5),ROWS($D$7:D273)),1))</f>
        <v/>
      </c>
      <c r="E273" s="22" t="str" cm="1">
        <f t="array" ref="E273">IF(ROWS($E$7:E273)&gt;COUNTIF('[1]U$S'!$H$5:$H$1008,$L$5),"",INDEX(CuentaUS,_xlfn.AGGREGATE(15,6,ROW('[1]U$S'!$H$5:$H$1008)-ROW('[1]U$S'!$O$5)+1/--('[1]U$S'!$H$5:$H$1008=$L$5),ROWS($E$7:E273)),6))</f>
        <v/>
      </c>
      <c r="F273" s="22" t="str">
        <f>IF(E273="","",IF(E273&gt;0,SUMIFS('[1]UY$'!$L$5:$L$993,'[1]UY$'!$O$5:$O$993,"Cambio",'[1]UY$'!$E$5:$E$993,'Efecto TC'!D273),""))</f>
        <v/>
      </c>
      <c r="G273" s="23" t="str">
        <f t="shared" si="36"/>
        <v/>
      </c>
      <c r="H273" s="22" t="str">
        <f t="shared" si="37"/>
        <v/>
      </c>
      <c r="I273" s="54" t="str">
        <f t="shared" si="41"/>
        <v/>
      </c>
      <c r="R273" s="24" t="e">
        <f t="shared" si="38"/>
        <v>#VALUE!</v>
      </c>
      <c r="S273" s="25" t="e">
        <f t="shared" si="35"/>
        <v>#VALUE!</v>
      </c>
    </row>
    <row r="274" spans="1:19" x14ac:dyDescent="0.25">
      <c r="A274" t="e">
        <f t="shared" si="39"/>
        <v>#VALUE!</v>
      </c>
      <c r="B274" t="e">
        <f t="shared" si="40"/>
        <v>#VALUE!</v>
      </c>
      <c r="D274" s="21" t="str" cm="1">
        <f t="array" ref="D274">IF(ROWS($D$7:D274)&gt;COUNTIF('[1]U$S'!$H$5:$H$1008,$L$5),"",INDEX(CuentaUS,_xlfn.AGGREGATE(15,6,ROW('[1]U$S'!$H$5:$H$1008)-ROW('[1]U$S'!$O$5)+1/--('[1]U$S'!$H$5:$H$1008=$L$5),ROWS($D$7:D274)),1))</f>
        <v/>
      </c>
      <c r="E274" s="22" t="str" cm="1">
        <f t="array" ref="E274">IF(ROWS($E$7:E274)&gt;COUNTIF('[1]U$S'!$H$5:$H$1008,$L$5),"",INDEX(CuentaUS,_xlfn.AGGREGATE(15,6,ROW('[1]U$S'!$H$5:$H$1008)-ROW('[1]U$S'!$O$5)+1/--('[1]U$S'!$H$5:$H$1008=$L$5),ROWS($E$7:E274)),6))</f>
        <v/>
      </c>
      <c r="F274" s="22" t="str">
        <f>IF(E274="","",IF(E274&gt;0,SUMIFS('[1]UY$'!$L$5:$L$993,'[1]UY$'!$O$5:$O$993,"Cambio",'[1]UY$'!$E$5:$E$993,'Efecto TC'!D274),""))</f>
        <v/>
      </c>
      <c r="G274" s="23" t="str">
        <f t="shared" si="36"/>
        <v/>
      </c>
      <c r="H274" s="22" t="str">
        <f t="shared" si="37"/>
        <v/>
      </c>
      <c r="I274" s="54" t="str">
        <f t="shared" si="41"/>
        <v/>
      </c>
      <c r="R274" s="24" t="e">
        <f t="shared" si="38"/>
        <v>#VALUE!</v>
      </c>
      <c r="S274" s="25" t="e">
        <f t="shared" si="35"/>
        <v>#VALUE!</v>
      </c>
    </row>
    <row r="275" spans="1:19" x14ac:dyDescent="0.25">
      <c r="A275" t="e">
        <f t="shared" si="39"/>
        <v>#VALUE!</v>
      </c>
      <c r="B275" t="e">
        <f t="shared" si="40"/>
        <v>#VALUE!</v>
      </c>
      <c r="D275" s="21" t="str" cm="1">
        <f t="array" ref="D275">IF(ROWS($D$7:D275)&gt;COUNTIF('[1]U$S'!$H$5:$H$1008,$L$5),"",INDEX(CuentaUS,_xlfn.AGGREGATE(15,6,ROW('[1]U$S'!$H$5:$H$1008)-ROW('[1]U$S'!$O$5)+1/--('[1]U$S'!$H$5:$H$1008=$L$5),ROWS($D$7:D275)),1))</f>
        <v/>
      </c>
      <c r="E275" s="22" t="str" cm="1">
        <f t="array" ref="E275">IF(ROWS($E$7:E275)&gt;COUNTIF('[1]U$S'!$H$5:$H$1008,$L$5),"",INDEX(CuentaUS,_xlfn.AGGREGATE(15,6,ROW('[1]U$S'!$H$5:$H$1008)-ROW('[1]U$S'!$O$5)+1/--('[1]U$S'!$H$5:$H$1008=$L$5),ROWS($E$7:E275)),6))</f>
        <v/>
      </c>
      <c r="F275" s="22" t="str">
        <f>IF(E275="","",IF(E275&gt;0,SUMIFS('[1]UY$'!$L$5:$L$993,'[1]UY$'!$O$5:$O$993,"Cambio",'[1]UY$'!$E$5:$E$993,'Efecto TC'!D275),""))</f>
        <v/>
      </c>
      <c r="G275" s="23" t="str">
        <f t="shared" si="36"/>
        <v/>
      </c>
      <c r="H275" s="22" t="str">
        <f t="shared" si="37"/>
        <v/>
      </c>
      <c r="I275" s="54" t="str">
        <f t="shared" si="41"/>
        <v/>
      </c>
      <c r="R275" s="24" t="e">
        <f t="shared" si="38"/>
        <v>#VALUE!</v>
      </c>
      <c r="S275" s="25" t="e">
        <f t="shared" si="35"/>
        <v>#VALUE!</v>
      </c>
    </row>
    <row r="276" spans="1:19" x14ac:dyDescent="0.25">
      <c r="A276" t="e">
        <f t="shared" si="39"/>
        <v>#VALUE!</v>
      </c>
      <c r="B276" t="e">
        <f t="shared" si="40"/>
        <v>#VALUE!</v>
      </c>
      <c r="D276" s="21" t="str" cm="1">
        <f t="array" ref="D276">IF(ROWS($D$7:D276)&gt;COUNTIF('[1]U$S'!$H$5:$H$1008,$L$5),"",INDEX(CuentaUS,_xlfn.AGGREGATE(15,6,ROW('[1]U$S'!$H$5:$H$1008)-ROW('[1]U$S'!$O$5)+1/--('[1]U$S'!$H$5:$H$1008=$L$5),ROWS($D$7:D276)),1))</f>
        <v/>
      </c>
      <c r="E276" s="22" t="str" cm="1">
        <f t="array" ref="E276">IF(ROWS($E$7:E276)&gt;COUNTIF('[1]U$S'!$H$5:$H$1008,$L$5),"",INDEX(CuentaUS,_xlfn.AGGREGATE(15,6,ROW('[1]U$S'!$H$5:$H$1008)-ROW('[1]U$S'!$O$5)+1/--('[1]U$S'!$H$5:$H$1008=$L$5),ROWS($E$7:E276)),6))</f>
        <v/>
      </c>
      <c r="F276" s="22" t="str">
        <f>IF(E276="","",IF(E276&gt;0,SUMIFS('[1]UY$'!$L$5:$L$993,'[1]UY$'!$O$5:$O$993,"Cambio",'[1]UY$'!$E$5:$E$993,'Efecto TC'!D276),""))</f>
        <v/>
      </c>
      <c r="G276" s="23" t="str">
        <f t="shared" si="36"/>
        <v/>
      </c>
      <c r="H276" s="22" t="str">
        <f t="shared" si="37"/>
        <v/>
      </c>
      <c r="I276" s="54" t="str">
        <f t="shared" si="41"/>
        <v/>
      </c>
      <c r="R276" s="24" t="e">
        <f t="shared" si="38"/>
        <v>#VALUE!</v>
      </c>
      <c r="S276" s="25" t="e">
        <f t="shared" si="35"/>
        <v>#VALUE!</v>
      </c>
    </row>
    <row r="277" spans="1:19" x14ac:dyDescent="0.25">
      <c r="A277" t="e">
        <f t="shared" si="39"/>
        <v>#VALUE!</v>
      </c>
      <c r="B277" t="e">
        <f t="shared" si="40"/>
        <v>#VALUE!</v>
      </c>
      <c r="D277" s="21" t="str" cm="1">
        <f t="array" ref="D277">IF(ROWS($D$7:D277)&gt;COUNTIF('[1]U$S'!$H$5:$H$1008,$L$5),"",INDEX(CuentaUS,_xlfn.AGGREGATE(15,6,ROW('[1]U$S'!$H$5:$H$1008)-ROW('[1]U$S'!$O$5)+1/--('[1]U$S'!$H$5:$H$1008=$L$5),ROWS($D$7:D277)),1))</f>
        <v/>
      </c>
      <c r="E277" s="22" t="str" cm="1">
        <f t="array" ref="E277">IF(ROWS($E$7:E277)&gt;COUNTIF('[1]U$S'!$H$5:$H$1008,$L$5),"",INDEX(CuentaUS,_xlfn.AGGREGATE(15,6,ROW('[1]U$S'!$H$5:$H$1008)-ROW('[1]U$S'!$O$5)+1/--('[1]U$S'!$H$5:$H$1008=$L$5),ROWS($E$7:E277)),6))</f>
        <v/>
      </c>
      <c r="F277" s="22" t="str">
        <f>IF(E277="","",IF(E277&gt;0,SUMIFS('[1]UY$'!$L$5:$L$993,'[1]UY$'!$O$5:$O$993,"Cambio",'[1]UY$'!$E$5:$E$993,'Efecto TC'!D277),""))</f>
        <v/>
      </c>
      <c r="G277" s="23" t="str">
        <f t="shared" si="36"/>
        <v/>
      </c>
      <c r="H277" s="22" t="str">
        <f t="shared" si="37"/>
        <v/>
      </c>
      <c r="I277" s="54" t="str">
        <f t="shared" si="41"/>
        <v/>
      </c>
      <c r="R277" s="24" t="e">
        <f t="shared" si="38"/>
        <v>#VALUE!</v>
      </c>
      <c r="S277" s="25" t="e">
        <f t="shared" si="35"/>
        <v>#VALUE!</v>
      </c>
    </row>
    <row r="278" spans="1:19" x14ac:dyDescent="0.25">
      <c r="A278" t="e">
        <f t="shared" si="39"/>
        <v>#VALUE!</v>
      </c>
      <c r="B278" t="e">
        <f t="shared" si="40"/>
        <v>#VALUE!</v>
      </c>
      <c r="D278" s="21" t="str" cm="1">
        <f t="array" ref="D278">IF(ROWS($D$7:D278)&gt;COUNTIF('[1]U$S'!$H$5:$H$1008,$L$5),"",INDEX(CuentaUS,_xlfn.AGGREGATE(15,6,ROW('[1]U$S'!$H$5:$H$1008)-ROW('[1]U$S'!$O$5)+1/--('[1]U$S'!$H$5:$H$1008=$L$5),ROWS($D$7:D278)),1))</f>
        <v/>
      </c>
      <c r="E278" s="22" t="str" cm="1">
        <f t="array" ref="E278">IF(ROWS($E$7:E278)&gt;COUNTIF('[1]U$S'!$H$5:$H$1008,$L$5),"",INDEX(CuentaUS,_xlfn.AGGREGATE(15,6,ROW('[1]U$S'!$H$5:$H$1008)-ROW('[1]U$S'!$O$5)+1/--('[1]U$S'!$H$5:$H$1008=$L$5),ROWS($E$7:E278)),6))</f>
        <v/>
      </c>
      <c r="F278" s="22" t="str">
        <f>IF(E278="","",IF(E278&gt;0,SUMIFS('[1]UY$'!$L$5:$L$993,'[1]UY$'!$O$5:$O$993,"Cambio",'[1]UY$'!$E$5:$E$993,'Efecto TC'!D278),""))</f>
        <v/>
      </c>
      <c r="G278" s="23" t="str">
        <f t="shared" si="36"/>
        <v/>
      </c>
      <c r="H278" s="22" t="str">
        <f t="shared" si="37"/>
        <v/>
      </c>
      <c r="I278" s="54" t="str">
        <f t="shared" si="41"/>
        <v/>
      </c>
      <c r="R278" s="24" t="e">
        <f t="shared" si="38"/>
        <v>#VALUE!</v>
      </c>
      <c r="S278" s="25" t="e">
        <f t="shared" si="35"/>
        <v>#VALUE!</v>
      </c>
    </row>
    <row r="279" spans="1:19" x14ac:dyDescent="0.25">
      <c r="A279" t="e">
        <f t="shared" si="39"/>
        <v>#VALUE!</v>
      </c>
      <c r="B279" t="e">
        <f t="shared" si="40"/>
        <v>#VALUE!</v>
      </c>
      <c r="D279" s="21" t="str" cm="1">
        <f t="array" ref="D279">IF(ROWS($D$7:D279)&gt;COUNTIF('[1]U$S'!$H$5:$H$1008,$L$5),"",INDEX(CuentaUS,_xlfn.AGGREGATE(15,6,ROW('[1]U$S'!$H$5:$H$1008)-ROW('[1]U$S'!$O$5)+1/--('[1]U$S'!$H$5:$H$1008=$L$5),ROWS($D$7:D279)),1))</f>
        <v/>
      </c>
      <c r="E279" s="22" t="str" cm="1">
        <f t="array" ref="E279">IF(ROWS($E$7:E279)&gt;COUNTIF('[1]U$S'!$H$5:$H$1008,$L$5),"",INDEX(CuentaUS,_xlfn.AGGREGATE(15,6,ROW('[1]U$S'!$H$5:$H$1008)-ROW('[1]U$S'!$O$5)+1/--('[1]U$S'!$H$5:$H$1008=$L$5),ROWS($E$7:E279)),6))</f>
        <v/>
      </c>
      <c r="F279" s="22" t="str">
        <f>IF(E279="","",IF(E279&gt;0,SUMIFS('[1]UY$'!$L$5:$L$993,'[1]UY$'!$O$5:$O$993,"Cambio",'[1]UY$'!$E$5:$E$993,'Efecto TC'!D279),""))</f>
        <v/>
      </c>
      <c r="G279" s="23" t="str">
        <f t="shared" si="36"/>
        <v/>
      </c>
      <c r="H279" s="22" t="str">
        <f t="shared" si="37"/>
        <v/>
      </c>
      <c r="I279" s="54" t="str">
        <f t="shared" si="41"/>
        <v/>
      </c>
      <c r="R279" s="24" t="e">
        <f t="shared" si="38"/>
        <v>#VALUE!</v>
      </c>
      <c r="S279" s="25" t="e">
        <f t="shared" si="35"/>
        <v>#VALUE!</v>
      </c>
    </row>
    <row r="280" spans="1:19" x14ac:dyDescent="0.25">
      <c r="A280" t="e">
        <f t="shared" si="39"/>
        <v>#VALUE!</v>
      </c>
      <c r="B280" t="e">
        <f t="shared" si="40"/>
        <v>#VALUE!</v>
      </c>
      <c r="D280" s="21" t="str" cm="1">
        <f t="array" ref="D280">IF(ROWS($D$7:D280)&gt;COUNTIF('[1]U$S'!$H$5:$H$1008,$L$5),"",INDEX(CuentaUS,_xlfn.AGGREGATE(15,6,ROW('[1]U$S'!$H$5:$H$1008)-ROW('[1]U$S'!$O$5)+1/--('[1]U$S'!$H$5:$H$1008=$L$5),ROWS($D$7:D280)),1))</f>
        <v/>
      </c>
      <c r="E280" s="22" t="str" cm="1">
        <f t="array" ref="E280">IF(ROWS($E$7:E280)&gt;COUNTIF('[1]U$S'!$H$5:$H$1008,$L$5),"",INDEX(CuentaUS,_xlfn.AGGREGATE(15,6,ROW('[1]U$S'!$H$5:$H$1008)-ROW('[1]U$S'!$O$5)+1/--('[1]U$S'!$H$5:$H$1008=$L$5),ROWS($E$7:E280)),6))</f>
        <v/>
      </c>
      <c r="F280" s="22" t="str">
        <f>IF(E280="","",IF(E280&gt;0,SUMIFS('[1]UY$'!$L$5:$L$993,'[1]UY$'!$O$5:$O$993,"Cambio",'[1]UY$'!$E$5:$E$993,'Efecto TC'!D280),""))</f>
        <v/>
      </c>
      <c r="G280" s="23" t="str">
        <f t="shared" si="36"/>
        <v/>
      </c>
      <c r="H280" s="22" t="str">
        <f t="shared" si="37"/>
        <v/>
      </c>
      <c r="I280" s="54" t="str">
        <f t="shared" si="41"/>
        <v/>
      </c>
      <c r="R280" s="24" t="e">
        <f t="shared" si="38"/>
        <v>#VALUE!</v>
      </c>
      <c r="S280" s="25" t="e">
        <f t="shared" si="35"/>
        <v>#VALUE!</v>
      </c>
    </row>
    <row r="281" spans="1:19" x14ac:dyDescent="0.25">
      <c r="A281" t="e">
        <f t="shared" si="39"/>
        <v>#VALUE!</v>
      </c>
      <c r="B281" t="e">
        <f t="shared" si="40"/>
        <v>#VALUE!</v>
      </c>
      <c r="D281" s="21" t="str" cm="1">
        <f t="array" ref="D281">IF(ROWS($D$7:D281)&gt;COUNTIF('[1]U$S'!$H$5:$H$1008,$L$5),"",INDEX(CuentaUS,_xlfn.AGGREGATE(15,6,ROW('[1]U$S'!$H$5:$H$1008)-ROW('[1]U$S'!$O$5)+1/--('[1]U$S'!$H$5:$H$1008=$L$5),ROWS($D$7:D281)),1))</f>
        <v/>
      </c>
      <c r="E281" s="22" t="str" cm="1">
        <f t="array" ref="E281">IF(ROWS($E$7:E281)&gt;COUNTIF('[1]U$S'!$H$5:$H$1008,$L$5),"",INDEX(CuentaUS,_xlfn.AGGREGATE(15,6,ROW('[1]U$S'!$H$5:$H$1008)-ROW('[1]U$S'!$O$5)+1/--('[1]U$S'!$H$5:$H$1008=$L$5),ROWS($E$7:E281)),6))</f>
        <v/>
      </c>
      <c r="F281" s="22" t="str">
        <f>IF(E281="","",IF(E281&gt;0,SUMIFS('[1]UY$'!$L$5:$L$993,'[1]UY$'!$O$5:$O$993,"Cambio",'[1]UY$'!$E$5:$E$993,'Efecto TC'!D281),""))</f>
        <v/>
      </c>
      <c r="G281" s="23" t="str">
        <f t="shared" si="36"/>
        <v/>
      </c>
      <c r="H281" s="22" t="str">
        <f t="shared" si="37"/>
        <v/>
      </c>
      <c r="I281" s="54" t="str">
        <f t="shared" si="41"/>
        <v/>
      </c>
      <c r="R281" s="24" t="e">
        <f t="shared" si="38"/>
        <v>#VALUE!</v>
      </c>
      <c r="S281" s="25" t="e">
        <f t="shared" si="35"/>
        <v>#VALUE!</v>
      </c>
    </row>
    <row r="282" spans="1:19" x14ac:dyDescent="0.25">
      <c r="A282" t="e">
        <f t="shared" si="39"/>
        <v>#VALUE!</v>
      </c>
      <c r="B282" t="e">
        <f t="shared" si="40"/>
        <v>#VALUE!</v>
      </c>
      <c r="D282" s="21" t="str" cm="1">
        <f t="array" ref="D282">IF(ROWS($D$7:D282)&gt;COUNTIF('[1]U$S'!$H$5:$H$1008,$L$5),"",INDEX(CuentaUS,_xlfn.AGGREGATE(15,6,ROW('[1]U$S'!$H$5:$H$1008)-ROW('[1]U$S'!$O$5)+1/--('[1]U$S'!$H$5:$H$1008=$L$5),ROWS($D$7:D282)),1))</f>
        <v/>
      </c>
      <c r="E282" s="22" t="str" cm="1">
        <f t="array" ref="E282">IF(ROWS($E$7:E282)&gt;COUNTIF('[1]U$S'!$H$5:$H$1008,$L$5),"",INDEX(CuentaUS,_xlfn.AGGREGATE(15,6,ROW('[1]U$S'!$H$5:$H$1008)-ROW('[1]U$S'!$O$5)+1/--('[1]U$S'!$H$5:$H$1008=$L$5),ROWS($E$7:E282)),6))</f>
        <v/>
      </c>
      <c r="F282" s="22" t="str">
        <f>IF(E282="","",IF(E282&gt;0,SUMIFS('[1]UY$'!$L$5:$L$993,'[1]UY$'!$O$5:$O$993,"Cambio",'[1]UY$'!$E$5:$E$993,'Efecto TC'!D282),""))</f>
        <v/>
      </c>
      <c r="G282" s="23" t="str">
        <f t="shared" si="36"/>
        <v/>
      </c>
      <c r="H282" s="22" t="str">
        <f t="shared" si="37"/>
        <v/>
      </c>
      <c r="I282" s="54" t="str">
        <f t="shared" si="41"/>
        <v/>
      </c>
      <c r="R282" s="24" t="e">
        <f t="shared" si="38"/>
        <v>#VALUE!</v>
      </c>
      <c r="S282" s="25" t="e">
        <f t="shared" si="35"/>
        <v>#VALUE!</v>
      </c>
    </row>
    <row r="283" spans="1:19" x14ac:dyDescent="0.25">
      <c r="A283" t="e">
        <f t="shared" si="39"/>
        <v>#VALUE!</v>
      </c>
      <c r="B283" t="e">
        <f t="shared" si="40"/>
        <v>#VALUE!</v>
      </c>
      <c r="D283" s="21" t="str" cm="1">
        <f t="array" ref="D283">IF(ROWS($D$7:D283)&gt;COUNTIF('[1]U$S'!$H$5:$H$1008,$L$5),"",INDEX(CuentaUS,_xlfn.AGGREGATE(15,6,ROW('[1]U$S'!$H$5:$H$1008)-ROW('[1]U$S'!$O$5)+1/--('[1]U$S'!$H$5:$H$1008=$L$5),ROWS($D$7:D283)),1))</f>
        <v/>
      </c>
      <c r="E283" s="22" t="str" cm="1">
        <f t="array" ref="E283">IF(ROWS($E$7:E283)&gt;COUNTIF('[1]U$S'!$H$5:$H$1008,$L$5),"",INDEX(CuentaUS,_xlfn.AGGREGATE(15,6,ROW('[1]U$S'!$H$5:$H$1008)-ROW('[1]U$S'!$O$5)+1/--('[1]U$S'!$H$5:$H$1008=$L$5),ROWS($E$7:E283)),6))</f>
        <v/>
      </c>
      <c r="F283" s="22" t="str">
        <f>IF(E283="","",IF(E283&gt;0,SUMIFS('[1]UY$'!$L$5:$L$993,'[1]UY$'!$O$5:$O$993,"Cambio",'[1]UY$'!$E$5:$E$993,'Efecto TC'!D283),""))</f>
        <v/>
      </c>
      <c r="G283" s="23" t="str">
        <f t="shared" si="36"/>
        <v/>
      </c>
      <c r="H283" s="22" t="str">
        <f t="shared" si="37"/>
        <v/>
      </c>
      <c r="I283" s="54" t="str">
        <f t="shared" si="41"/>
        <v/>
      </c>
      <c r="R283" s="24" t="e">
        <f t="shared" si="38"/>
        <v>#VALUE!</v>
      </c>
      <c r="S283" s="25" t="e">
        <f t="shared" ref="S283:S346" si="42">R283*G277</f>
        <v>#VALUE!</v>
      </c>
    </row>
    <row r="284" spans="1:19" x14ac:dyDescent="0.25">
      <c r="A284" t="e">
        <f t="shared" si="39"/>
        <v>#VALUE!</v>
      </c>
      <c r="B284" t="e">
        <f t="shared" si="40"/>
        <v>#VALUE!</v>
      </c>
      <c r="D284" s="21" t="str" cm="1">
        <f t="array" ref="D284">IF(ROWS($D$7:D284)&gt;COUNTIF('[1]U$S'!$H$5:$H$1008,$L$5),"",INDEX(CuentaUS,_xlfn.AGGREGATE(15,6,ROW('[1]U$S'!$H$5:$H$1008)-ROW('[1]U$S'!$O$5)+1/--('[1]U$S'!$H$5:$H$1008=$L$5),ROWS($D$7:D284)),1))</f>
        <v/>
      </c>
      <c r="E284" s="22" t="str" cm="1">
        <f t="array" ref="E284">IF(ROWS($E$7:E284)&gt;COUNTIF('[1]U$S'!$H$5:$H$1008,$L$5),"",INDEX(CuentaUS,_xlfn.AGGREGATE(15,6,ROW('[1]U$S'!$H$5:$H$1008)-ROW('[1]U$S'!$O$5)+1/--('[1]U$S'!$H$5:$H$1008=$L$5),ROWS($E$7:E284)),6))</f>
        <v/>
      </c>
      <c r="F284" s="22" t="str">
        <f>IF(E284="","",IF(E284&gt;0,SUMIFS('[1]UY$'!$L$5:$L$993,'[1]UY$'!$O$5:$O$993,"Cambio",'[1]UY$'!$E$5:$E$993,'Efecto TC'!D284),""))</f>
        <v/>
      </c>
      <c r="G284" s="23" t="str">
        <f t="shared" si="36"/>
        <v/>
      </c>
      <c r="H284" s="22" t="str">
        <f t="shared" si="37"/>
        <v/>
      </c>
      <c r="I284" s="54" t="str">
        <f t="shared" si="41"/>
        <v/>
      </c>
      <c r="R284" s="24" t="e">
        <f t="shared" si="38"/>
        <v>#VALUE!</v>
      </c>
      <c r="S284" s="25" t="e">
        <f t="shared" si="42"/>
        <v>#VALUE!</v>
      </c>
    </row>
    <row r="285" spans="1:19" x14ac:dyDescent="0.25">
      <c r="A285" t="e">
        <f t="shared" si="39"/>
        <v>#VALUE!</v>
      </c>
      <c r="B285" t="e">
        <f t="shared" si="40"/>
        <v>#VALUE!</v>
      </c>
      <c r="D285" s="21" t="str" cm="1">
        <f t="array" ref="D285">IF(ROWS($D$7:D285)&gt;COUNTIF('[1]U$S'!$H$5:$H$1008,$L$5),"",INDEX(CuentaUS,_xlfn.AGGREGATE(15,6,ROW('[1]U$S'!$H$5:$H$1008)-ROW('[1]U$S'!$O$5)+1/--('[1]U$S'!$H$5:$H$1008=$L$5),ROWS($D$7:D285)),1))</f>
        <v/>
      </c>
      <c r="E285" s="22" t="str" cm="1">
        <f t="array" ref="E285">IF(ROWS($E$7:E285)&gt;COUNTIF('[1]U$S'!$H$5:$H$1008,$L$5),"",INDEX(CuentaUS,_xlfn.AGGREGATE(15,6,ROW('[1]U$S'!$H$5:$H$1008)-ROW('[1]U$S'!$O$5)+1/--('[1]U$S'!$H$5:$H$1008=$L$5),ROWS($E$7:E285)),6))</f>
        <v/>
      </c>
      <c r="F285" s="22" t="str">
        <f>IF(E285="","",IF(E285&gt;0,SUMIFS('[1]UY$'!$L$5:$L$993,'[1]UY$'!$O$5:$O$993,"Cambio",'[1]UY$'!$E$5:$E$993,'Efecto TC'!D285),""))</f>
        <v/>
      </c>
      <c r="G285" s="23" t="str">
        <f t="shared" si="36"/>
        <v/>
      </c>
      <c r="H285" s="22" t="str">
        <f t="shared" si="37"/>
        <v/>
      </c>
      <c r="I285" s="54" t="str">
        <f t="shared" si="41"/>
        <v/>
      </c>
      <c r="R285" s="24" t="e">
        <f t="shared" si="38"/>
        <v>#VALUE!</v>
      </c>
      <c r="S285" s="25" t="e">
        <f t="shared" si="42"/>
        <v>#VALUE!</v>
      </c>
    </row>
    <row r="286" spans="1:19" x14ac:dyDescent="0.25">
      <c r="A286" t="e">
        <f t="shared" si="39"/>
        <v>#VALUE!</v>
      </c>
      <c r="B286" t="e">
        <f t="shared" si="40"/>
        <v>#VALUE!</v>
      </c>
      <c r="D286" s="21" t="str" cm="1">
        <f t="array" ref="D286">IF(ROWS($D$7:D286)&gt;COUNTIF('[1]U$S'!$H$5:$H$1008,$L$5),"",INDEX(CuentaUS,_xlfn.AGGREGATE(15,6,ROW('[1]U$S'!$H$5:$H$1008)-ROW('[1]U$S'!$O$5)+1/--('[1]U$S'!$H$5:$H$1008=$L$5),ROWS($D$7:D286)),1))</f>
        <v/>
      </c>
      <c r="E286" s="22" t="str" cm="1">
        <f t="array" ref="E286">IF(ROWS($E$7:E286)&gt;COUNTIF('[1]U$S'!$H$5:$H$1008,$L$5),"",INDEX(CuentaUS,_xlfn.AGGREGATE(15,6,ROW('[1]U$S'!$H$5:$H$1008)-ROW('[1]U$S'!$O$5)+1/--('[1]U$S'!$H$5:$H$1008=$L$5),ROWS($E$7:E286)),6))</f>
        <v/>
      </c>
      <c r="F286" s="22" t="str">
        <f>IF(E286="","",IF(E286&gt;0,SUMIFS('[1]UY$'!$L$5:$L$993,'[1]UY$'!$O$5:$O$993,"Cambio",'[1]UY$'!$E$5:$E$993,'Efecto TC'!D286),""))</f>
        <v/>
      </c>
      <c r="G286" s="23" t="str">
        <f t="shared" si="36"/>
        <v/>
      </c>
      <c r="H286" s="22" t="str">
        <f t="shared" si="37"/>
        <v/>
      </c>
      <c r="I286" s="54" t="str">
        <f t="shared" si="41"/>
        <v/>
      </c>
      <c r="R286" s="24" t="e">
        <f t="shared" si="38"/>
        <v>#VALUE!</v>
      </c>
      <c r="S286" s="25" t="e">
        <f t="shared" si="42"/>
        <v>#VALUE!</v>
      </c>
    </row>
    <row r="287" spans="1:19" x14ac:dyDescent="0.25">
      <c r="A287" t="e">
        <f t="shared" si="39"/>
        <v>#VALUE!</v>
      </c>
      <c r="B287" t="e">
        <f t="shared" si="40"/>
        <v>#VALUE!</v>
      </c>
      <c r="D287" s="21" t="str" cm="1">
        <f t="array" ref="D287">IF(ROWS($D$7:D287)&gt;COUNTIF('[1]U$S'!$H$5:$H$1008,$L$5),"",INDEX(CuentaUS,_xlfn.AGGREGATE(15,6,ROW('[1]U$S'!$H$5:$H$1008)-ROW('[1]U$S'!$O$5)+1/--('[1]U$S'!$H$5:$H$1008=$L$5),ROWS($D$7:D287)),1))</f>
        <v/>
      </c>
      <c r="E287" s="22" t="str" cm="1">
        <f t="array" ref="E287">IF(ROWS($E$7:E287)&gt;COUNTIF('[1]U$S'!$H$5:$H$1008,$L$5),"",INDEX(CuentaUS,_xlfn.AGGREGATE(15,6,ROW('[1]U$S'!$H$5:$H$1008)-ROW('[1]U$S'!$O$5)+1/--('[1]U$S'!$H$5:$H$1008=$L$5),ROWS($E$7:E287)),6))</f>
        <v/>
      </c>
      <c r="F287" s="22" t="str">
        <f>IF(E287="","",IF(E287&gt;0,SUMIFS('[1]UY$'!$L$5:$L$993,'[1]UY$'!$O$5:$O$993,"Cambio",'[1]UY$'!$E$5:$E$993,'Efecto TC'!D287),""))</f>
        <v/>
      </c>
      <c r="G287" s="23" t="str">
        <f t="shared" si="36"/>
        <v/>
      </c>
      <c r="H287" s="22" t="str">
        <f t="shared" si="37"/>
        <v/>
      </c>
      <c r="I287" s="54" t="str">
        <f t="shared" si="41"/>
        <v/>
      </c>
      <c r="R287" s="24" t="e">
        <f t="shared" si="38"/>
        <v>#VALUE!</v>
      </c>
      <c r="S287" s="25" t="e">
        <f t="shared" si="42"/>
        <v>#VALUE!</v>
      </c>
    </row>
    <row r="288" spans="1:19" x14ac:dyDescent="0.25">
      <c r="A288" t="e">
        <f t="shared" si="39"/>
        <v>#VALUE!</v>
      </c>
      <c r="B288" t="e">
        <f t="shared" si="40"/>
        <v>#VALUE!</v>
      </c>
      <c r="D288" s="21" t="str" cm="1">
        <f t="array" ref="D288">IF(ROWS($D$7:D288)&gt;COUNTIF('[1]U$S'!$H$5:$H$1008,$L$5),"",INDEX(CuentaUS,_xlfn.AGGREGATE(15,6,ROW('[1]U$S'!$H$5:$H$1008)-ROW('[1]U$S'!$O$5)+1/--('[1]U$S'!$H$5:$H$1008=$L$5),ROWS($D$7:D288)),1))</f>
        <v/>
      </c>
      <c r="E288" s="22" t="str" cm="1">
        <f t="array" ref="E288">IF(ROWS($E$7:E288)&gt;COUNTIF('[1]U$S'!$H$5:$H$1008,$L$5),"",INDEX(CuentaUS,_xlfn.AGGREGATE(15,6,ROW('[1]U$S'!$H$5:$H$1008)-ROW('[1]U$S'!$O$5)+1/--('[1]U$S'!$H$5:$H$1008=$L$5),ROWS($E$7:E288)),6))</f>
        <v/>
      </c>
      <c r="F288" s="22" t="str">
        <f>IF(E288="","",IF(E288&gt;0,SUMIFS('[1]UY$'!$L$5:$L$993,'[1]UY$'!$O$5:$O$993,"Cambio",'[1]UY$'!$E$5:$E$993,'Efecto TC'!D288),""))</f>
        <v/>
      </c>
      <c r="G288" s="23" t="str">
        <f t="shared" si="36"/>
        <v/>
      </c>
      <c r="H288" s="22" t="str">
        <f t="shared" si="37"/>
        <v/>
      </c>
      <c r="I288" s="54" t="str">
        <f t="shared" si="41"/>
        <v/>
      </c>
      <c r="R288" s="24" t="e">
        <f t="shared" si="38"/>
        <v>#VALUE!</v>
      </c>
      <c r="S288" s="25" t="e">
        <f t="shared" si="42"/>
        <v>#VALUE!</v>
      </c>
    </row>
    <row r="289" spans="1:19" x14ac:dyDescent="0.25">
      <c r="A289" t="e">
        <f t="shared" si="39"/>
        <v>#VALUE!</v>
      </c>
      <c r="B289" t="e">
        <f t="shared" si="40"/>
        <v>#VALUE!</v>
      </c>
      <c r="D289" s="21" t="str" cm="1">
        <f t="array" ref="D289">IF(ROWS($D$7:D289)&gt;COUNTIF('[1]U$S'!$H$5:$H$1008,$L$5),"",INDEX(CuentaUS,_xlfn.AGGREGATE(15,6,ROW('[1]U$S'!$H$5:$H$1008)-ROW('[1]U$S'!$O$5)+1/--('[1]U$S'!$H$5:$H$1008=$L$5),ROWS($D$7:D289)),1))</f>
        <v/>
      </c>
      <c r="E289" s="22" t="str" cm="1">
        <f t="array" ref="E289">IF(ROWS($E$7:E289)&gt;COUNTIF('[1]U$S'!$H$5:$H$1008,$L$5),"",INDEX(CuentaUS,_xlfn.AGGREGATE(15,6,ROW('[1]U$S'!$H$5:$H$1008)-ROW('[1]U$S'!$O$5)+1/--('[1]U$S'!$H$5:$H$1008=$L$5),ROWS($E$7:E289)),6))</f>
        <v/>
      </c>
      <c r="F289" s="22" t="str">
        <f>IF(E289="","",IF(E289&gt;0,SUMIFS('[1]UY$'!$L$5:$L$993,'[1]UY$'!$O$5:$O$993,"Cambio",'[1]UY$'!$E$5:$E$993,'Efecto TC'!D289),""))</f>
        <v/>
      </c>
      <c r="G289" s="23" t="str">
        <f t="shared" si="36"/>
        <v/>
      </c>
      <c r="H289" s="22" t="str">
        <f t="shared" si="37"/>
        <v/>
      </c>
      <c r="I289" s="54" t="str">
        <f t="shared" si="41"/>
        <v/>
      </c>
      <c r="R289" s="24" t="e">
        <f t="shared" si="38"/>
        <v>#VALUE!</v>
      </c>
      <c r="S289" s="25" t="e">
        <f t="shared" si="42"/>
        <v>#VALUE!</v>
      </c>
    </row>
    <row r="290" spans="1:19" x14ac:dyDescent="0.25">
      <c r="A290" t="e">
        <f t="shared" si="39"/>
        <v>#VALUE!</v>
      </c>
      <c r="B290" t="e">
        <f t="shared" si="40"/>
        <v>#VALUE!</v>
      </c>
      <c r="D290" s="21" t="str" cm="1">
        <f t="array" ref="D290">IF(ROWS($D$7:D290)&gt;COUNTIF('[1]U$S'!$H$5:$H$1008,$L$5),"",INDEX(CuentaUS,_xlfn.AGGREGATE(15,6,ROW('[1]U$S'!$H$5:$H$1008)-ROW('[1]U$S'!$O$5)+1/--('[1]U$S'!$H$5:$H$1008=$L$5),ROWS($D$7:D290)),1))</f>
        <v/>
      </c>
      <c r="E290" s="22" t="str" cm="1">
        <f t="array" ref="E290">IF(ROWS($E$7:E290)&gt;COUNTIF('[1]U$S'!$H$5:$H$1008,$L$5),"",INDEX(CuentaUS,_xlfn.AGGREGATE(15,6,ROW('[1]U$S'!$H$5:$H$1008)-ROW('[1]U$S'!$O$5)+1/--('[1]U$S'!$H$5:$H$1008=$L$5),ROWS($E$7:E290)),6))</f>
        <v/>
      </c>
      <c r="F290" s="22" t="str">
        <f>IF(E290="","",IF(E290&gt;0,SUMIFS('[1]UY$'!$L$5:$L$993,'[1]UY$'!$O$5:$O$993,"Cambio",'[1]UY$'!$E$5:$E$993,'Efecto TC'!D290),""))</f>
        <v/>
      </c>
      <c r="G290" s="23" t="str">
        <f t="shared" ref="G290:G353" si="43">IF(F290="","",F290/E290)</f>
        <v/>
      </c>
      <c r="H290" s="22" t="str">
        <f t="shared" ref="H290:H353" si="44">IF(E290="","",F290/$F$2-F290/G290)</f>
        <v/>
      </c>
      <c r="I290" s="54" t="str">
        <f t="shared" si="41"/>
        <v/>
      </c>
      <c r="R290" s="24" t="e">
        <f t="shared" ref="R290:R353" si="45">E290/$E$1001</f>
        <v>#VALUE!</v>
      </c>
      <c r="S290" s="25" t="e">
        <f t="shared" si="42"/>
        <v>#VALUE!</v>
      </c>
    </row>
    <row r="291" spans="1:19" x14ac:dyDescent="0.25">
      <c r="A291" t="e">
        <f t="shared" si="39"/>
        <v>#VALUE!</v>
      </c>
      <c r="B291" t="e">
        <f t="shared" si="40"/>
        <v>#VALUE!</v>
      </c>
      <c r="D291" s="21" t="str" cm="1">
        <f t="array" ref="D291">IF(ROWS($D$7:D291)&gt;COUNTIF('[1]U$S'!$H$5:$H$1008,$L$5),"",INDEX(CuentaUS,_xlfn.AGGREGATE(15,6,ROW('[1]U$S'!$H$5:$H$1008)-ROW('[1]U$S'!$O$5)+1/--('[1]U$S'!$H$5:$H$1008=$L$5),ROWS($D$7:D291)),1))</f>
        <v/>
      </c>
      <c r="E291" s="22" t="str" cm="1">
        <f t="array" ref="E291">IF(ROWS($E$7:E291)&gt;COUNTIF('[1]U$S'!$H$5:$H$1008,$L$5),"",INDEX(CuentaUS,_xlfn.AGGREGATE(15,6,ROW('[1]U$S'!$H$5:$H$1008)-ROW('[1]U$S'!$O$5)+1/--('[1]U$S'!$H$5:$H$1008=$L$5),ROWS($E$7:E291)),6))</f>
        <v/>
      </c>
      <c r="F291" s="22" t="str">
        <f>IF(E291="","",IF(E291&gt;0,SUMIFS('[1]UY$'!$L$5:$L$993,'[1]UY$'!$O$5:$O$993,"Cambio",'[1]UY$'!$E$5:$E$993,'Efecto TC'!D291),""))</f>
        <v/>
      </c>
      <c r="G291" s="23" t="str">
        <f t="shared" si="43"/>
        <v/>
      </c>
      <c r="H291" s="22" t="str">
        <f t="shared" si="44"/>
        <v/>
      </c>
      <c r="I291" s="54" t="str">
        <f t="shared" si="41"/>
        <v/>
      </c>
      <c r="R291" s="24" t="e">
        <f t="shared" si="45"/>
        <v>#VALUE!</v>
      </c>
      <c r="S291" s="25" t="e">
        <f t="shared" si="42"/>
        <v>#VALUE!</v>
      </c>
    </row>
    <row r="292" spans="1:19" x14ac:dyDescent="0.25">
      <c r="A292" t="e">
        <f t="shared" si="39"/>
        <v>#VALUE!</v>
      </c>
      <c r="B292" t="e">
        <f t="shared" si="40"/>
        <v>#VALUE!</v>
      </c>
      <c r="D292" s="21" t="str" cm="1">
        <f t="array" ref="D292">IF(ROWS($D$7:D292)&gt;COUNTIF('[1]U$S'!$H$5:$H$1008,$L$5),"",INDEX(CuentaUS,_xlfn.AGGREGATE(15,6,ROW('[1]U$S'!$H$5:$H$1008)-ROW('[1]U$S'!$O$5)+1/--('[1]U$S'!$H$5:$H$1008=$L$5),ROWS($D$7:D292)),1))</f>
        <v/>
      </c>
      <c r="E292" s="22" t="str" cm="1">
        <f t="array" ref="E292">IF(ROWS($E$7:E292)&gt;COUNTIF('[1]U$S'!$H$5:$H$1008,$L$5),"",INDEX(CuentaUS,_xlfn.AGGREGATE(15,6,ROW('[1]U$S'!$H$5:$H$1008)-ROW('[1]U$S'!$O$5)+1/--('[1]U$S'!$H$5:$H$1008=$L$5),ROWS($E$7:E292)),6))</f>
        <v/>
      </c>
      <c r="F292" s="22" t="str">
        <f>IF(E292="","",IF(E292&gt;0,SUMIFS('[1]UY$'!$L$5:$L$993,'[1]UY$'!$O$5:$O$993,"Cambio",'[1]UY$'!$E$5:$E$993,'Efecto TC'!D292),""))</f>
        <v/>
      </c>
      <c r="G292" s="23" t="str">
        <f t="shared" si="43"/>
        <v/>
      </c>
      <c r="H292" s="22" t="str">
        <f t="shared" si="44"/>
        <v/>
      </c>
      <c r="I292" s="54" t="str">
        <f t="shared" si="41"/>
        <v/>
      </c>
      <c r="R292" s="24" t="e">
        <f t="shared" si="45"/>
        <v>#VALUE!</v>
      </c>
      <c r="S292" s="25" t="e">
        <f t="shared" si="42"/>
        <v>#VALUE!</v>
      </c>
    </row>
    <row r="293" spans="1:19" x14ac:dyDescent="0.25">
      <c r="A293" t="e">
        <f t="shared" si="39"/>
        <v>#VALUE!</v>
      </c>
      <c r="B293" t="e">
        <f t="shared" si="40"/>
        <v>#VALUE!</v>
      </c>
      <c r="D293" s="21" t="str" cm="1">
        <f t="array" ref="D293">IF(ROWS($D$7:D293)&gt;COUNTIF('[1]U$S'!$H$5:$H$1008,$L$5),"",INDEX(CuentaUS,_xlfn.AGGREGATE(15,6,ROW('[1]U$S'!$H$5:$H$1008)-ROW('[1]U$S'!$O$5)+1/--('[1]U$S'!$H$5:$H$1008=$L$5),ROWS($D$7:D293)),1))</f>
        <v/>
      </c>
      <c r="E293" s="22" t="str" cm="1">
        <f t="array" ref="E293">IF(ROWS($E$7:E293)&gt;COUNTIF('[1]U$S'!$H$5:$H$1008,$L$5),"",INDEX(CuentaUS,_xlfn.AGGREGATE(15,6,ROW('[1]U$S'!$H$5:$H$1008)-ROW('[1]U$S'!$O$5)+1/--('[1]U$S'!$H$5:$H$1008=$L$5),ROWS($E$7:E293)),6))</f>
        <v/>
      </c>
      <c r="F293" s="22" t="str">
        <f>IF(E293="","",IF(E293&gt;0,SUMIFS('[1]UY$'!$L$5:$L$993,'[1]UY$'!$O$5:$O$993,"Cambio",'[1]UY$'!$E$5:$E$993,'Efecto TC'!D293),""))</f>
        <v/>
      </c>
      <c r="G293" s="23" t="str">
        <f t="shared" si="43"/>
        <v/>
      </c>
      <c r="H293" s="22" t="str">
        <f t="shared" si="44"/>
        <v/>
      </c>
      <c r="I293" s="54" t="str">
        <f t="shared" si="41"/>
        <v/>
      </c>
      <c r="R293" s="24" t="e">
        <f t="shared" si="45"/>
        <v>#VALUE!</v>
      </c>
      <c r="S293" s="25" t="e">
        <f t="shared" si="42"/>
        <v>#VALUE!</v>
      </c>
    </row>
    <row r="294" spans="1:19" x14ac:dyDescent="0.25">
      <c r="A294" t="e">
        <f t="shared" si="39"/>
        <v>#VALUE!</v>
      </c>
      <c r="B294" t="e">
        <f t="shared" si="40"/>
        <v>#VALUE!</v>
      </c>
      <c r="D294" s="21" t="str" cm="1">
        <f t="array" ref="D294">IF(ROWS($D$7:D294)&gt;COUNTIF('[1]U$S'!$H$5:$H$1008,$L$5),"",INDEX(CuentaUS,_xlfn.AGGREGATE(15,6,ROW('[1]U$S'!$H$5:$H$1008)-ROW('[1]U$S'!$O$5)+1/--('[1]U$S'!$H$5:$H$1008=$L$5),ROWS($D$7:D294)),1))</f>
        <v/>
      </c>
      <c r="E294" s="22" t="str" cm="1">
        <f t="array" ref="E294">IF(ROWS($E$7:E294)&gt;COUNTIF('[1]U$S'!$H$5:$H$1008,$L$5),"",INDEX(CuentaUS,_xlfn.AGGREGATE(15,6,ROW('[1]U$S'!$H$5:$H$1008)-ROW('[1]U$S'!$O$5)+1/--('[1]U$S'!$H$5:$H$1008=$L$5),ROWS($E$7:E294)),6))</f>
        <v/>
      </c>
      <c r="F294" s="22" t="str">
        <f>IF(E294="","",IF(E294&gt;0,SUMIFS('[1]UY$'!$L$5:$L$993,'[1]UY$'!$O$5:$O$993,"Cambio",'[1]UY$'!$E$5:$E$993,'Efecto TC'!D294),""))</f>
        <v/>
      </c>
      <c r="G294" s="23" t="str">
        <f t="shared" si="43"/>
        <v/>
      </c>
      <c r="H294" s="22" t="str">
        <f t="shared" si="44"/>
        <v/>
      </c>
      <c r="I294" s="54" t="str">
        <f t="shared" si="41"/>
        <v/>
      </c>
      <c r="R294" s="24" t="e">
        <f t="shared" si="45"/>
        <v>#VALUE!</v>
      </c>
      <c r="S294" s="25" t="e">
        <f t="shared" si="42"/>
        <v>#VALUE!</v>
      </c>
    </row>
    <row r="295" spans="1:19" x14ac:dyDescent="0.25">
      <c r="A295" t="e">
        <f t="shared" si="39"/>
        <v>#VALUE!</v>
      </c>
      <c r="B295" t="e">
        <f t="shared" si="40"/>
        <v>#VALUE!</v>
      </c>
      <c r="D295" s="21" t="str" cm="1">
        <f t="array" ref="D295">IF(ROWS($D$7:D295)&gt;COUNTIF('[1]U$S'!$H$5:$H$1008,$L$5),"",INDEX(CuentaUS,_xlfn.AGGREGATE(15,6,ROW('[1]U$S'!$H$5:$H$1008)-ROW('[1]U$S'!$O$5)+1/--('[1]U$S'!$H$5:$H$1008=$L$5),ROWS($D$7:D295)),1))</f>
        <v/>
      </c>
      <c r="E295" s="22" t="str" cm="1">
        <f t="array" ref="E295">IF(ROWS($E$7:E295)&gt;COUNTIF('[1]U$S'!$H$5:$H$1008,$L$5),"",INDEX(CuentaUS,_xlfn.AGGREGATE(15,6,ROW('[1]U$S'!$H$5:$H$1008)-ROW('[1]U$S'!$O$5)+1/--('[1]U$S'!$H$5:$H$1008=$L$5),ROWS($E$7:E295)),6))</f>
        <v/>
      </c>
      <c r="F295" s="22" t="str">
        <f>IF(E295="","",IF(E295&gt;0,SUMIFS('[1]UY$'!$L$5:$L$993,'[1]UY$'!$O$5:$O$993,"Cambio",'[1]UY$'!$E$5:$E$993,'Efecto TC'!D295),""))</f>
        <v/>
      </c>
      <c r="G295" s="23" t="str">
        <f t="shared" si="43"/>
        <v/>
      </c>
      <c r="H295" s="22" t="str">
        <f t="shared" si="44"/>
        <v/>
      </c>
      <c r="I295" s="54" t="str">
        <f t="shared" si="41"/>
        <v/>
      </c>
      <c r="R295" s="24" t="e">
        <f t="shared" si="45"/>
        <v>#VALUE!</v>
      </c>
      <c r="S295" s="25" t="e">
        <f t="shared" si="42"/>
        <v>#VALUE!</v>
      </c>
    </row>
    <row r="296" spans="1:19" x14ac:dyDescent="0.25">
      <c r="A296" t="e">
        <f t="shared" si="39"/>
        <v>#VALUE!</v>
      </c>
      <c r="B296" t="e">
        <f t="shared" si="40"/>
        <v>#VALUE!</v>
      </c>
      <c r="D296" s="21" t="str" cm="1">
        <f t="array" ref="D296">IF(ROWS($D$7:D296)&gt;COUNTIF('[1]U$S'!$H$5:$H$1008,$L$5),"",INDEX(CuentaUS,_xlfn.AGGREGATE(15,6,ROW('[1]U$S'!$H$5:$H$1008)-ROW('[1]U$S'!$O$5)+1/--('[1]U$S'!$H$5:$H$1008=$L$5),ROWS($D$7:D296)),1))</f>
        <v/>
      </c>
      <c r="E296" s="22" t="str" cm="1">
        <f t="array" ref="E296">IF(ROWS($E$7:E296)&gt;COUNTIF('[1]U$S'!$H$5:$H$1008,$L$5),"",INDEX(CuentaUS,_xlfn.AGGREGATE(15,6,ROW('[1]U$S'!$H$5:$H$1008)-ROW('[1]U$S'!$O$5)+1/--('[1]U$S'!$H$5:$H$1008=$L$5),ROWS($E$7:E296)),6))</f>
        <v/>
      </c>
      <c r="F296" s="22" t="str">
        <f>IF(E296="","",IF(E296&gt;0,SUMIFS('[1]UY$'!$L$5:$L$993,'[1]UY$'!$O$5:$O$993,"Cambio",'[1]UY$'!$E$5:$E$993,'Efecto TC'!D296),""))</f>
        <v/>
      </c>
      <c r="G296" s="23" t="str">
        <f t="shared" si="43"/>
        <v/>
      </c>
      <c r="H296" s="22" t="str">
        <f t="shared" si="44"/>
        <v/>
      </c>
      <c r="I296" s="54" t="str">
        <f t="shared" si="41"/>
        <v/>
      </c>
      <c r="R296" s="24" t="e">
        <f t="shared" si="45"/>
        <v>#VALUE!</v>
      </c>
      <c r="S296" s="25" t="e">
        <f t="shared" si="42"/>
        <v>#VALUE!</v>
      </c>
    </row>
    <row r="297" spans="1:19" x14ac:dyDescent="0.25">
      <c r="A297" t="e">
        <f t="shared" si="39"/>
        <v>#VALUE!</v>
      </c>
      <c r="B297" t="e">
        <f t="shared" si="40"/>
        <v>#VALUE!</v>
      </c>
      <c r="D297" s="21" t="str" cm="1">
        <f t="array" ref="D297">IF(ROWS($D$7:D297)&gt;COUNTIF('[1]U$S'!$H$5:$H$1008,$L$5),"",INDEX(CuentaUS,_xlfn.AGGREGATE(15,6,ROW('[1]U$S'!$H$5:$H$1008)-ROW('[1]U$S'!$O$5)+1/--('[1]U$S'!$H$5:$H$1008=$L$5),ROWS($D$7:D297)),1))</f>
        <v/>
      </c>
      <c r="E297" s="22" t="str" cm="1">
        <f t="array" ref="E297">IF(ROWS($E$7:E297)&gt;COUNTIF('[1]U$S'!$H$5:$H$1008,$L$5),"",INDEX(CuentaUS,_xlfn.AGGREGATE(15,6,ROW('[1]U$S'!$H$5:$H$1008)-ROW('[1]U$S'!$O$5)+1/--('[1]U$S'!$H$5:$H$1008=$L$5),ROWS($E$7:E297)),6))</f>
        <v/>
      </c>
      <c r="F297" s="22" t="str">
        <f>IF(E297="","",IF(E297&gt;0,SUMIFS('[1]UY$'!$L$5:$L$993,'[1]UY$'!$O$5:$O$993,"Cambio",'[1]UY$'!$E$5:$E$993,'Efecto TC'!D297),""))</f>
        <v/>
      </c>
      <c r="G297" s="23" t="str">
        <f t="shared" si="43"/>
        <v/>
      </c>
      <c r="H297" s="22" t="str">
        <f t="shared" si="44"/>
        <v/>
      </c>
      <c r="I297" s="54" t="str">
        <f t="shared" si="41"/>
        <v/>
      </c>
      <c r="R297" s="24" t="e">
        <f t="shared" si="45"/>
        <v>#VALUE!</v>
      </c>
      <c r="S297" s="25" t="e">
        <f t="shared" si="42"/>
        <v>#VALUE!</v>
      </c>
    </row>
    <row r="298" spans="1:19" x14ac:dyDescent="0.25">
      <c r="A298" t="e">
        <f t="shared" si="39"/>
        <v>#VALUE!</v>
      </c>
      <c r="B298" t="e">
        <f t="shared" si="40"/>
        <v>#VALUE!</v>
      </c>
      <c r="D298" s="21" t="str" cm="1">
        <f t="array" ref="D298">IF(ROWS($D$7:D298)&gt;COUNTIF('[1]U$S'!$H$5:$H$1008,$L$5),"",INDEX(CuentaUS,_xlfn.AGGREGATE(15,6,ROW('[1]U$S'!$H$5:$H$1008)-ROW('[1]U$S'!$O$5)+1/--('[1]U$S'!$H$5:$H$1008=$L$5),ROWS($D$7:D298)),1))</f>
        <v/>
      </c>
      <c r="E298" s="22" t="str" cm="1">
        <f t="array" ref="E298">IF(ROWS($E$7:E298)&gt;COUNTIF('[1]U$S'!$H$5:$H$1008,$L$5),"",INDEX(CuentaUS,_xlfn.AGGREGATE(15,6,ROW('[1]U$S'!$H$5:$H$1008)-ROW('[1]U$S'!$O$5)+1/--('[1]U$S'!$H$5:$H$1008=$L$5),ROWS($E$7:E298)),6))</f>
        <v/>
      </c>
      <c r="F298" s="22" t="str">
        <f>IF(E298="","",IF(E298&gt;0,SUMIFS('[1]UY$'!$L$5:$L$993,'[1]UY$'!$O$5:$O$993,"Cambio",'[1]UY$'!$E$5:$E$993,'Efecto TC'!D298),""))</f>
        <v/>
      </c>
      <c r="G298" s="23" t="str">
        <f t="shared" si="43"/>
        <v/>
      </c>
      <c r="H298" s="22" t="str">
        <f t="shared" si="44"/>
        <v/>
      </c>
      <c r="I298" s="54" t="str">
        <f t="shared" si="41"/>
        <v/>
      </c>
      <c r="R298" s="24" t="e">
        <f t="shared" si="45"/>
        <v>#VALUE!</v>
      </c>
      <c r="S298" s="25" t="e">
        <f t="shared" si="42"/>
        <v>#VALUE!</v>
      </c>
    </row>
    <row r="299" spans="1:19" x14ac:dyDescent="0.25">
      <c r="A299" t="e">
        <f t="shared" si="39"/>
        <v>#VALUE!</v>
      </c>
      <c r="B299" t="e">
        <f t="shared" si="40"/>
        <v>#VALUE!</v>
      </c>
      <c r="D299" s="21" t="str" cm="1">
        <f t="array" ref="D299">IF(ROWS($D$7:D299)&gt;COUNTIF('[1]U$S'!$H$5:$H$1008,$L$5),"",INDEX(CuentaUS,_xlfn.AGGREGATE(15,6,ROW('[1]U$S'!$H$5:$H$1008)-ROW('[1]U$S'!$O$5)+1/--('[1]U$S'!$H$5:$H$1008=$L$5),ROWS($D$7:D299)),1))</f>
        <v/>
      </c>
      <c r="E299" s="22" t="str" cm="1">
        <f t="array" ref="E299">IF(ROWS($E$7:E299)&gt;COUNTIF('[1]U$S'!$H$5:$H$1008,$L$5),"",INDEX(CuentaUS,_xlfn.AGGREGATE(15,6,ROW('[1]U$S'!$H$5:$H$1008)-ROW('[1]U$S'!$O$5)+1/--('[1]U$S'!$H$5:$H$1008=$L$5),ROWS($E$7:E299)),6))</f>
        <v/>
      </c>
      <c r="F299" s="22" t="str">
        <f>IF(E299="","",IF(E299&gt;0,SUMIFS('[1]UY$'!$L$5:$L$993,'[1]UY$'!$O$5:$O$993,"Cambio",'[1]UY$'!$E$5:$E$993,'Efecto TC'!D299),""))</f>
        <v/>
      </c>
      <c r="G299" s="23" t="str">
        <f t="shared" si="43"/>
        <v/>
      </c>
      <c r="H299" s="22" t="str">
        <f t="shared" si="44"/>
        <v/>
      </c>
      <c r="I299" s="54" t="str">
        <f t="shared" si="41"/>
        <v/>
      </c>
      <c r="R299" s="24" t="e">
        <f t="shared" si="45"/>
        <v>#VALUE!</v>
      </c>
      <c r="S299" s="25" t="e">
        <f t="shared" si="42"/>
        <v>#VALUE!</v>
      </c>
    </row>
    <row r="300" spans="1:19" x14ac:dyDescent="0.25">
      <c r="A300" t="e">
        <f t="shared" si="39"/>
        <v>#VALUE!</v>
      </c>
      <c r="B300" t="e">
        <f t="shared" si="40"/>
        <v>#VALUE!</v>
      </c>
      <c r="D300" s="21" t="str" cm="1">
        <f t="array" ref="D300">IF(ROWS($D$7:D300)&gt;COUNTIF('[1]U$S'!$H$5:$H$1008,$L$5),"",INDEX(CuentaUS,_xlfn.AGGREGATE(15,6,ROW('[1]U$S'!$H$5:$H$1008)-ROW('[1]U$S'!$O$5)+1/--('[1]U$S'!$H$5:$H$1008=$L$5),ROWS($D$7:D300)),1))</f>
        <v/>
      </c>
      <c r="E300" s="22" t="str" cm="1">
        <f t="array" ref="E300">IF(ROWS($E$7:E300)&gt;COUNTIF('[1]U$S'!$H$5:$H$1008,$L$5),"",INDEX(CuentaUS,_xlfn.AGGREGATE(15,6,ROW('[1]U$S'!$H$5:$H$1008)-ROW('[1]U$S'!$O$5)+1/--('[1]U$S'!$H$5:$H$1008=$L$5),ROWS($E$7:E300)),6))</f>
        <v/>
      </c>
      <c r="F300" s="22" t="str">
        <f>IF(E300="","",IF(E300&gt;0,SUMIFS('[1]UY$'!$L$5:$L$993,'[1]UY$'!$O$5:$O$993,"Cambio",'[1]UY$'!$E$5:$E$993,'Efecto TC'!D300),""))</f>
        <v/>
      </c>
      <c r="G300" s="23" t="str">
        <f t="shared" si="43"/>
        <v/>
      </c>
      <c r="H300" s="22" t="str">
        <f t="shared" si="44"/>
        <v/>
      </c>
      <c r="I300" s="54" t="str">
        <f t="shared" si="41"/>
        <v/>
      </c>
      <c r="R300" s="24" t="e">
        <f t="shared" si="45"/>
        <v>#VALUE!</v>
      </c>
      <c r="S300" s="25" t="e">
        <f t="shared" si="42"/>
        <v>#VALUE!</v>
      </c>
    </row>
    <row r="301" spans="1:19" x14ac:dyDescent="0.25">
      <c r="A301" t="e">
        <f t="shared" si="39"/>
        <v>#VALUE!</v>
      </c>
      <c r="B301" t="e">
        <f t="shared" si="40"/>
        <v>#VALUE!</v>
      </c>
      <c r="D301" s="21" t="str" cm="1">
        <f t="array" ref="D301">IF(ROWS($D$7:D301)&gt;COUNTIF('[1]U$S'!$H$5:$H$1008,$L$5),"",INDEX(CuentaUS,_xlfn.AGGREGATE(15,6,ROW('[1]U$S'!$H$5:$H$1008)-ROW('[1]U$S'!$O$5)+1/--('[1]U$S'!$H$5:$H$1008=$L$5),ROWS($D$7:D301)),1))</f>
        <v/>
      </c>
      <c r="E301" s="22" t="str" cm="1">
        <f t="array" ref="E301">IF(ROWS($E$7:E301)&gt;COUNTIF('[1]U$S'!$H$5:$H$1008,$L$5),"",INDEX(CuentaUS,_xlfn.AGGREGATE(15,6,ROW('[1]U$S'!$H$5:$H$1008)-ROW('[1]U$S'!$O$5)+1/--('[1]U$S'!$H$5:$H$1008=$L$5),ROWS($E$7:E301)),6))</f>
        <v/>
      </c>
      <c r="F301" s="22" t="str">
        <f>IF(E301="","",IF(E301&gt;0,SUMIFS('[1]UY$'!$L$5:$L$993,'[1]UY$'!$O$5:$O$993,"Cambio",'[1]UY$'!$E$5:$E$993,'Efecto TC'!D301),""))</f>
        <v/>
      </c>
      <c r="G301" s="23" t="str">
        <f t="shared" si="43"/>
        <v/>
      </c>
      <c r="H301" s="22" t="str">
        <f t="shared" si="44"/>
        <v/>
      </c>
      <c r="I301" s="54" t="str">
        <f t="shared" si="41"/>
        <v/>
      </c>
      <c r="R301" s="24" t="e">
        <f t="shared" si="45"/>
        <v>#VALUE!</v>
      </c>
      <c r="S301" s="25" t="e">
        <f t="shared" si="42"/>
        <v>#VALUE!</v>
      </c>
    </row>
    <row r="302" spans="1:19" x14ac:dyDescent="0.25">
      <c r="A302" t="e">
        <f t="shared" si="39"/>
        <v>#VALUE!</v>
      </c>
      <c r="B302" t="e">
        <f t="shared" si="40"/>
        <v>#VALUE!</v>
      </c>
      <c r="D302" s="21" t="str" cm="1">
        <f t="array" ref="D302">IF(ROWS($D$7:D302)&gt;COUNTIF('[1]U$S'!$H$5:$H$1008,$L$5),"",INDEX(CuentaUS,_xlfn.AGGREGATE(15,6,ROW('[1]U$S'!$H$5:$H$1008)-ROW('[1]U$S'!$O$5)+1/--('[1]U$S'!$H$5:$H$1008=$L$5),ROWS($D$7:D302)),1))</f>
        <v/>
      </c>
      <c r="E302" s="22" t="str" cm="1">
        <f t="array" ref="E302">IF(ROWS($E$7:E302)&gt;COUNTIF('[1]U$S'!$H$5:$H$1008,$L$5),"",INDEX(CuentaUS,_xlfn.AGGREGATE(15,6,ROW('[1]U$S'!$H$5:$H$1008)-ROW('[1]U$S'!$O$5)+1/--('[1]U$S'!$H$5:$H$1008=$L$5),ROWS($E$7:E302)),6))</f>
        <v/>
      </c>
      <c r="F302" s="22" t="str">
        <f>IF(E302="","",IF(E302&gt;0,SUMIFS('[1]UY$'!$L$5:$L$993,'[1]UY$'!$O$5:$O$993,"Cambio",'[1]UY$'!$E$5:$E$993,'Efecto TC'!D302),""))</f>
        <v/>
      </c>
      <c r="G302" s="23" t="str">
        <f t="shared" si="43"/>
        <v/>
      </c>
      <c r="H302" s="22" t="str">
        <f t="shared" si="44"/>
        <v/>
      </c>
      <c r="I302" s="54" t="str">
        <f t="shared" si="41"/>
        <v/>
      </c>
      <c r="R302" s="24" t="e">
        <f t="shared" si="45"/>
        <v>#VALUE!</v>
      </c>
      <c r="S302" s="25" t="e">
        <f t="shared" si="42"/>
        <v>#VALUE!</v>
      </c>
    </row>
    <row r="303" spans="1:19" x14ac:dyDescent="0.25">
      <c r="A303" t="e">
        <f t="shared" si="39"/>
        <v>#VALUE!</v>
      </c>
      <c r="B303" t="e">
        <f t="shared" si="40"/>
        <v>#VALUE!</v>
      </c>
      <c r="D303" s="21" t="str" cm="1">
        <f t="array" ref="D303">IF(ROWS($D$7:D303)&gt;COUNTIF('[1]U$S'!$H$5:$H$1008,$L$5),"",INDEX(CuentaUS,_xlfn.AGGREGATE(15,6,ROW('[1]U$S'!$H$5:$H$1008)-ROW('[1]U$S'!$O$5)+1/--('[1]U$S'!$H$5:$H$1008=$L$5),ROWS($D$7:D303)),1))</f>
        <v/>
      </c>
      <c r="E303" s="22" t="str" cm="1">
        <f t="array" ref="E303">IF(ROWS($E$7:E303)&gt;COUNTIF('[1]U$S'!$H$5:$H$1008,$L$5),"",INDEX(CuentaUS,_xlfn.AGGREGATE(15,6,ROW('[1]U$S'!$H$5:$H$1008)-ROW('[1]U$S'!$O$5)+1/--('[1]U$S'!$H$5:$H$1008=$L$5),ROWS($E$7:E303)),6))</f>
        <v/>
      </c>
      <c r="F303" s="22" t="str">
        <f>IF(E303="","",IF(E303&gt;0,SUMIFS('[1]UY$'!$L$5:$L$993,'[1]UY$'!$O$5:$O$993,"Cambio",'[1]UY$'!$E$5:$E$993,'Efecto TC'!D303),""))</f>
        <v/>
      </c>
      <c r="G303" s="23" t="str">
        <f t="shared" si="43"/>
        <v/>
      </c>
      <c r="H303" s="22" t="str">
        <f t="shared" si="44"/>
        <v/>
      </c>
      <c r="I303" s="54" t="str">
        <f t="shared" si="41"/>
        <v/>
      </c>
      <c r="R303" s="24" t="e">
        <f t="shared" si="45"/>
        <v>#VALUE!</v>
      </c>
      <c r="S303" s="25" t="e">
        <f t="shared" si="42"/>
        <v>#VALUE!</v>
      </c>
    </row>
    <row r="304" spans="1:19" x14ac:dyDescent="0.25">
      <c r="A304" t="e">
        <f t="shared" si="39"/>
        <v>#VALUE!</v>
      </c>
      <c r="B304" t="e">
        <f t="shared" si="40"/>
        <v>#VALUE!</v>
      </c>
      <c r="D304" s="21" t="str" cm="1">
        <f t="array" ref="D304">IF(ROWS($D$7:D304)&gt;COUNTIF('[1]U$S'!$H$5:$H$1008,$L$5),"",INDEX(CuentaUS,_xlfn.AGGREGATE(15,6,ROW('[1]U$S'!$H$5:$H$1008)-ROW('[1]U$S'!$O$5)+1/--('[1]U$S'!$H$5:$H$1008=$L$5),ROWS($D$7:D304)),1))</f>
        <v/>
      </c>
      <c r="E304" s="22" t="str" cm="1">
        <f t="array" ref="E304">IF(ROWS($E$7:E304)&gt;COUNTIF('[1]U$S'!$H$5:$H$1008,$L$5),"",INDEX(CuentaUS,_xlfn.AGGREGATE(15,6,ROW('[1]U$S'!$H$5:$H$1008)-ROW('[1]U$S'!$O$5)+1/--('[1]U$S'!$H$5:$H$1008=$L$5),ROWS($E$7:E304)),6))</f>
        <v/>
      </c>
      <c r="F304" s="22" t="str">
        <f>IF(E304="","",IF(E304&gt;0,SUMIFS('[1]UY$'!$L$5:$L$993,'[1]UY$'!$O$5:$O$993,"Cambio",'[1]UY$'!$E$5:$E$993,'Efecto TC'!D304),""))</f>
        <v/>
      </c>
      <c r="G304" s="23" t="str">
        <f t="shared" si="43"/>
        <v/>
      </c>
      <c r="H304" s="22" t="str">
        <f t="shared" si="44"/>
        <v/>
      </c>
      <c r="I304" s="54" t="str">
        <f t="shared" si="41"/>
        <v/>
      </c>
      <c r="R304" s="24" t="e">
        <f t="shared" si="45"/>
        <v>#VALUE!</v>
      </c>
      <c r="S304" s="25" t="e">
        <f t="shared" si="42"/>
        <v>#VALUE!</v>
      </c>
    </row>
    <row r="305" spans="1:19" x14ac:dyDescent="0.25">
      <c r="A305" t="e">
        <f t="shared" si="39"/>
        <v>#VALUE!</v>
      </c>
      <c r="B305" t="e">
        <f t="shared" si="40"/>
        <v>#VALUE!</v>
      </c>
      <c r="D305" s="21" t="str" cm="1">
        <f t="array" ref="D305">IF(ROWS($D$7:D305)&gt;COUNTIF('[1]U$S'!$H$5:$H$1008,$L$5),"",INDEX(CuentaUS,_xlfn.AGGREGATE(15,6,ROW('[1]U$S'!$H$5:$H$1008)-ROW('[1]U$S'!$O$5)+1/--('[1]U$S'!$H$5:$H$1008=$L$5),ROWS($D$7:D305)),1))</f>
        <v/>
      </c>
      <c r="E305" s="22" t="str" cm="1">
        <f t="array" ref="E305">IF(ROWS($E$7:E305)&gt;COUNTIF('[1]U$S'!$H$5:$H$1008,$L$5),"",INDEX(CuentaUS,_xlfn.AGGREGATE(15,6,ROW('[1]U$S'!$H$5:$H$1008)-ROW('[1]U$S'!$O$5)+1/--('[1]U$S'!$H$5:$H$1008=$L$5),ROWS($E$7:E305)),6))</f>
        <v/>
      </c>
      <c r="F305" s="22" t="str">
        <f>IF(E305="","",IF(E305&gt;0,SUMIFS('[1]UY$'!$L$5:$L$993,'[1]UY$'!$O$5:$O$993,"Cambio",'[1]UY$'!$E$5:$E$993,'Efecto TC'!D305),""))</f>
        <v/>
      </c>
      <c r="G305" s="23" t="str">
        <f t="shared" si="43"/>
        <v/>
      </c>
      <c r="H305" s="22" t="str">
        <f t="shared" si="44"/>
        <v/>
      </c>
      <c r="I305" s="54" t="str">
        <f t="shared" si="41"/>
        <v/>
      </c>
      <c r="R305" s="24" t="e">
        <f t="shared" si="45"/>
        <v>#VALUE!</v>
      </c>
      <c r="S305" s="25" t="e">
        <f t="shared" si="42"/>
        <v>#VALUE!</v>
      </c>
    </row>
    <row r="306" spans="1:19" x14ac:dyDescent="0.25">
      <c r="A306" t="e">
        <f t="shared" si="39"/>
        <v>#VALUE!</v>
      </c>
      <c r="B306" t="e">
        <f t="shared" si="40"/>
        <v>#VALUE!</v>
      </c>
      <c r="D306" s="21" t="str" cm="1">
        <f t="array" ref="D306">IF(ROWS($D$7:D306)&gt;COUNTIF('[1]U$S'!$H$5:$H$1008,$L$5),"",INDEX(CuentaUS,_xlfn.AGGREGATE(15,6,ROW('[1]U$S'!$H$5:$H$1008)-ROW('[1]U$S'!$O$5)+1/--('[1]U$S'!$H$5:$H$1008=$L$5),ROWS($D$7:D306)),1))</f>
        <v/>
      </c>
      <c r="E306" s="22" t="str" cm="1">
        <f t="array" ref="E306">IF(ROWS($E$7:E306)&gt;COUNTIF('[1]U$S'!$H$5:$H$1008,$L$5),"",INDEX(CuentaUS,_xlfn.AGGREGATE(15,6,ROW('[1]U$S'!$H$5:$H$1008)-ROW('[1]U$S'!$O$5)+1/--('[1]U$S'!$H$5:$H$1008=$L$5),ROWS($E$7:E306)),6))</f>
        <v/>
      </c>
      <c r="F306" s="22" t="str">
        <f>IF(E306="","",IF(E306&gt;0,SUMIFS('[1]UY$'!$L$5:$L$993,'[1]UY$'!$O$5:$O$993,"Cambio",'[1]UY$'!$E$5:$E$993,'Efecto TC'!D306),""))</f>
        <v/>
      </c>
      <c r="G306" s="23" t="str">
        <f t="shared" si="43"/>
        <v/>
      </c>
      <c r="H306" s="22" t="str">
        <f t="shared" si="44"/>
        <v/>
      </c>
      <c r="I306" s="54" t="str">
        <f t="shared" si="41"/>
        <v/>
      </c>
      <c r="R306" s="24" t="e">
        <f t="shared" si="45"/>
        <v>#VALUE!</v>
      </c>
      <c r="S306" s="25" t="e">
        <f t="shared" si="42"/>
        <v>#VALUE!</v>
      </c>
    </row>
    <row r="307" spans="1:19" x14ac:dyDescent="0.25">
      <c r="A307" t="e">
        <f t="shared" si="39"/>
        <v>#VALUE!</v>
      </c>
      <c r="B307" t="e">
        <f t="shared" si="40"/>
        <v>#VALUE!</v>
      </c>
      <c r="D307" s="21" t="str" cm="1">
        <f t="array" ref="D307">IF(ROWS($D$7:D307)&gt;COUNTIF('[1]U$S'!$H$5:$H$1008,$L$5),"",INDEX(CuentaUS,_xlfn.AGGREGATE(15,6,ROW('[1]U$S'!$H$5:$H$1008)-ROW('[1]U$S'!$O$5)+1/--('[1]U$S'!$H$5:$H$1008=$L$5),ROWS($D$7:D307)),1))</f>
        <v/>
      </c>
      <c r="E307" s="22" t="str" cm="1">
        <f t="array" ref="E307">IF(ROWS($E$7:E307)&gt;COUNTIF('[1]U$S'!$H$5:$H$1008,$L$5),"",INDEX(CuentaUS,_xlfn.AGGREGATE(15,6,ROW('[1]U$S'!$H$5:$H$1008)-ROW('[1]U$S'!$O$5)+1/--('[1]U$S'!$H$5:$H$1008=$L$5),ROWS($E$7:E307)),6))</f>
        <v/>
      </c>
      <c r="F307" s="22" t="str">
        <f>IF(E307="","",IF(E307&gt;0,SUMIFS('[1]UY$'!$L$5:$L$993,'[1]UY$'!$O$5:$O$993,"Cambio",'[1]UY$'!$E$5:$E$993,'Efecto TC'!D307),""))</f>
        <v/>
      </c>
      <c r="G307" s="23" t="str">
        <f t="shared" si="43"/>
        <v/>
      </c>
      <c r="H307" s="22" t="str">
        <f t="shared" si="44"/>
        <v/>
      </c>
      <c r="I307" s="54" t="str">
        <f t="shared" si="41"/>
        <v/>
      </c>
      <c r="R307" s="24" t="e">
        <f t="shared" si="45"/>
        <v>#VALUE!</v>
      </c>
      <c r="S307" s="25" t="e">
        <f t="shared" si="42"/>
        <v>#VALUE!</v>
      </c>
    </row>
    <row r="308" spans="1:19" x14ac:dyDescent="0.25">
      <c r="A308" t="e">
        <f t="shared" si="39"/>
        <v>#VALUE!</v>
      </c>
      <c r="B308" t="e">
        <f t="shared" si="40"/>
        <v>#VALUE!</v>
      </c>
      <c r="D308" s="21" t="str" cm="1">
        <f t="array" ref="D308">IF(ROWS($D$7:D308)&gt;COUNTIF('[1]U$S'!$H$5:$H$1008,$L$5),"",INDEX(CuentaUS,_xlfn.AGGREGATE(15,6,ROW('[1]U$S'!$H$5:$H$1008)-ROW('[1]U$S'!$O$5)+1/--('[1]U$S'!$H$5:$H$1008=$L$5),ROWS($D$7:D308)),1))</f>
        <v/>
      </c>
      <c r="E308" s="22" t="str" cm="1">
        <f t="array" ref="E308">IF(ROWS($E$7:E308)&gt;COUNTIF('[1]U$S'!$H$5:$H$1008,$L$5),"",INDEX(CuentaUS,_xlfn.AGGREGATE(15,6,ROW('[1]U$S'!$H$5:$H$1008)-ROW('[1]U$S'!$O$5)+1/--('[1]U$S'!$H$5:$H$1008=$L$5),ROWS($E$7:E308)),6))</f>
        <v/>
      </c>
      <c r="F308" s="22" t="str">
        <f>IF(E308="","",IF(E308&gt;0,SUMIFS('[1]UY$'!$L$5:$L$993,'[1]UY$'!$O$5:$O$993,"Cambio",'[1]UY$'!$E$5:$E$993,'Efecto TC'!D308),""))</f>
        <v/>
      </c>
      <c r="G308" s="23" t="str">
        <f t="shared" si="43"/>
        <v/>
      </c>
      <c r="H308" s="22" t="str">
        <f t="shared" si="44"/>
        <v/>
      </c>
      <c r="I308" s="54" t="str">
        <f t="shared" si="41"/>
        <v/>
      </c>
      <c r="R308" s="24" t="e">
        <f t="shared" si="45"/>
        <v>#VALUE!</v>
      </c>
      <c r="S308" s="25" t="e">
        <f t="shared" si="42"/>
        <v>#VALUE!</v>
      </c>
    </row>
    <row r="309" spans="1:19" x14ac:dyDescent="0.25">
      <c r="A309" t="e">
        <f t="shared" si="39"/>
        <v>#VALUE!</v>
      </c>
      <c r="B309" t="e">
        <f t="shared" si="40"/>
        <v>#VALUE!</v>
      </c>
      <c r="D309" s="21" t="str" cm="1">
        <f t="array" ref="D309">IF(ROWS($D$7:D309)&gt;COUNTIF('[1]U$S'!$H$5:$H$1008,$L$5),"",INDEX(CuentaUS,_xlfn.AGGREGATE(15,6,ROW('[1]U$S'!$H$5:$H$1008)-ROW('[1]U$S'!$O$5)+1/--('[1]U$S'!$H$5:$H$1008=$L$5),ROWS($D$7:D309)),1))</f>
        <v/>
      </c>
      <c r="E309" s="22" t="str" cm="1">
        <f t="array" ref="E309">IF(ROWS($E$7:E309)&gt;COUNTIF('[1]U$S'!$H$5:$H$1008,$L$5),"",INDEX(CuentaUS,_xlfn.AGGREGATE(15,6,ROW('[1]U$S'!$H$5:$H$1008)-ROW('[1]U$S'!$O$5)+1/--('[1]U$S'!$H$5:$H$1008=$L$5),ROWS($E$7:E309)),6))</f>
        <v/>
      </c>
      <c r="F309" s="22" t="str">
        <f>IF(E309="","",IF(E309&gt;0,SUMIFS('[1]UY$'!$L$5:$L$993,'[1]UY$'!$O$5:$O$993,"Cambio",'[1]UY$'!$E$5:$E$993,'Efecto TC'!D309),""))</f>
        <v/>
      </c>
      <c r="G309" s="23" t="str">
        <f t="shared" si="43"/>
        <v/>
      </c>
      <c r="H309" s="22" t="str">
        <f t="shared" si="44"/>
        <v/>
      </c>
      <c r="I309" s="54" t="str">
        <f t="shared" si="41"/>
        <v/>
      </c>
      <c r="R309" s="24" t="e">
        <f t="shared" si="45"/>
        <v>#VALUE!</v>
      </c>
      <c r="S309" s="25" t="e">
        <f t="shared" si="42"/>
        <v>#VALUE!</v>
      </c>
    </row>
    <row r="310" spans="1:19" x14ac:dyDescent="0.25">
      <c r="A310" t="e">
        <f t="shared" si="39"/>
        <v>#VALUE!</v>
      </c>
      <c r="B310" t="e">
        <f t="shared" si="40"/>
        <v>#VALUE!</v>
      </c>
      <c r="D310" s="21" t="str" cm="1">
        <f t="array" ref="D310">IF(ROWS($D$7:D310)&gt;COUNTIF('[1]U$S'!$H$5:$H$1008,$L$5),"",INDEX(CuentaUS,_xlfn.AGGREGATE(15,6,ROW('[1]U$S'!$H$5:$H$1008)-ROW('[1]U$S'!$O$5)+1/--('[1]U$S'!$H$5:$H$1008=$L$5),ROWS($D$7:D310)),1))</f>
        <v/>
      </c>
      <c r="E310" s="22" t="str" cm="1">
        <f t="array" ref="E310">IF(ROWS($E$7:E310)&gt;COUNTIF('[1]U$S'!$H$5:$H$1008,$L$5),"",INDEX(CuentaUS,_xlfn.AGGREGATE(15,6,ROW('[1]U$S'!$H$5:$H$1008)-ROW('[1]U$S'!$O$5)+1/--('[1]U$S'!$H$5:$H$1008=$L$5),ROWS($E$7:E310)),6))</f>
        <v/>
      </c>
      <c r="F310" s="22" t="str">
        <f>IF(E310="","",IF(E310&gt;0,SUMIFS('[1]UY$'!$L$5:$L$993,'[1]UY$'!$O$5:$O$993,"Cambio",'[1]UY$'!$E$5:$E$993,'Efecto TC'!D310),""))</f>
        <v/>
      </c>
      <c r="G310" s="23" t="str">
        <f t="shared" si="43"/>
        <v/>
      </c>
      <c r="H310" s="22" t="str">
        <f t="shared" si="44"/>
        <v/>
      </c>
      <c r="I310" s="54" t="str">
        <f t="shared" si="41"/>
        <v/>
      </c>
      <c r="R310" s="24" t="e">
        <f t="shared" si="45"/>
        <v>#VALUE!</v>
      </c>
      <c r="S310" s="25" t="e">
        <f t="shared" si="42"/>
        <v>#VALUE!</v>
      </c>
    </row>
    <row r="311" spans="1:19" x14ac:dyDescent="0.25">
      <c r="A311" t="e">
        <f t="shared" si="39"/>
        <v>#VALUE!</v>
      </c>
      <c r="B311" t="e">
        <f t="shared" si="40"/>
        <v>#VALUE!</v>
      </c>
      <c r="D311" s="21" t="str" cm="1">
        <f t="array" ref="D311">IF(ROWS($D$7:D311)&gt;COUNTIF('[1]U$S'!$H$5:$H$1008,$L$5),"",INDEX(CuentaUS,_xlfn.AGGREGATE(15,6,ROW('[1]U$S'!$H$5:$H$1008)-ROW('[1]U$S'!$O$5)+1/--('[1]U$S'!$H$5:$H$1008=$L$5),ROWS($D$7:D311)),1))</f>
        <v/>
      </c>
      <c r="E311" s="22" t="str" cm="1">
        <f t="array" ref="E311">IF(ROWS($E$7:E311)&gt;COUNTIF('[1]U$S'!$H$5:$H$1008,$L$5),"",INDEX(CuentaUS,_xlfn.AGGREGATE(15,6,ROW('[1]U$S'!$H$5:$H$1008)-ROW('[1]U$S'!$O$5)+1/--('[1]U$S'!$H$5:$H$1008=$L$5),ROWS($E$7:E311)),6))</f>
        <v/>
      </c>
      <c r="F311" s="22" t="str">
        <f>IF(E311="","",IF(E311&gt;0,SUMIFS('[1]UY$'!$L$5:$L$993,'[1]UY$'!$O$5:$O$993,"Cambio",'[1]UY$'!$E$5:$E$993,'Efecto TC'!D311),""))</f>
        <v/>
      </c>
      <c r="G311" s="23" t="str">
        <f t="shared" si="43"/>
        <v/>
      </c>
      <c r="H311" s="22" t="str">
        <f t="shared" si="44"/>
        <v/>
      </c>
      <c r="I311" s="54" t="str">
        <f t="shared" si="41"/>
        <v/>
      </c>
      <c r="R311" s="24" t="e">
        <f t="shared" si="45"/>
        <v>#VALUE!</v>
      </c>
      <c r="S311" s="25" t="e">
        <f t="shared" si="42"/>
        <v>#VALUE!</v>
      </c>
    </row>
    <row r="312" spans="1:19" x14ac:dyDescent="0.25">
      <c r="A312" t="e">
        <f t="shared" si="39"/>
        <v>#VALUE!</v>
      </c>
      <c r="B312" t="e">
        <f t="shared" si="40"/>
        <v>#VALUE!</v>
      </c>
      <c r="D312" s="21" t="str" cm="1">
        <f t="array" ref="D312">IF(ROWS($D$7:D312)&gt;COUNTIF('[1]U$S'!$H$5:$H$1008,$L$5),"",INDEX(CuentaUS,_xlfn.AGGREGATE(15,6,ROW('[1]U$S'!$H$5:$H$1008)-ROW('[1]U$S'!$O$5)+1/--('[1]U$S'!$H$5:$H$1008=$L$5),ROWS($D$7:D312)),1))</f>
        <v/>
      </c>
      <c r="E312" s="22" t="str" cm="1">
        <f t="array" ref="E312">IF(ROWS($E$7:E312)&gt;COUNTIF('[1]U$S'!$H$5:$H$1008,$L$5),"",INDEX(CuentaUS,_xlfn.AGGREGATE(15,6,ROW('[1]U$S'!$H$5:$H$1008)-ROW('[1]U$S'!$O$5)+1/--('[1]U$S'!$H$5:$H$1008=$L$5),ROWS($E$7:E312)),6))</f>
        <v/>
      </c>
      <c r="F312" s="22" t="str">
        <f>IF(E312="","",IF(E312&gt;0,SUMIFS('[1]UY$'!$L$5:$L$993,'[1]UY$'!$O$5:$O$993,"Cambio",'[1]UY$'!$E$5:$E$993,'Efecto TC'!D312),""))</f>
        <v/>
      </c>
      <c r="G312" s="23" t="str">
        <f t="shared" si="43"/>
        <v/>
      </c>
      <c r="H312" s="22" t="str">
        <f t="shared" si="44"/>
        <v/>
      </c>
      <c r="I312" s="54" t="str">
        <f t="shared" si="41"/>
        <v/>
      </c>
      <c r="R312" s="24" t="e">
        <f t="shared" si="45"/>
        <v>#VALUE!</v>
      </c>
      <c r="S312" s="25" t="e">
        <f t="shared" si="42"/>
        <v>#VALUE!</v>
      </c>
    </row>
    <row r="313" spans="1:19" x14ac:dyDescent="0.25">
      <c r="A313" t="e">
        <f t="shared" si="39"/>
        <v>#VALUE!</v>
      </c>
      <c r="B313" t="e">
        <f t="shared" si="40"/>
        <v>#VALUE!</v>
      </c>
      <c r="D313" s="21" t="str" cm="1">
        <f t="array" ref="D313">IF(ROWS($D$7:D313)&gt;COUNTIF('[1]U$S'!$H$5:$H$1008,$L$5),"",INDEX(CuentaUS,_xlfn.AGGREGATE(15,6,ROW('[1]U$S'!$H$5:$H$1008)-ROW('[1]U$S'!$O$5)+1/--('[1]U$S'!$H$5:$H$1008=$L$5),ROWS($D$7:D313)),1))</f>
        <v/>
      </c>
      <c r="E313" s="22" t="str" cm="1">
        <f t="array" ref="E313">IF(ROWS($E$7:E313)&gt;COUNTIF('[1]U$S'!$H$5:$H$1008,$L$5),"",INDEX(CuentaUS,_xlfn.AGGREGATE(15,6,ROW('[1]U$S'!$H$5:$H$1008)-ROW('[1]U$S'!$O$5)+1/--('[1]U$S'!$H$5:$H$1008=$L$5),ROWS($E$7:E313)),6))</f>
        <v/>
      </c>
      <c r="F313" s="22" t="str">
        <f>IF(E313="","",IF(E313&gt;0,SUMIFS('[1]UY$'!$L$5:$L$993,'[1]UY$'!$O$5:$O$993,"Cambio",'[1]UY$'!$E$5:$E$993,'Efecto TC'!D313),""))</f>
        <v/>
      </c>
      <c r="G313" s="23" t="str">
        <f t="shared" si="43"/>
        <v/>
      </c>
      <c r="H313" s="22" t="str">
        <f t="shared" si="44"/>
        <v/>
      </c>
      <c r="I313" s="54" t="str">
        <f t="shared" si="41"/>
        <v/>
      </c>
      <c r="R313" s="24" t="e">
        <f t="shared" si="45"/>
        <v>#VALUE!</v>
      </c>
      <c r="S313" s="25" t="e">
        <f t="shared" si="42"/>
        <v>#VALUE!</v>
      </c>
    </row>
    <row r="314" spans="1:19" x14ac:dyDescent="0.25">
      <c r="A314" t="e">
        <f t="shared" si="39"/>
        <v>#VALUE!</v>
      </c>
      <c r="B314" t="e">
        <f t="shared" si="40"/>
        <v>#VALUE!</v>
      </c>
      <c r="D314" s="21" t="str" cm="1">
        <f t="array" ref="D314">IF(ROWS($D$7:D314)&gt;COUNTIF('[1]U$S'!$H$5:$H$1008,$L$5),"",INDEX(CuentaUS,_xlfn.AGGREGATE(15,6,ROW('[1]U$S'!$H$5:$H$1008)-ROW('[1]U$S'!$O$5)+1/--('[1]U$S'!$H$5:$H$1008=$L$5),ROWS($D$7:D314)),1))</f>
        <v/>
      </c>
      <c r="E314" s="22" t="str" cm="1">
        <f t="array" ref="E314">IF(ROWS($E$7:E314)&gt;COUNTIF('[1]U$S'!$H$5:$H$1008,$L$5),"",INDEX(CuentaUS,_xlfn.AGGREGATE(15,6,ROW('[1]U$S'!$H$5:$H$1008)-ROW('[1]U$S'!$O$5)+1/--('[1]U$S'!$H$5:$H$1008=$L$5),ROWS($E$7:E314)),6))</f>
        <v/>
      </c>
      <c r="F314" s="22" t="str">
        <f>IF(E314="","",IF(E314&gt;0,SUMIFS('[1]UY$'!$L$5:$L$993,'[1]UY$'!$O$5:$O$993,"Cambio",'[1]UY$'!$E$5:$E$993,'Efecto TC'!D314),""))</f>
        <v/>
      </c>
      <c r="G314" s="23" t="str">
        <f t="shared" si="43"/>
        <v/>
      </c>
      <c r="H314" s="22" t="str">
        <f t="shared" si="44"/>
        <v/>
      </c>
      <c r="I314" s="54" t="str">
        <f t="shared" si="41"/>
        <v/>
      </c>
      <c r="R314" s="24" t="e">
        <f t="shared" si="45"/>
        <v>#VALUE!</v>
      </c>
      <c r="S314" s="25" t="e">
        <f t="shared" si="42"/>
        <v>#VALUE!</v>
      </c>
    </row>
    <row r="315" spans="1:19" x14ac:dyDescent="0.25">
      <c r="A315" t="e">
        <f t="shared" si="39"/>
        <v>#VALUE!</v>
      </c>
      <c r="B315" t="e">
        <f t="shared" si="40"/>
        <v>#VALUE!</v>
      </c>
      <c r="D315" s="21" t="str" cm="1">
        <f t="array" ref="D315">IF(ROWS($D$7:D315)&gt;COUNTIF('[1]U$S'!$H$5:$H$1008,$L$5),"",INDEX(CuentaUS,_xlfn.AGGREGATE(15,6,ROW('[1]U$S'!$H$5:$H$1008)-ROW('[1]U$S'!$O$5)+1/--('[1]U$S'!$H$5:$H$1008=$L$5),ROWS($D$7:D315)),1))</f>
        <v/>
      </c>
      <c r="E315" s="22" t="str" cm="1">
        <f t="array" ref="E315">IF(ROWS($E$7:E315)&gt;COUNTIF('[1]U$S'!$H$5:$H$1008,$L$5),"",INDEX(CuentaUS,_xlfn.AGGREGATE(15,6,ROW('[1]U$S'!$H$5:$H$1008)-ROW('[1]U$S'!$O$5)+1/--('[1]U$S'!$H$5:$H$1008=$L$5),ROWS($E$7:E315)),6))</f>
        <v/>
      </c>
      <c r="F315" s="22" t="str">
        <f>IF(E315="","",IF(E315&gt;0,SUMIFS('[1]UY$'!$L$5:$L$993,'[1]UY$'!$O$5:$O$993,"Cambio",'[1]UY$'!$E$5:$E$993,'Efecto TC'!D315),""))</f>
        <v/>
      </c>
      <c r="G315" s="23" t="str">
        <f t="shared" si="43"/>
        <v/>
      </c>
      <c r="H315" s="22" t="str">
        <f t="shared" si="44"/>
        <v/>
      </c>
      <c r="I315" s="54" t="str">
        <f t="shared" si="41"/>
        <v/>
      </c>
      <c r="R315" s="24" t="e">
        <f t="shared" si="45"/>
        <v>#VALUE!</v>
      </c>
      <c r="S315" s="25" t="e">
        <f t="shared" si="42"/>
        <v>#VALUE!</v>
      </c>
    </row>
    <row r="316" spans="1:19" x14ac:dyDescent="0.25">
      <c r="A316" t="e">
        <f t="shared" si="39"/>
        <v>#VALUE!</v>
      </c>
      <c r="B316" t="e">
        <f t="shared" si="40"/>
        <v>#VALUE!</v>
      </c>
      <c r="D316" s="21" t="str" cm="1">
        <f t="array" ref="D316">IF(ROWS($D$7:D316)&gt;COUNTIF('[1]U$S'!$H$5:$H$1008,$L$5),"",INDEX(CuentaUS,_xlfn.AGGREGATE(15,6,ROW('[1]U$S'!$H$5:$H$1008)-ROW('[1]U$S'!$O$5)+1/--('[1]U$S'!$H$5:$H$1008=$L$5),ROWS($D$7:D316)),1))</f>
        <v/>
      </c>
      <c r="E316" s="22" t="str" cm="1">
        <f t="array" ref="E316">IF(ROWS($E$7:E316)&gt;COUNTIF('[1]U$S'!$H$5:$H$1008,$L$5),"",INDEX(CuentaUS,_xlfn.AGGREGATE(15,6,ROW('[1]U$S'!$H$5:$H$1008)-ROW('[1]U$S'!$O$5)+1/--('[1]U$S'!$H$5:$H$1008=$L$5),ROWS($E$7:E316)),6))</f>
        <v/>
      </c>
      <c r="F316" s="22" t="str">
        <f>IF(E316="","",IF(E316&gt;0,SUMIFS('[1]UY$'!$L$5:$L$993,'[1]UY$'!$O$5:$O$993,"Cambio",'[1]UY$'!$E$5:$E$993,'Efecto TC'!D316),""))</f>
        <v/>
      </c>
      <c r="G316" s="23" t="str">
        <f t="shared" si="43"/>
        <v/>
      </c>
      <c r="H316" s="22" t="str">
        <f t="shared" si="44"/>
        <v/>
      </c>
      <c r="I316" s="54" t="str">
        <f t="shared" si="41"/>
        <v/>
      </c>
      <c r="R316" s="24" t="e">
        <f t="shared" si="45"/>
        <v>#VALUE!</v>
      </c>
      <c r="S316" s="25" t="e">
        <f t="shared" si="42"/>
        <v>#VALUE!</v>
      </c>
    </row>
    <row r="317" spans="1:19" x14ac:dyDescent="0.25">
      <c r="A317" t="e">
        <f t="shared" si="39"/>
        <v>#VALUE!</v>
      </c>
      <c r="B317" t="e">
        <f t="shared" si="40"/>
        <v>#VALUE!</v>
      </c>
      <c r="D317" s="21" t="str" cm="1">
        <f t="array" ref="D317">IF(ROWS($D$7:D317)&gt;COUNTIF('[1]U$S'!$H$5:$H$1008,$L$5),"",INDEX(CuentaUS,_xlfn.AGGREGATE(15,6,ROW('[1]U$S'!$H$5:$H$1008)-ROW('[1]U$S'!$O$5)+1/--('[1]U$S'!$H$5:$H$1008=$L$5),ROWS($D$7:D317)),1))</f>
        <v/>
      </c>
      <c r="E317" s="22" t="str" cm="1">
        <f t="array" ref="E317">IF(ROWS($E$7:E317)&gt;COUNTIF('[1]U$S'!$H$5:$H$1008,$L$5),"",INDEX(CuentaUS,_xlfn.AGGREGATE(15,6,ROW('[1]U$S'!$H$5:$H$1008)-ROW('[1]U$S'!$O$5)+1/--('[1]U$S'!$H$5:$H$1008=$L$5),ROWS($E$7:E317)),6))</f>
        <v/>
      </c>
      <c r="F317" s="22" t="str">
        <f>IF(E317="","",IF(E317&gt;0,SUMIFS('[1]UY$'!$L$5:$L$993,'[1]UY$'!$O$5:$O$993,"Cambio",'[1]UY$'!$E$5:$E$993,'Efecto TC'!D317),""))</f>
        <v/>
      </c>
      <c r="G317" s="23" t="str">
        <f t="shared" si="43"/>
        <v/>
      </c>
      <c r="H317" s="22" t="str">
        <f t="shared" si="44"/>
        <v/>
      </c>
      <c r="I317" s="54" t="str">
        <f t="shared" si="41"/>
        <v/>
      </c>
      <c r="R317" s="24" t="e">
        <f t="shared" si="45"/>
        <v>#VALUE!</v>
      </c>
      <c r="S317" s="25" t="e">
        <f t="shared" si="42"/>
        <v>#VALUE!</v>
      </c>
    </row>
    <row r="318" spans="1:19" x14ac:dyDescent="0.25">
      <c r="A318" t="e">
        <f t="shared" si="39"/>
        <v>#VALUE!</v>
      </c>
      <c r="B318" t="e">
        <f t="shared" si="40"/>
        <v>#VALUE!</v>
      </c>
      <c r="D318" s="21" t="str" cm="1">
        <f t="array" ref="D318">IF(ROWS($D$7:D318)&gt;COUNTIF('[1]U$S'!$H$5:$H$1008,$L$5),"",INDEX(CuentaUS,_xlfn.AGGREGATE(15,6,ROW('[1]U$S'!$H$5:$H$1008)-ROW('[1]U$S'!$O$5)+1/--('[1]U$S'!$H$5:$H$1008=$L$5),ROWS($D$7:D318)),1))</f>
        <v/>
      </c>
      <c r="E318" s="22" t="str" cm="1">
        <f t="array" ref="E318">IF(ROWS($E$7:E318)&gt;COUNTIF('[1]U$S'!$H$5:$H$1008,$L$5),"",INDEX(CuentaUS,_xlfn.AGGREGATE(15,6,ROW('[1]U$S'!$H$5:$H$1008)-ROW('[1]U$S'!$O$5)+1/--('[1]U$S'!$H$5:$H$1008=$L$5),ROWS($E$7:E318)),6))</f>
        <v/>
      </c>
      <c r="F318" s="22" t="str">
        <f>IF(E318="","",IF(E318&gt;0,SUMIFS('[1]UY$'!$L$5:$L$993,'[1]UY$'!$O$5:$O$993,"Cambio",'[1]UY$'!$E$5:$E$993,'Efecto TC'!D318),""))</f>
        <v/>
      </c>
      <c r="G318" s="23" t="str">
        <f t="shared" si="43"/>
        <v/>
      </c>
      <c r="H318" s="22" t="str">
        <f t="shared" si="44"/>
        <v/>
      </c>
      <c r="I318" s="54" t="str">
        <f t="shared" si="41"/>
        <v/>
      </c>
      <c r="R318" s="24" t="e">
        <f t="shared" si="45"/>
        <v>#VALUE!</v>
      </c>
      <c r="S318" s="25" t="e">
        <f t="shared" si="42"/>
        <v>#VALUE!</v>
      </c>
    </row>
    <row r="319" spans="1:19" x14ac:dyDescent="0.25">
      <c r="A319" t="e">
        <f t="shared" si="39"/>
        <v>#VALUE!</v>
      </c>
      <c r="B319" t="e">
        <f t="shared" si="40"/>
        <v>#VALUE!</v>
      </c>
      <c r="D319" s="21" t="str" cm="1">
        <f t="array" ref="D319">IF(ROWS($D$7:D319)&gt;COUNTIF('[1]U$S'!$H$5:$H$1008,$L$5),"",INDEX(CuentaUS,_xlfn.AGGREGATE(15,6,ROW('[1]U$S'!$H$5:$H$1008)-ROW('[1]U$S'!$O$5)+1/--('[1]U$S'!$H$5:$H$1008=$L$5),ROWS($D$7:D319)),1))</f>
        <v/>
      </c>
      <c r="E319" s="22" t="str" cm="1">
        <f t="array" ref="E319">IF(ROWS($E$7:E319)&gt;COUNTIF('[1]U$S'!$H$5:$H$1008,$L$5),"",INDEX(CuentaUS,_xlfn.AGGREGATE(15,6,ROW('[1]U$S'!$H$5:$H$1008)-ROW('[1]U$S'!$O$5)+1/--('[1]U$S'!$H$5:$H$1008=$L$5),ROWS($E$7:E319)),6))</f>
        <v/>
      </c>
      <c r="F319" s="22" t="str">
        <f>IF(E319="","",IF(E319&gt;0,SUMIFS('[1]UY$'!$L$5:$L$993,'[1]UY$'!$O$5:$O$993,"Cambio",'[1]UY$'!$E$5:$E$993,'Efecto TC'!D319),""))</f>
        <v/>
      </c>
      <c r="G319" s="23" t="str">
        <f t="shared" si="43"/>
        <v/>
      </c>
      <c r="H319" s="22" t="str">
        <f t="shared" si="44"/>
        <v/>
      </c>
      <c r="I319" s="54" t="str">
        <f t="shared" si="41"/>
        <v/>
      </c>
      <c r="R319" s="24" t="e">
        <f t="shared" si="45"/>
        <v>#VALUE!</v>
      </c>
      <c r="S319" s="25" t="e">
        <f t="shared" si="42"/>
        <v>#VALUE!</v>
      </c>
    </row>
    <row r="320" spans="1:19" x14ac:dyDescent="0.25">
      <c r="A320" t="e">
        <f t="shared" si="39"/>
        <v>#VALUE!</v>
      </c>
      <c r="B320" t="e">
        <f t="shared" si="40"/>
        <v>#VALUE!</v>
      </c>
      <c r="D320" s="21" t="str" cm="1">
        <f t="array" ref="D320">IF(ROWS($D$7:D320)&gt;COUNTIF('[1]U$S'!$H$5:$H$1008,$L$5),"",INDEX(CuentaUS,_xlfn.AGGREGATE(15,6,ROW('[1]U$S'!$H$5:$H$1008)-ROW('[1]U$S'!$O$5)+1/--('[1]U$S'!$H$5:$H$1008=$L$5),ROWS($D$7:D320)),1))</f>
        <v/>
      </c>
      <c r="E320" s="22" t="str" cm="1">
        <f t="array" ref="E320">IF(ROWS($E$7:E320)&gt;COUNTIF('[1]U$S'!$H$5:$H$1008,$L$5),"",INDEX(CuentaUS,_xlfn.AGGREGATE(15,6,ROW('[1]U$S'!$H$5:$H$1008)-ROW('[1]U$S'!$O$5)+1/--('[1]U$S'!$H$5:$H$1008=$L$5),ROWS($E$7:E320)),6))</f>
        <v/>
      </c>
      <c r="F320" s="22" t="str">
        <f>IF(E320="","",IF(E320&gt;0,SUMIFS('[1]UY$'!$L$5:$L$993,'[1]UY$'!$O$5:$O$993,"Cambio",'[1]UY$'!$E$5:$E$993,'Efecto TC'!D320),""))</f>
        <v/>
      </c>
      <c r="G320" s="23" t="str">
        <f t="shared" si="43"/>
        <v/>
      </c>
      <c r="H320" s="22" t="str">
        <f t="shared" si="44"/>
        <v/>
      </c>
      <c r="I320" s="54" t="str">
        <f t="shared" si="41"/>
        <v/>
      </c>
      <c r="R320" s="24" t="e">
        <f t="shared" si="45"/>
        <v>#VALUE!</v>
      </c>
      <c r="S320" s="25" t="e">
        <f t="shared" si="42"/>
        <v>#VALUE!</v>
      </c>
    </row>
    <row r="321" spans="1:19" x14ac:dyDescent="0.25">
      <c r="A321" t="e">
        <f t="shared" si="39"/>
        <v>#VALUE!</v>
      </c>
      <c r="B321" t="e">
        <f t="shared" si="40"/>
        <v>#VALUE!</v>
      </c>
      <c r="D321" s="21" t="str" cm="1">
        <f t="array" ref="D321">IF(ROWS($D$7:D321)&gt;COUNTIF('[1]U$S'!$H$5:$H$1008,$L$5),"",INDEX(CuentaUS,_xlfn.AGGREGATE(15,6,ROW('[1]U$S'!$H$5:$H$1008)-ROW('[1]U$S'!$O$5)+1/--('[1]U$S'!$H$5:$H$1008=$L$5),ROWS($D$7:D321)),1))</f>
        <v/>
      </c>
      <c r="E321" s="22" t="str" cm="1">
        <f t="array" ref="E321">IF(ROWS($E$7:E321)&gt;COUNTIF('[1]U$S'!$H$5:$H$1008,$L$5),"",INDEX(CuentaUS,_xlfn.AGGREGATE(15,6,ROW('[1]U$S'!$H$5:$H$1008)-ROW('[1]U$S'!$O$5)+1/--('[1]U$S'!$H$5:$H$1008=$L$5),ROWS($E$7:E321)),6))</f>
        <v/>
      </c>
      <c r="F321" s="22" t="str">
        <f>IF(E321="","",IF(E321&gt;0,SUMIFS('[1]UY$'!$L$5:$L$993,'[1]UY$'!$O$5:$O$993,"Cambio",'[1]UY$'!$E$5:$E$993,'Efecto TC'!D321),""))</f>
        <v/>
      </c>
      <c r="G321" s="23" t="str">
        <f t="shared" si="43"/>
        <v/>
      </c>
      <c r="H321" s="22" t="str">
        <f t="shared" si="44"/>
        <v/>
      </c>
      <c r="I321" s="54" t="str">
        <f t="shared" si="41"/>
        <v/>
      </c>
      <c r="R321" s="24" t="e">
        <f t="shared" si="45"/>
        <v>#VALUE!</v>
      </c>
      <c r="S321" s="25" t="e">
        <f t="shared" si="42"/>
        <v>#VALUE!</v>
      </c>
    </row>
    <row r="322" spans="1:19" x14ac:dyDescent="0.25">
      <c r="A322" t="e">
        <f t="shared" si="39"/>
        <v>#VALUE!</v>
      </c>
      <c r="B322" t="e">
        <f t="shared" si="40"/>
        <v>#VALUE!</v>
      </c>
      <c r="D322" s="21" t="str" cm="1">
        <f t="array" ref="D322">IF(ROWS($D$7:D322)&gt;COUNTIF('[1]U$S'!$H$5:$H$1008,$L$5),"",INDEX(CuentaUS,_xlfn.AGGREGATE(15,6,ROW('[1]U$S'!$H$5:$H$1008)-ROW('[1]U$S'!$O$5)+1/--('[1]U$S'!$H$5:$H$1008=$L$5),ROWS($D$7:D322)),1))</f>
        <v/>
      </c>
      <c r="E322" s="22" t="str" cm="1">
        <f t="array" ref="E322">IF(ROWS($E$7:E322)&gt;COUNTIF('[1]U$S'!$H$5:$H$1008,$L$5),"",INDEX(CuentaUS,_xlfn.AGGREGATE(15,6,ROW('[1]U$S'!$H$5:$H$1008)-ROW('[1]U$S'!$O$5)+1/--('[1]U$S'!$H$5:$H$1008=$L$5),ROWS($E$7:E322)),6))</f>
        <v/>
      </c>
      <c r="F322" s="22" t="str">
        <f>IF(E322="","",IF(E322&gt;0,SUMIFS('[1]UY$'!$L$5:$L$993,'[1]UY$'!$O$5:$O$993,"Cambio",'[1]UY$'!$E$5:$E$993,'Efecto TC'!D322),""))</f>
        <v/>
      </c>
      <c r="G322" s="23" t="str">
        <f t="shared" si="43"/>
        <v/>
      </c>
      <c r="H322" s="22" t="str">
        <f t="shared" si="44"/>
        <v/>
      </c>
      <c r="I322" s="54" t="str">
        <f t="shared" si="41"/>
        <v/>
      </c>
      <c r="R322" s="24" t="e">
        <f t="shared" si="45"/>
        <v>#VALUE!</v>
      </c>
      <c r="S322" s="25" t="e">
        <f t="shared" si="42"/>
        <v>#VALUE!</v>
      </c>
    </row>
    <row r="323" spans="1:19" x14ac:dyDescent="0.25">
      <c r="A323" t="e">
        <f t="shared" si="39"/>
        <v>#VALUE!</v>
      </c>
      <c r="B323" t="e">
        <f t="shared" si="40"/>
        <v>#VALUE!</v>
      </c>
      <c r="D323" s="21" t="str" cm="1">
        <f t="array" ref="D323">IF(ROWS($D$7:D323)&gt;COUNTIF('[1]U$S'!$H$5:$H$1008,$L$5),"",INDEX(CuentaUS,_xlfn.AGGREGATE(15,6,ROW('[1]U$S'!$H$5:$H$1008)-ROW('[1]U$S'!$O$5)+1/--('[1]U$S'!$H$5:$H$1008=$L$5),ROWS($D$7:D323)),1))</f>
        <v/>
      </c>
      <c r="E323" s="22" t="str" cm="1">
        <f t="array" ref="E323">IF(ROWS($E$7:E323)&gt;COUNTIF('[1]U$S'!$H$5:$H$1008,$L$5),"",INDEX(CuentaUS,_xlfn.AGGREGATE(15,6,ROW('[1]U$S'!$H$5:$H$1008)-ROW('[1]U$S'!$O$5)+1/--('[1]U$S'!$H$5:$H$1008=$L$5),ROWS($E$7:E323)),6))</f>
        <v/>
      </c>
      <c r="F323" s="22" t="str">
        <f>IF(E323="","",IF(E323&gt;0,SUMIFS('[1]UY$'!$L$5:$L$993,'[1]UY$'!$O$5:$O$993,"Cambio",'[1]UY$'!$E$5:$E$993,'Efecto TC'!D323),""))</f>
        <v/>
      </c>
      <c r="G323" s="23" t="str">
        <f t="shared" si="43"/>
        <v/>
      </c>
      <c r="H323" s="22" t="str">
        <f t="shared" si="44"/>
        <v/>
      </c>
      <c r="I323" s="54" t="str">
        <f t="shared" si="41"/>
        <v/>
      </c>
      <c r="R323" s="24" t="e">
        <f t="shared" si="45"/>
        <v>#VALUE!</v>
      </c>
      <c r="S323" s="25" t="e">
        <f t="shared" si="42"/>
        <v>#VALUE!</v>
      </c>
    </row>
    <row r="324" spans="1:19" x14ac:dyDescent="0.25">
      <c r="A324" t="e">
        <f t="shared" si="39"/>
        <v>#VALUE!</v>
      </c>
      <c r="B324" t="e">
        <f t="shared" si="40"/>
        <v>#VALUE!</v>
      </c>
      <c r="D324" s="21" t="str" cm="1">
        <f t="array" ref="D324">IF(ROWS($D$7:D324)&gt;COUNTIF('[1]U$S'!$H$5:$H$1008,$L$5),"",INDEX(CuentaUS,_xlfn.AGGREGATE(15,6,ROW('[1]U$S'!$H$5:$H$1008)-ROW('[1]U$S'!$O$5)+1/--('[1]U$S'!$H$5:$H$1008=$L$5),ROWS($D$7:D324)),1))</f>
        <v/>
      </c>
      <c r="E324" s="22" t="str" cm="1">
        <f t="array" ref="E324">IF(ROWS($E$7:E324)&gt;COUNTIF('[1]U$S'!$H$5:$H$1008,$L$5),"",INDEX(CuentaUS,_xlfn.AGGREGATE(15,6,ROW('[1]U$S'!$H$5:$H$1008)-ROW('[1]U$S'!$O$5)+1/--('[1]U$S'!$H$5:$H$1008=$L$5),ROWS($E$7:E324)),6))</f>
        <v/>
      </c>
      <c r="F324" s="22" t="str">
        <f>IF(E324="","",IF(E324&gt;0,SUMIFS('[1]UY$'!$L$5:$L$993,'[1]UY$'!$O$5:$O$993,"Cambio",'[1]UY$'!$E$5:$E$993,'Efecto TC'!D324),""))</f>
        <v/>
      </c>
      <c r="G324" s="23" t="str">
        <f t="shared" si="43"/>
        <v/>
      </c>
      <c r="H324" s="22" t="str">
        <f t="shared" si="44"/>
        <v/>
      </c>
      <c r="I324" s="54" t="str">
        <f t="shared" si="41"/>
        <v/>
      </c>
      <c r="R324" s="24" t="e">
        <f t="shared" si="45"/>
        <v>#VALUE!</v>
      </c>
      <c r="S324" s="25" t="e">
        <f t="shared" si="42"/>
        <v>#VALUE!</v>
      </c>
    </row>
    <row r="325" spans="1:19" x14ac:dyDescent="0.25">
      <c r="A325" t="e">
        <f t="shared" si="39"/>
        <v>#VALUE!</v>
      </c>
      <c r="B325" t="e">
        <f t="shared" si="40"/>
        <v>#VALUE!</v>
      </c>
      <c r="D325" s="21" t="str" cm="1">
        <f t="array" ref="D325">IF(ROWS($D$7:D325)&gt;COUNTIF('[1]U$S'!$H$5:$H$1008,$L$5),"",INDEX(CuentaUS,_xlfn.AGGREGATE(15,6,ROW('[1]U$S'!$H$5:$H$1008)-ROW('[1]U$S'!$O$5)+1/--('[1]U$S'!$H$5:$H$1008=$L$5),ROWS($D$7:D325)),1))</f>
        <v/>
      </c>
      <c r="E325" s="22" t="str" cm="1">
        <f t="array" ref="E325">IF(ROWS($E$7:E325)&gt;COUNTIF('[1]U$S'!$H$5:$H$1008,$L$5),"",INDEX(CuentaUS,_xlfn.AGGREGATE(15,6,ROW('[1]U$S'!$H$5:$H$1008)-ROW('[1]U$S'!$O$5)+1/--('[1]U$S'!$H$5:$H$1008=$L$5),ROWS($E$7:E325)),6))</f>
        <v/>
      </c>
      <c r="F325" s="22" t="str">
        <f>IF(E325="","",IF(E325&gt;0,SUMIFS('[1]UY$'!$L$5:$L$993,'[1]UY$'!$O$5:$O$993,"Cambio",'[1]UY$'!$E$5:$E$993,'Efecto TC'!D325),""))</f>
        <v/>
      </c>
      <c r="G325" s="23" t="str">
        <f t="shared" si="43"/>
        <v/>
      </c>
      <c r="H325" s="22" t="str">
        <f t="shared" si="44"/>
        <v/>
      </c>
      <c r="I325" s="54" t="str">
        <f t="shared" si="41"/>
        <v/>
      </c>
      <c r="R325" s="24" t="e">
        <f t="shared" si="45"/>
        <v>#VALUE!</v>
      </c>
      <c r="S325" s="25" t="e">
        <f t="shared" si="42"/>
        <v>#VALUE!</v>
      </c>
    </row>
    <row r="326" spans="1:19" x14ac:dyDescent="0.25">
      <c r="A326" t="e">
        <f t="shared" si="39"/>
        <v>#VALUE!</v>
      </c>
      <c r="B326" t="e">
        <f t="shared" si="40"/>
        <v>#VALUE!</v>
      </c>
      <c r="D326" s="21" t="str" cm="1">
        <f t="array" ref="D326">IF(ROWS($D$7:D326)&gt;COUNTIF('[1]U$S'!$H$5:$H$1008,$L$5),"",INDEX(CuentaUS,_xlfn.AGGREGATE(15,6,ROW('[1]U$S'!$H$5:$H$1008)-ROW('[1]U$S'!$O$5)+1/--('[1]U$S'!$H$5:$H$1008=$L$5),ROWS($D$7:D326)),1))</f>
        <v/>
      </c>
      <c r="E326" s="22" t="str" cm="1">
        <f t="array" ref="E326">IF(ROWS($E$7:E326)&gt;COUNTIF('[1]U$S'!$H$5:$H$1008,$L$5),"",INDEX(CuentaUS,_xlfn.AGGREGATE(15,6,ROW('[1]U$S'!$H$5:$H$1008)-ROW('[1]U$S'!$O$5)+1/--('[1]U$S'!$H$5:$H$1008=$L$5),ROWS($E$7:E326)),6))</f>
        <v/>
      </c>
      <c r="F326" s="22" t="str">
        <f>IF(E326="","",IF(E326&gt;0,SUMIFS('[1]UY$'!$L$5:$L$993,'[1]UY$'!$O$5:$O$993,"Cambio",'[1]UY$'!$E$5:$E$993,'Efecto TC'!D326),""))</f>
        <v/>
      </c>
      <c r="G326" s="23" t="str">
        <f t="shared" si="43"/>
        <v/>
      </c>
      <c r="H326" s="22" t="str">
        <f t="shared" si="44"/>
        <v/>
      </c>
      <c r="I326" s="54" t="str">
        <f t="shared" si="41"/>
        <v/>
      </c>
      <c r="R326" s="24" t="e">
        <f t="shared" si="45"/>
        <v>#VALUE!</v>
      </c>
      <c r="S326" s="25" t="e">
        <f t="shared" si="42"/>
        <v>#VALUE!</v>
      </c>
    </row>
    <row r="327" spans="1:19" x14ac:dyDescent="0.25">
      <c r="A327" t="e">
        <f t="shared" ref="A327:A390" si="46">MONTH(D327)</f>
        <v>#VALUE!</v>
      </c>
      <c r="B327" t="e">
        <f t="shared" ref="B327:B390" si="47">YEAR(D327)</f>
        <v>#VALUE!</v>
      </c>
      <c r="D327" s="21" t="str" cm="1">
        <f t="array" ref="D327">IF(ROWS($D$7:D327)&gt;COUNTIF('[1]U$S'!$H$5:$H$1008,$L$5),"",INDEX(CuentaUS,_xlfn.AGGREGATE(15,6,ROW('[1]U$S'!$H$5:$H$1008)-ROW('[1]U$S'!$O$5)+1/--('[1]U$S'!$H$5:$H$1008=$L$5),ROWS($D$7:D327)),1))</f>
        <v/>
      </c>
      <c r="E327" s="22" t="str" cm="1">
        <f t="array" ref="E327">IF(ROWS($E$7:E327)&gt;COUNTIF('[1]U$S'!$H$5:$H$1008,$L$5),"",INDEX(CuentaUS,_xlfn.AGGREGATE(15,6,ROW('[1]U$S'!$H$5:$H$1008)-ROW('[1]U$S'!$O$5)+1/--('[1]U$S'!$H$5:$H$1008=$L$5),ROWS($E$7:E327)),6))</f>
        <v/>
      </c>
      <c r="F327" s="22" t="str">
        <f>IF(E327="","",IF(E327&gt;0,SUMIFS('[1]UY$'!$L$5:$L$993,'[1]UY$'!$O$5:$O$993,"Cambio",'[1]UY$'!$E$5:$E$993,'Efecto TC'!D327),""))</f>
        <v/>
      </c>
      <c r="G327" s="23" t="str">
        <f t="shared" si="43"/>
        <v/>
      </c>
      <c r="H327" s="22" t="str">
        <f t="shared" si="44"/>
        <v/>
      </c>
      <c r="I327" s="54" t="str">
        <f t="shared" si="41"/>
        <v/>
      </c>
      <c r="R327" s="24" t="e">
        <f t="shared" si="45"/>
        <v>#VALUE!</v>
      </c>
      <c r="S327" s="25" t="e">
        <f t="shared" si="42"/>
        <v>#VALUE!</v>
      </c>
    </row>
    <row r="328" spans="1:19" x14ac:dyDescent="0.25">
      <c r="A328" t="e">
        <f t="shared" si="46"/>
        <v>#VALUE!</v>
      </c>
      <c r="B328" t="e">
        <f t="shared" si="47"/>
        <v>#VALUE!</v>
      </c>
      <c r="D328" s="21" t="str" cm="1">
        <f t="array" ref="D328">IF(ROWS($D$7:D328)&gt;COUNTIF('[1]U$S'!$H$5:$H$1008,$L$5),"",INDEX(CuentaUS,_xlfn.AGGREGATE(15,6,ROW('[1]U$S'!$H$5:$H$1008)-ROW('[1]U$S'!$O$5)+1/--('[1]U$S'!$H$5:$H$1008=$L$5),ROWS($D$7:D328)),1))</f>
        <v/>
      </c>
      <c r="E328" s="22" t="str" cm="1">
        <f t="array" ref="E328">IF(ROWS($E$7:E328)&gt;COUNTIF('[1]U$S'!$H$5:$H$1008,$L$5),"",INDEX(CuentaUS,_xlfn.AGGREGATE(15,6,ROW('[1]U$S'!$H$5:$H$1008)-ROW('[1]U$S'!$O$5)+1/--('[1]U$S'!$H$5:$H$1008=$L$5),ROWS($E$7:E328)),6))</f>
        <v/>
      </c>
      <c r="F328" s="22" t="str">
        <f>IF(E328="","",IF(E328&gt;0,SUMIFS('[1]UY$'!$L$5:$L$993,'[1]UY$'!$O$5:$O$993,"Cambio",'[1]UY$'!$E$5:$E$993,'Efecto TC'!D328),""))</f>
        <v/>
      </c>
      <c r="G328" s="23" t="str">
        <f t="shared" si="43"/>
        <v/>
      </c>
      <c r="H328" s="22" t="str">
        <f t="shared" si="44"/>
        <v/>
      </c>
      <c r="I328" s="54" t="str">
        <f t="shared" si="41"/>
        <v/>
      </c>
      <c r="R328" s="24" t="e">
        <f t="shared" si="45"/>
        <v>#VALUE!</v>
      </c>
      <c r="S328" s="25" t="e">
        <f t="shared" si="42"/>
        <v>#VALUE!</v>
      </c>
    </row>
    <row r="329" spans="1:19" x14ac:dyDescent="0.25">
      <c r="A329" t="e">
        <f t="shared" si="46"/>
        <v>#VALUE!</v>
      </c>
      <c r="B329" t="e">
        <f t="shared" si="47"/>
        <v>#VALUE!</v>
      </c>
      <c r="D329" s="21" t="str" cm="1">
        <f t="array" ref="D329">IF(ROWS($D$7:D329)&gt;COUNTIF('[1]U$S'!$H$5:$H$1008,$L$5),"",INDEX(CuentaUS,_xlfn.AGGREGATE(15,6,ROW('[1]U$S'!$H$5:$H$1008)-ROW('[1]U$S'!$O$5)+1/--('[1]U$S'!$H$5:$H$1008=$L$5),ROWS($D$7:D329)),1))</f>
        <v/>
      </c>
      <c r="E329" s="22" t="str" cm="1">
        <f t="array" ref="E329">IF(ROWS($E$7:E329)&gt;COUNTIF('[1]U$S'!$H$5:$H$1008,$L$5),"",INDEX(CuentaUS,_xlfn.AGGREGATE(15,6,ROW('[1]U$S'!$H$5:$H$1008)-ROW('[1]U$S'!$O$5)+1/--('[1]U$S'!$H$5:$H$1008=$L$5),ROWS($E$7:E329)),6))</f>
        <v/>
      </c>
      <c r="F329" s="22" t="str">
        <f>IF(E329="","",IF(E329&gt;0,SUMIFS('[1]UY$'!$L$5:$L$993,'[1]UY$'!$O$5:$O$993,"Cambio",'[1]UY$'!$E$5:$E$993,'Efecto TC'!D329),""))</f>
        <v/>
      </c>
      <c r="G329" s="23" t="str">
        <f t="shared" si="43"/>
        <v/>
      </c>
      <c r="H329" s="22" t="str">
        <f t="shared" si="44"/>
        <v/>
      </c>
      <c r="I329" s="54" t="str">
        <f t="shared" si="41"/>
        <v/>
      </c>
      <c r="R329" s="24" t="e">
        <f t="shared" si="45"/>
        <v>#VALUE!</v>
      </c>
      <c r="S329" s="25" t="e">
        <f t="shared" si="42"/>
        <v>#VALUE!</v>
      </c>
    </row>
    <row r="330" spans="1:19" x14ac:dyDescent="0.25">
      <c r="A330" t="e">
        <f t="shared" si="46"/>
        <v>#VALUE!</v>
      </c>
      <c r="B330" t="e">
        <f t="shared" si="47"/>
        <v>#VALUE!</v>
      </c>
      <c r="D330" s="21" t="str" cm="1">
        <f t="array" ref="D330">IF(ROWS($D$7:D330)&gt;COUNTIF('[1]U$S'!$H$5:$H$1008,$L$5),"",INDEX(CuentaUS,_xlfn.AGGREGATE(15,6,ROW('[1]U$S'!$H$5:$H$1008)-ROW('[1]U$S'!$O$5)+1/--('[1]U$S'!$H$5:$H$1008=$L$5),ROWS($D$7:D330)),1))</f>
        <v/>
      </c>
      <c r="E330" s="22" t="str" cm="1">
        <f t="array" ref="E330">IF(ROWS($E$7:E330)&gt;COUNTIF('[1]U$S'!$H$5:$H$1008,$L$5),"",INDEX(CuentaUS,_xlfn.AGGREGATE(15,6,ROW('[1]U$S'!$H$5:$H$1008)-ROW('[1]U$S'!$O$5)+1/--('[1]U$S'!$H$5:$H$1008=$L$5),ROWS($E$7:E330)),6))</f>
        <v/>
      </c>
      <c r="F330" s="22" t="str">
        <f>IF(E330="","",IF(E330&gt;0,SUMIFS('[1]UY$'!$L$5:$L$993,'[1]UY$'!$O$5:$O$993,"Cambio",'[1]UY$'!$E$5:$E$993,'Efecto TC'!D330),""))</f>
        <v/>
      </c>
      <c r="G330" s="23" t="str">
        <f t="shared" si="43"/>
        <v/>
      </c>
      <c r="H330" s="22" t="str">
        <f t="shared" si="44"/>
        <v/>
      </c>
      <c r="I330" s="54" t="str">
        <f t="shared" ref="I330:I393" si="48">IF(H330="","",+H330+I329)</f>
        <v/>
      </c>
      <c r="R330" s="24" t="e">
        <f t="shared" si="45"/>
        <v>#VALUE!</v>
      </c>
      <c r="S330" s="25" t="e">
        <f t="shared" si="42"/>
        <v>#VALUE!</v>
      </c>
    </row>
    <row r="331" spans="1:19" x14ac:dyDescent="0.25">
      <c r="A331" t="e">
        <f t="shared" si="46"/>
        <v>#VALUE!</v>
      </c>
      <c r="B331" t="e">
        <f t="shared" si="47"/>
        <v>#VALUE!</v>
      </c>
      <c r="D331" s="21" t="str" cm="1">
        <f t="array" ref="D331">IF(ROWS($D$7:D331)&gt;COUNTIF('[1]U$S'!$H$5:$H$1008,$L$5),"",INDEX(CuentaUS,_xlfn.AGGREGATE(15,6,ROW('[1]U$S'!$H$5:$H$1008)-ROW('[1]U$S'!$O$5)+1/--('[1]U$S'!$H$5:$H$1008=$L$5),ROWS($D$7:D331)),1))</f>
        <v/>
      </c>
      <c r="E331" s="22" t="str" cm="1">
        <f t="array" ref="E331">IF(ROWS($E$7:E331)&gt;COUNTIF('[1]U$S'!$H$5:$H$1008,$L$5),"",INDEX(CuentaUS,_xlfn.AGGREGATE(15,6,ROW('[1]U$S'!$H$5:$H$1008)-ROW('[1]U$S'!$O$5)+1/--('[1]U$S'!$H$5:$H$1008=$L$5),ROWS($E$7:E331)),6))</f>
        <v/>
      </c>
      <c r="F331" s="22" t="str">
        <f>IF(E331="","",IF(E331&gt;0,SUMIFS('[1]UY$'!$L$5:$L$993,'[1]UY$'!$O$5:$O$993,"Cambio",'[1]UY$'!$E$5:$E$993,'Efecto TC'!D331),""))</f>
        <v/>
      </c>
      <c r="G331" s="23" t="str">
        <f t="shared" si="43"/>
        <v/>
      </c>
      <c r="H331" s="22" t="str">
        <f t="shared" si="44"/>
        <v/>
      </c>
      <c r="I331" s="54" t="str">
        <f t="shared" si="48"/>
        <v/>
      </c>
      <c r="R331" s="24" t="e">
        <f t="shared" si="45"/>
        <v>#VALUE!</v>
      </c>
      <c r="S331" s="25" t="e">
        <f t="shared" si="42"/>
        <v>#VALUE!</v>
      </c>
    </row>
    <row r="332" spans="1:19" x14ac:dyDescent="0.25">
      <c r="A332" t="e">
        <f t="shared" si="46"/>
        <v>#VALUE!</v>
      </c>
      <c r="B332" t="e">
        <f t="shared" si="47"/>
        <v>#VALUE!</v>
      </c>
      <c r="D332" s="21" t="str" cm="1">
        <f t="array" ref="D332">IF(ROWS($D$7:D332)&gt;COUNTIF('[1]U$S'!$H$5:$H$1008,$L$5),"",INDEX(CuentaUS,_xlfn.AGGREGATE(15,6,ROW('[1]U$S'!$H$5:$H$1008)-ROW('[1]U$S'!$O$5)+1/--('[1]U$S'!$H$5:$H$1008=$L$5),ROWS($D$7:D332)),1))</f>
        <v/>
      </c>
      <c r="E332" s="22" t="str" cm="1">
        <f t="array" ref="E332">IF(ROWS($E$7:E332)&gt;COUNTIF('[1]U$S'!$H$5:$H$1008,$L$5),"",INDEX(CuentaUS,_xlfn.AGGREGATE(15,6,ROW('[1]U$S'!$H$5:$H$1008)-ROW('[1]U$S'!$O$5)+1/--('[1]U$S'!$H$5:$H$1008=$L$5),ROWS($E$7:E332)),6))</f>
        <v/>
      </c>
      <c r="F332" s="22" t="str">
        <f>IF(E332="","",IF(E332&gt;0,SUMIFS('[1]UY$'!$L$5:$L$993,'[1]UY$'!$O$5:$O$993,"Cambio",'[1]UY$'!$E$5:$E$993,'Efecto TC'!D332),""))</f>
        <v/>
      </c>
      <c r="G332" s="23" t="str">
        <f t="shared" si="43"/>
        <v/>
      </c>
      <c r="H332" s="22" t="str">
        <f t="shared" si="44"/>
        <v/>
      </c>
      <c r="I332" s="54" t="str">
        <f t="shared" si="48"/>
        <v/>
      </c>
      <c r="R332" s="24" t="e">
        <f t="shared" si="45"/>
        <v>#VALUE!</v>
      </c>
      <c r="S332" s="25" t="e">
        <f t="shared" si="42"/>
        <v>#VALUE!</v>
      </c>
    </row>
    <row r="333" spans="1:19" x14ac:dyDescent="0.25">
      <c r="A333" t="e">
        <f t="shared" si="46"/>
        <v>#VALUE!</v>
      </c>
      <c r="B333" t="e">
        <f t="shared" si="47"/>
        <v>#VALUE!</v>
      </c>
      <c r="D333" s="21" t="str" cm="1">
        <f t="array" ref="D333">IF(ROWS($D$7:D333)&gt;COUNTIF('[1]U$S'!$H$5:$H$1008,$L$5),"",INDEX(CuentaUS,_xlfn.AGGREGATE(15,6,ROW('[1]U$S'!$H$5:$H$1008)-ROW('[1]U$S'!$O$5)+1/--('[1]U$S'!$H$5:$H$1008=$L$5),ROWS($D$7:D333)),1))</f>
        <v/>
      </c>
      <c r="E333" s="22" t="str" cm="1">
        <f t="array" ref="E333">IF(ROWS($E$7:E333)&gt;COUNTIF('[1]U$S'!$H$5:$H$1008,$L$5),"",INDEX(CuentaUS,_xlfn.AGGREGATE(15,6,ROW('[1]U$S'!$H$5:$H$1008)-ROW('[1]U$S'!$O$5)+1/--('[1]U$S'!$H$5:$H$1008=$L$5),ROWS($E$7:E333)),6))</f>
        <v/>
      </c>
      <c r="F333" s="22" t="str">
        <f>IF(E333="","",IF(E333&gt;0,SUMIFS('[1]UY$'!$L$5:$L$993,'[1]UY$'!$O$5:$O$993,"Cambio",'[1]UY$'!$E$5:$E$993,'Efecto TC'!D333),""))</f>
        <v/>
      </c>
      <c r="G333" s="23" t="str">
        <f t="shared" si="43"/>
        <v/>
      </c>
      <c r="H333" s="22" t="str">
        <f t="shared" si="44"/>
        <v/>
      </c>
      <c r="I333" s="54" t="str">
        <f t="shared" si="48"/>
        <v/>
      </c>
      <c r="R333" s="24" t="e">
        <f t="shared" si="45"/>
        <v>#VALUE!</v>
      </c>
      <c r="S333" s="25" t="e">
        <f t="shared" si="42"/>
        <v>#VALUE!</v>
      </c>
    </row>
    <row r="334" spans="1:19" x14ac:dyDescent="0.25">
      <c r="A334" t="e">
        <f t="shared" si="46"/>
        <v>#VALUE!</v>
      </c>
      <c r="B334" t="e">
        <f t="shared" si="47"/>
        <v>#VALUE!</v>
      </c>
      <c r="D334" s="21" t="str" cm="1">
        <f t="array" ref="D334">IF(ROWS($D$7:D334)&gt;COUNTIF('[1]U$S'!$H$5:$H$1008,$L$5),"",INDEX(CuentaUS,_xlfn.AGGREGATE(15,6,ROW('[1]U$S'!$H$5:$H$1008)-ROW('[1]U$S'!$O$5)+1/--('[1]U$S'!$H$5:$H$1008=$L$5),ROWS($D$7:D334)),1))</f>
        <v/>
      </c>
      <c r="E334" s="22" t="str" cm="1">
        <f t="array" ref="E334">IF(ROWS($E$7:E334)&gt;COUNTIF('[1]U$S'!$H$5:$H$1008,$L$5),"",INDEX(CuentaUS,_xlfn.AGGREGATE(15,6,ROW('[1]U$S'!$H$5:$H$1008)-ROW('[1]U$S'!$O$5)+1/--('[1]U$S'!$H$5:$H$1008=$L$5),ROWS($E$7:E334)),6))</f>
        <v/>
      </c>
      <c r="F334" s="22" t="str">
        <f>IF(E334="","",IF(E334&gt;0,SUMIFS('[1]UY$'!$L$5:$L$993,'[1]UY$'!$O$5:$O$993,"Cambio",'[1]UY$'!$E$5:$E$993,'Efecto TC'!D334),""))</f>
        <v/>
      </c>
      <c r="G334" s="23" t="str">
        <f t="shared" si="43"/>
        <v/>
      </c>
      <c r="H334" s="22" t="str">
        <f t="shared" si="44"/>
        <v/>
      </c>
      <c r="I334" s="54" t="str">
        <f t="shared" si="48"/>
        <v/>
      </c>
      <c r="R334" s="24" t="e">
        <f t="shared" si="45"/>
        <v>#VALUE!</v>
      </c>
      <c r="S334" s="25" t="e">
        <f t="shared" si="42"/>
        <v>#VALUE!</v>
      </c>
    </row>
    <row r="335" spans="1:19" x14ac:dyDescent="0.25">
      <c r="A335" t="e">
        <f t="shared" si="46"/>
        <v>#VALUE!</v>
      </c>
      <c r="B335" t="e">
        <f t="shared" si="47"/>
        <v>#VALUE!</v>
      </c>
      <c r="D335" s="21" t="str" cm="1">
        <f t="array" ref="D335">IF(ROWS($D$7:D335)&gt;COUNTIF('[1]U$S'!$H$5:$H$1008,$L$5),"",INDEX(CuentaUS,_xlfn.AGGREGATE(15,6,ROW('[1]U$S'!$H$5:$H$1008)-ROW('[1]U$S'!$O$5)+1/--('[1]U$S'!$H$5:$H$1008=$L$5),ROWS($D$7:D335)),1))</f>
        <v/>
      </c>
      <c r="E335" s="22" t="str" cm="1">
        <f t="array" ref="E335">IF(ROWS($E$7:E335)&gt;COUNTIF('[1]U$S'!$H$5:$H$1008,$L$5),"",INDEX(CuentaUS,_xlfn.AGGREGATE(15,6,ROW('[1]U$S'!$H$5:$H$1008)-ROW('[1]U$S'!$O$5)+1/--('[1]U$S'!$H$5:$H$1008=$L$5),ROWS($E$7:E335)),6))</f>
        <v/>
      </c>
      <c r="F335" s="22" t="str">
        <f>IF(E335="","",IF(E335&gt;0,SUMIFS('[1]UY$'!$L$5:$L$993,'[1]UY$'!$O$5:$O$993,"Cambio",'[1]UY$'!$E$5:$E$993,'Efecto TC'!D335),""))</f>
        <v/>
      </c>
      <c r="G335" s="23" t="str">
        <f t="shared" si="43"/>
        <v/>
      </c>
      <c r="H335" s="22" t="str">
        <f t="shared" si="44"/>
        <v/>
      </c>
      <c r="I335" s="54" t="str">
        <f t="shared" si="48"/>
        <v/>
      </c>
      <c r="R335" s="24" t="e">
        <f t="shared" si="45"/>
        <v>#VALUE!</v>
      </c>
      <c r="S335" s="25" t="e">
        <f t="shared" si="42"/>
        <v>#VALUE!</v>
      </c>
    </row>
    <row r="336" spans="1:19" x14ac:dyDescent="0.25">
      <c r="A336" t="e">
        <f t="shared" si="46"/>
        <v>#VALUE!</v>
      </c>
      <c r="B336" t="e">
        <f t="shared" si="47"/>
        <v>#VALUE!</v>
      </c>
      <c r="D336" s="21" t="str" cm="1">
        <f t="array" ref="D336">IF(ROWS($D$7:D336)&gt;COUNTIF('[1]U$S'!$H$5:$H$1008,$L$5),"",INDEX(CuentaUS,_xlfn.AGGREGATE(15,6,ROW('[1]U$S'!$H$5:$H$1008)-ROW('[1]U$S'!$O$5)+1/--('[1]U$S'!$H$5:$H$1008=$L$5),ROWS($D$7:D336)),1))</f>
        <v/>
      </c>
      <c r="E336" s="22" t="str" cm="1">
        <f t="array" ref="E336">IF(ROWS($E$7:E336)&gt;COUNTIF('[1]U$S'!$H$5:$H$1008,$L$5),"",INDEX(CuentaUS,_xlfn.AGGREGATE(15,6,ROW('[1]U$S'!$H$5:$H$1008)-ROW('[1]U$S'!$O$5)+1/--('[1]U$S'!$H$5:$H$1008=$L$5),ROWS($E$7:E336)),6))</f>
        <v/>
      </c>
      <c r="F336" s="22" t="str">
        <f>IF(E336="","",IF(E336&gt;0,SUMIFS('[1]UY$'!$L$5:$L$993,'[1]UY$'!$O$5:$O$993,"Cambio",'[1]UY$'!$E$5:$E$993,'Efecto TC'!D336),""))</f>
        <v/>
      </c>
      <c r="G336" s="23" t="str">
        <f t="shared" si="43"/>
        <v/>
      </c>
      <c r="H336" s="22" t="str">
        <f t="shared" si="44"/>
        <v/>
      </c>
      <c r="I336" s="54" t="str">
        <f t="shared" si="48"/>
        <v/>
      </c>
      <c r="R336" s="24" t="e">
        <f t="shared" si="45"/>
        <v>#VALUE!</v>
      </c>
      <c r="S336" s="25" t="e">
        <f t="shared" si="42"/>
        <v>#VALUE!</v>
      </c>
    </row>
    <row r="337" spans="1:19" x14ac:dyDescent="0.25">
      <c r="A337" t="e">
        <f t="shared" si="46"/>
        <v>#VALUE!</v>
      </c>
      <c r="B337" t="e">
        <f t="shared" si="47"/>
        <v>#VALUE!</v>
      </c>
      <c r="D337" s="21" t="str" cm="1">
        <f t="array" ref="D337">IF(ROWS($D$7:D337)&gt;COUNTIF('[1]U$S'!$H$5:$H$1008,$L$5),"",INDEX(CuentaUS,_xlfn.AGGREGATE(15,6,ROW('[1]U$S'!$H$5:$H$1008)-ROW('[1]U$S'!$O$5)+1/--('[1]U$S'!$H$5:$H$1008=$L$5),ROWS($D$7:D337)),1))</f>
        <v/>
      </c>
      <c r="E337" s="22" t="str" cm="1">
        <f t="array" ref="E337">IF(ROWS($E$7:E337)&gt;COUNTIF('[1]U$S'!$H$5:$H$1008,$L$5),"",INDEX(CuentaUS,_xlfn.AGGREGATE(15,6,ROW('[1]U$S'!$H$5:$H$1008)-ROW('[1]U$S'!$O$5)+1/--('[1]U$S'!$H$5:$H$1008=$L$5),ROWS($E$7:E337)),6))</f>
        <v/>
      </c>
      <c r="F337" s="22" t="str">
        <f>IF(E337="","",IF(E337&gt;0,SUMIFS('[1]UY$'!$L$5:$L$993,'[1]UY$'!$O$5:$O$993,"Cambio",'[1]UY$'!$E$5:$E$993,'Efecto TC'!D337),""))</f>
        <v/>
      </c>
      <c r="G337" s="23" t="str">
        <f t="shared" si="43"/>
        <v/>
      </c>
      <c r="H337" s="22" t="str">
        <f t="shared" si="44"/>
        <v/>
      </c>
      <c r="I337" s="54" t="str">
        <f t="shared" si="48"/>
        <v/>
      </c>
      <c r="R337" s="24" t="e">
        <f t="shared" si="45"/>
        <v>#VALUE!</v>
      </c>
      <c r="S337" s="25" t="e">
        <f t="shared" si="42"/>
        <v>#VALUE!</v>
      </c>
    </row>
    <row r="338" spans="1:19" x14ac:dyDescent="0.25">
      <c r="A338" t="e">
        <f t="shared" si="46"/>
        <v>#VALUE!</v>
      </c>
      <c r="B338" t="e">
        <f t="shared" si="47"/>
        <v>#VALUE!</v>
      </c>
      <c r="D338" s="21" t="str" cm="1">
        <f t="array" ref="D338">IF(ROWS($D$7:D338)&gt;COUNTIF('[1]U$S'!$H$5:$H$1008,$L$5),"",INDEX(CuentaUS,_xlfn.AGGREGATE(15,6,ROW('[1]U$S'!$H$5:$H$1008)-ROW('[1]U$S'!$O$5)+1/--('[1]U$S'!$H$5:$H$1008=$L$5),ROWS($D$7:D338)),1))</f>
        <v/>
      </c>
      <c r="E338" s="22" t="str" cm="1">
        <f t="array" ref="E338">IF(ROWS($E$7:E338)&gt;COUNTIF('[1]U$S'!$H$5:$H$1008,$L$5),"",INDEX(CuentaUS,_xlfn.AGGREGATE(15,6,ROW('[1]U$S'!$H$5:$H$1008)-ROW('[1]U$S'!$O$5)+1/--('[1]U$S'!$H$5:$H$1008=$L$5),ROWS($E$7:E338)),6))</f>
        <v/>
      </c>
      <c r="F338" s="22" t="str">
        <f>IF(E338="","",IF(E338&gt;0,SUMIFS('[1]UY$'!$L$5:$L$993,'[1]UY$'!$O$5:$O$993,"Cambio",'[1]UY$'!$E$5:$E$993,'Efecto TC'!D338),""))</f>
        <v/>
      </c>
      <c r="G338" s="23" t="str">
        <f t="shared" si="43"/>
        <v/>
      </c>
      <c r="H338" s="22" t="str">
        <f t="shared" si="44"/>
        <v/>
      </c>
      <c r="I338" s="54" t="str">
        <f t="shared" si="48"/>
        <v/>
      </c>
      <c r="R338" s="24" t="e">
        <f t="shared" si="45"/>
        <v>#VALUE!</v>
      </c>
      <c r="S338" s="25" t="e">
        <f t="shared" si="42"/>
        <v>#VALUE!</v>
      </c>
    </row>
    <row r="339" spans="1:19" x14ac:dyDescent="0.25">
      <c r="A339" t="e">
        <f t="shared" si="46"/>
        <v>#VALUE!</v>
      </c>
      <c r="B339" t="e">
        <f t="shared" si="47"/>
        <v>#VALUE!</v>
      </c>
      <c r="D339" s="21" t="str" cm="1">
        <f t="array" ref="D339">IF(ROWS($D$7:D339)&gt;COUNTIF('[1]U$S'!$H$5:$H$1008,$L$5),"",INDEX(CuentaUS,_xlfn.AGGREGATE(15,6,ROW('[1]U$S'!$H$5:$H$1008)-ROW('[1]U$S'!$O$5)+1/--('[1]U$S'!$H$5:$H$1008=$L$5),ROWS($D$7:D339)),1))</f>
        <v/>
      </c>
      <c r="E339" s="22" t="str" cm="1">
        <f t="array" ref="E339">IF(ROWS($E$7:E339)&gt;COUNTIF('[1]U$S'!$H$5:$H$1008,$L$5),"",INDEX(CuentaUS,_xlfn.AGGREGATE(15,6,ROW('[1]U$S'!$H$5:$H$1008)-ROW('[1]U$S'!$O$5)+1/--('[1]U$S'!$H$5:$H$1008=$L$5),ROWS($E$7:E339)),6))</f>
        <v/>
      </c>
      <c r="F339" s="22" t="str">
        <f>IF(E339="","",IF(E339&gt;0,SUMIFS('[1]UY$'!$L$5:$L$993,'[1]UY$'!$O$5:$O$993,"Cambio",'[1]UY$'!$E$5:$E$993,'Efecto TC'!D339),""))</f>
        <v/>
      </c>
      <c r="G339" s="23" t="str">
        <f t="shared" si="43"/>
        <v/>
      </c>
      <c r="H339" s="22" t="str">
        <f t="shared" si="44"/>
        <v/>
      </c>
      <c r="I339" s="54" t="str">
        <f t="shared" si="48"/>
        <v/>
      </c>
      <c r="R339" s="24" t="e">
        <f t="shared" si="45"/>
        <v>#VALUE!</v>
      </c>
      <c r="S339" s="25" t="e">
        <f t="shared" si="42"/>
        <v>#VALUE!</v>
      </c>
    </row>
    <row r="340" spans="1:19" x14ac:dyDescent="0.25">
      <c r="A340" t="e">
        <f t="shared" si="46"/>
        <v>#VALUE!</v>
      </c>
      <c r="B340" t="e">
        <f t="shared" si="47"/>
        <v>#VALUE!</v>
      </c>
      <c r="D340" s="21" t="str" cm="1">
        <f t="array" ref="D340">IF(ROWS($D$7:D340)&gt;COUNTIF('[1]U$S'!$H$5:$H$1008,$L$5),"",INDEX(CuentaUS,_xlfn.AGGREGATE(15,6,ROW('[1]U$S'!$H$5:$H$1008)-ROW('[1]U$S'!$O$5)+1/--('[1]U$S'!$H$5:$H$1008=$L$5),ROWS($D$7:D340)),1))</f>
        <v/>
      </c>
      <c r="E340" s="22" t="str" cm="1">
        <f t="array" ref="E340">IF(ROWS($E$7:E340)&gt;COUNTIF('[1]U$S'!$H$5:$H$1008,$L$5),"",INDEX(CuentaUS,_xlfn.AGGREGATE(15,6,ROW('[1]U$S'!$H$5:$H$1008)-ROW('[1]U$S'!$O$5)+1/--('[1]U$S'!$H$5:$H$1008=$L$5),ROWS($E$7:E340)),6))</f>
        <v/>
      </c>
      <c r="F340" s="22" t="str">
        <f>IF(E340="","",IF(E340&gt;0,SUMIFS('[1]UY$'!$L$5:$L$993,'[1]UY$'!$O$5:$O$993,"Cambio",'[1]UY$'!$E$5:$E$993,'Efecto TC'!D340),""))</f>
        <v/>
      </c>
      <c r="G340" s="23" t="str">
        <f t="shared" si="43"/>
        <v/>
      </c>
      <c r="H340" s="22" t="str">
        <f t="shared" si="44"/>
        <v/>
      </c>
      <c r="I340" s="54" t="str">
        <f t="shared" si="48"/>
        <v/>
      </c>
      <c r="R340" s="24" t="e">
        <f t="shared" si="45"/>
        <v>#VALUE!</v>
      </c>
      <c r="S340" s="25" t="e">
        <f t="shared" si="42"/>
        <v>#VALUE!</v>
      </c>
    </row>
    <row r="341" spans="1:19" x14ac:dyDescent="0.25">
      <c r="A341" t="e">
        <f t="shared" si="46"/>
        <v>#VALUE!</v>
      </c>
      <c r="B341" t="e">
        <f t="shared" si="47"/>
        <v>#VALUE!</v>
      </c>
      <c r="D341" s="21" t="str" cm="1">
        <f t="array" ref="D341">IF(ROWS($D$7:D341)&gt;COUNTIF('[1]U$S'!$H$5:$H$1008,$L$5),"",INDEX(CuentaUS,_xlfn.AGGREGATE(15,6,ROW('[1]U$S'!$H$5:$H$1008)-ROW('[1]U$S'!$O$5)+1/--('[1]U$S'!$H$5:$H$1008=$L$5),ROWS($D$7:D341)),1))</f>
        <v/>
      </c>
      <c r="E341" s="22" t="str" cm="1">
        <f t="array" ref="E341">IF(ROWS($E$7:E341)&gt;COUNTIF('[1]U$S'!$H$5:$H$1008,$L$5),"",INDEX(CuentaUS,_xlfn.AGGREGATE(15,6,ROW('[1]U$S'!$H$5:$H$1008)-ROW('[1]U$S'!$O$5)+1/--('[1]U$S'!$H$5:$H$1008=$L$5),ROWS($E$7:E341)),6))</f>
        <v/>
      </c>
      <c r="F341" s="22" t="str">
        <f>IF(E341="","",IF(E341&gt;0,SUMIFS('[1]UY$'!$L$5:$L$993,'[1]UY$'!$O$5:$O$993,"Cambio",'[1]UY$'!$E$5:$E$993,'Efecto TC'!D341),""))</f>
        <v/>
      </c>
      <c r="G341" s="23" t="str">
        <f t="shared" si="43"/>
        <v/>
      </c>
      <c r="H341" s="22" t="str">
        <f t="shared" si="44"/>
        <v/>
      </c>
      <c r="I341" s="54" t="str">
        <f t="shared" si="48"/>
        <v/>
      </c>
      <c r="R341" s="24" t="e">
        <f t="shared" si="45"/>
        <v>#VALUE!</v>
      </c>
      <c r="S341" s="25" t="e">
        <f t="shared" si="42"/>
        <v>#VALUE!</v>
      </c>
    </row>
    <row r="342" spans="1:19" x14ac:dyDescent="0.25">
      <c r="A342" t="e">
        <f t="shared" si="46"/>
        <v>#VALUE!</v>
      </c>
      <c r="B342" t="e">
        <f t="shared" si="47"/>
        <v>#VALUE!</v>
      </c>
      <c r="D342" s="21" t="str" cm="1">
        <f t="array" ref="D342">IF(ROWS($D$7:D342)&gt;COUNTIF('[1]U$S'!$H$5:$H$1008,$L$5),"",INDEX(CuentaUS,_xlfn.AGGREGATE(15,6,ROW('[1]U$S'!$H$5:$H$1008)-ROW('[1]U$S'!$O$5)+1/--('[1]U$S'!$H$5:$H$1008=$L$5),ROWS($D$7:D342)),1))</f>
        <v/>
      </c>
      <c r="E342" s="22" t="str" cm="1">
        <f t="array" ref="E342">IF(ROWS($E$7:E342)&gt;COUNTIF('[1]U$S'!$H$5:$H$1008,$L$5),"",INDEX(CuentaUS,_xlfn.AGGREGATE(15,6,ROW('[1]U$S'!$H$5:$H$1008)-ROW('[1]U$S'!$O$5)+1/--('[1]U$S'!$H$5:$H$1008=$L$5),ROWS($E$7:E342)),6))</f>
        <v/>
      </c>
      <c r="F342" s="22" t="str">
        <f>IF(E342="","",IF(E342&gt;0,SUMIFS('[1]UY$'!$L$5:$L$993,'[1]UY$'!$O$5:$O$993,"Cambio",'[1]UY$'!$E$5:$E$993,'Efecto TC'!D342),""))</f>
        <v/>
      </c>
      <c r="G342" s="23" t="str">
        <f t="shared" si="43"/>
        <v/>
      </c>
      <c r="H342" s="22" t="str">
        <f t="shared" si="44"/>
        <v/>
      </c>
      <c r="I342" s="54" t="str">
        <f t="shared" si="48"/>
        <v/>
      </c>
      <c r="R342" s="24" t="e">
        <f t="shared" si="45"/>
        <v>#VALUE!</v>
      </c>
      <c r="S342" s="25" t="e">
        <f t="shared" si="42"/>
        <v>#VALUE!</v>
      </c>
    </row>
    <row r="343" spans="1:19" x14ac:dyDescent="0.25">
      <c r="A343" t="e">
        <f t="shared" si="46"/>
        <v>#VALUE!</v>
      </c>
      <c r="B343" t="e">
        <f t="shared" si="47"/>
        <v>#VALUE!</v>
      </c>
      <c r="D343" s="21" t="str" cm="1">
        <f t="array" ref="D343">IF(ROWS($D$7:D343)&gt;COUNTIF('[1]U$S'!$H$5:$H$1008,$L$5),"",INDEX(CuentaUS,_xlfn.AGGREGATE(15,6,ROW('[1]U$S'!$H$5:$H$1008)-ROW('[1]U$S'!$O$5)+1/--('[1]U$S'!$H$5:$H$1008=$L$5),ROWS($D$7:D343)),1))</f>
        <v/>
      </c>
      <c r="E343" s="22" t="str" cm="1">
        <f t="array" ref="E343">IF(ROWS($E$7:E343)&gt;COUNTIF('[1]U$S'!$H$5:$H$1008,$L$5),"",INDEX(CuentaUS,_xlfn.AGGREGATE(15,6,ROW('[1]U$S'!$H$5:$H$1008)-ROW('[1]U$S'!$O$5)+1/--('[1]U$S'!$H$5:$H$1008=$L$5),ROWS($E$7:E343)),6))</f>
        <v/>
      </c>
      <c r="F343" s="22" t="str">
        <f>IF(E343="","",IF(E343&gt;0,SUMIFS('[1]UY$'!$L$5:$L$993,'[1]UY$'!$O$5:$O$993,"Cambio",'[1]UY$'!$E$5:$E$993,'Efecto TC'!D343),""))</f>
        <v/>
      </c>
      <c r="G343" s="23" t="str">
        <f t="shared" si="43"/>
        <v/>
      </c>
      <c r="H343" s="22" t="str">
        <f t="shared" si="44"/>
        <v/>
      </c>
      <c r="I343" s="54" t="str">
        <f t="shared" si="48"/>
        <v/>
      </c>
      <c r="R343" s="24" t="e">
        <f t="shared" si="45"/>
        <v>#VALUE!</v>
      </c>
      <c r="S343" s="25" t="e">
        <f t="shared" si="42"/>
        <v>#VALUE!</v>
      </c>
    </row>
    <row r="344" spans="1:19" x14ac:dyDescent="0.25">
      <c r="A344" t="e">
        <f t="shared" si="46"/>
        <v>#VALUE!</v>
      </c>
      <c r="B344" t="e">
        <f t="shared" si="47"/>
        <v>#VALUE!</v>
      </c>
      <c r="D344" s="21" t="str" cm="1">
        <f t="array" ref="D344">IF(ROWS($D$7:D344)&gt;COUNTIF('[1]U$S'!$H$5:$H$1008,$L$5),"",INDEX(CuentaUS,_xlfn.AGGREGATE(15,6,ROW('[1]U$S'!$H$5:$H$1008)-ROW('[1]U$S'!$O$5)+1/--('[1]U$S'!$H$5:$H$1008=$L$5),ROWS($D$7:D344)),1))</f>
        <v/>
      </c>
      <c r="E344" s="22" t="str" cm="1">
        <f t="array" ref="E344">IF(ROWS($E$7:E344)&gt;COUNTIF('[1]U$S'!$H$5:$H$1008,$L$5),"",INDEX(CuentaUS,_xlfn.AGGREGATE(15,6,ROW('[1]U$S'!$H$5:$H$1008)-ROW('[1]U$S'!$O$5)+1/--('[1]U$S'!$H$5:$H$1008=$L$5),ROWS($E$7:E344)),6))</f>
        <v/>
      </c>
      <c r="F344" s="22" t="str">
        <f>IF(E344="","",IF(E344&gt;0,SUMIFS('[1]UY$'!$L$5:$L$993,'[1]UY$'!$O$5:$O$993,"Cambio",'[1]UY$'!$E$5:$E$993,'Efecto TC'!D344),""))</f>
        <v/>
      </c>
      <c r="G344" s="23" t="str">
        <f t="shared" si="43"/>
        <v/>
      </c>
      <c r="H344" s="22" t="str">
        <f t="shared" si="44"/>
        <v/>
      </c>
      <c r="I344" s="54" t="str">
        <f t="shared" si="48"/>
        <v/>
      </c>
      <c r="R344" s="24" t="e">
        <f t="shared" si="45"/>
        <v>#VALUE!</v>
      </c>
      <c r="S344" s="25" t="e">
        <f t="shared" si="42"/>
        <v>#VALUE!</v>
      </c>
    </row>
    <row r="345" spans="1:19" x14ac:dyDescent="0.25">
      <c r="A345" t="e">
        <f t="shared" si="46"/>
        <v>#VALUE!</v>
      </c>
      <c r="B345" t="e">
        <f t="shared" si="47"/>
        <v>#VALUE!</v>
      </c>
      <c r="D345" s="21" t="str" cm="1">
        <f t="array" ref="D345">IF(ROWS($D$7:D345)&gt;COUNTIF('[1]U$S'!$H$5:$H$1008,$L$5),"",INDEX(CuentaUS,_xlfn.AGGREGATE(15,6,ROW('[1]U$S'!$H$5:$H$1008)-ROW('[1]U$S'!$O$5)+1/--('[1]U$S'!$H$5:$H$1008=$L$5),ROWS($D$7:D345)),1))</f>
        <v/>
      </c>
      <c r="E345" s="22" t="str" cm="1">
        <f t="array" ref="E345">IF(ROWS($E$7:E345)&gt;COUNTIF('[1]U$S'!$H$5:$H$1008,$L$5),"",INDEX(CuentaUS,_xlfn.AGGREGATE(15,6,ROW('[1]U$S'!$H$5:$H$1008)-ROW('[1]U$S'!$O$5)+1/--('[1]U$S'!$H$5:$H$1008=$L$5),ROWS($E$7:E345)),6))</f>
        <v/>
      </c>
      <c r="F345" s="22" t="str">
        <f>IF(E345="","",IF(E345&gt;0,SUMIFS('[1]UY$'!$L$5:$L$993,'[1]UY$'!$O$5:$O$993,"Cambio",'[1]UY$'!$E$5:$E$993,'Efecto TC'!D345),""))</f>
        <v/>
      </c>
      <c r="G345" s="23" t="str">
        <f t="shared" si="43"/>
        <v/>
      </c>
      <c r="H345" s="22" t="str">
        <f t="shared" si="44"/>
        <v/>
      </c>
      <c r="I345" s="54" t="str">
        <f t="shared" si="48"/>
        <v/>
      </c>
      <c r="R345" s="24" t="e">
        <f t="shared" si="45"/>
        <v>#VALUE!</v>
      </c>
      <c r="S345" s="25" t="e">
        <f t="shared" si="42"/>
        <v>#VALUE!</v>
      </c>
    </row>
    <row r="346" spans="1:19" x14ac:dyDescent="0.25">
      <c r="A346" t="e">
        <f t="shared" si="46"/>
        <v>#VALUE!</v>
      </c>
      <c r="B346" t="e">
        <f t="shared" si="47"/>
        <v>#VALUE!</v>
      </c>
      <c r="D346" s="21" t="str" cm="1">
        <f t="array" ref="D346">IF(ROWS($D$7:D346)&gt;COUNTIF('[1]U$S'!$H$5:$H$1008,$L$5),"",INDEX(CuentaUS,_xlfn.AGGREGATE(15,6,ROW('[1]U$S'!$H$5:$H$1008)-ROW('[1]U$S'!$O$5)+1/--('[1]U$S'!$H$5:$H$1008=$L$5),ROWS($D$7:D346)),1))</f>
        <v/>
      </c>
      <c r="E346" s="22" t="str" cm="1">
        <f t="array" ref="E346">IF(ROWS($E$7:E346)&gt;COUNTIF('[1]U$S'!$H$5:$H$1008,$L$5),"",INDEX(CuentaUS,_xlfn.AGGREGATE(15,6,ROW('[1]U$S'!$H$5:$H$1008)-ROW('[1]U$S'!$O$5)+1/--('[1]U$S'!$H$5:$H$1008=$L$5),ROWS($E$7:E346)),6))</f>
        <v/>
      </c>
      <c r="F346" s="22" t="str">
        <f>IF(E346="","",IF(E346&gt;0,SUMIFS('[1]UY$'!$L$5:$L$993,'[1]UY$'!$O$5:$O$993,"Cambio",'[1]UY$'!$E$5:$E$993,'Efecto TC'!D346),""))</f>
        <v/>
      </c>
      <c r="G346" s="23" t="str">
        <f t="shared" si="43"/>
        <v/>
      </c>
      <c r="H346" s="22" t="str">
        <f t="shared" si="44"/>
        <v/>
      </c>
      <c r="I346" s="54" t="str">
        <f t="shared" si="48"/>
        <v/>
      </c>
      <c r="R346" s="24" t="e">
        <f t="shared" si="45"/>
        <v>#VALUE!</v>
      </c>
      <c r="S346" s="25" t="e">
        <f t="shared" si="42"/>
        <v>#VALUE!</v>
      </c>
    </row>
    <row r="347" spans="1:19" x14ac:dyDescent="0.25">
      <c r="A347" t="e">
        <f t="shared" si="46"/>
        <v>#VALUE!</v>
      </c>
      <c r="B347" t="e">
        <f t="shared" si="47"/>
        <v>#VALUE!</v>
      </c>
      <c r="D347" s="21" t="str" cm="1">
        <f t="array" ref="D347">IF(ROWS($D$7:D347)&gt;COUNTIF('[1]U$S'!$H$5:$H$1008,$L$5),"",INDEX(CuentaUS,_xlfn.AGGREGATE(15,6,ROW('[1]U$S'!$H$5:$H$1008)-ROW('[1]U$S'!$O$5)+1/--('[1]U$S'!$H$5:$H$1008=$L$5),ROWS($D$7:D347)),1))</f>
        <v/>
      </c>
      <c r="E347" s="22" t="str" cm="1">
        <f t="array" ref="E347">IF(ROWS($E$7:E347)&gt;COUNTIF('[1]U$S'!$H$5:$H$1008,$L$5),"",INDEX(CuentaUS,_xlfn.AGGREGATE(15,6,ROW('[1]U$S'!$H$5:$H$1008)-ROW('[1]U$S'!$O$5)+1/--('[1]U$S'!$H$5:$H$1008=$L$5),ROWS($E$7:E347)),6))</f>
        <v/>
      </c>
      <c r="F347" s="22" t="str">
        <f>IF(E347="","",IF(E347&gt;0,SUMIFS('[1]UY$'!$L$5:$L$993,'[1]UY$'!$O$5:$O$993,"Cambio",'[1]UY$'!$E$5:$E$993,'Efecto TC'!D347),""))</f>
        <v/>
      </c>
      <c r="G347" s="23" t="str">
        <f t="shared" si="43"/>
        <v/>
      </c>
      <c r="H347" s="22" t="str">
        <f t="shared" si="44"/>
        <v/>
      </c>
      <c r="I347" s="54" t="str">
        <f t="shared" si="48"/>
        <v/>
      </c>
      <c r="R347" s="24" t="e">
        <f t="shared" si="45"/>
        <v>#VALUE!</v>
      </c>
      <c r="S347" s="25" t="e">
        <f t="shared" ref="S347:S410" si="49">R347*G341</f>
        <v>#VALUE!</v>
      </c>
    </row>
    <row r="348" spans="1:19" x14ac:dyDescent="0.25">
      <c r="A348" t="e">
        <f t="shared" si="46"/>
        <v>#VALUE!</v>
      </c>
      <c r="B348" t="e">
        <f t="shared" si="47"/>
        <v>#VALUE!</v>
      </c>
      <c r="D348" s="21" t="str" cm="1">
        <f t="array" ref="D348">IF(ROWS($D$7:D348)&gt;COUNTIF('[1]U$S'!$H$5:$H$1008,$L$5),"",INDEX(CuentaUS,_xlfn.AGGREGATE(15,6,ROW('[1]U$S'!$H$5:$H$1008)-ROW('[1]U$S'!$O$5)+1/--('[1]U$S'!$H$5:$H$1008=$L$5),ROWS($D$7:D348)),1))</f>
        <v/>
      </c>
      <c r="E348" s="22" t="str" cm="1">
        <f t="array" ref="E348">IF(ROWS($E$7:E348)&gt;COUNTIF('[1]U$S'!$H$5:$H$1008,$L$5),"",INDEX(CuentaUS,_xlfn.AGGREGATE(15,6,ROW('[1]U$S'!$H$5:$H$1008)-ROW('[1]U$S'!$O$5)+1/--('[1]U$S'!$H$5:$H$1008=$L$5),ROWS($E$7:E348)),6))</f>
        <v/>
      </c>
      <c r="F348" s="22" t="str">
        <f>IF(E348="","",IF(E348&gt;0,SUMIFS('[1]UY$'!$L$5:$L$993,'[1]UY$'!$O$5:$O$993,"Cambio",'[1]UY$'!$E$5:$E$993,'Efecto TC'!D348),""))</f>
        <v/>
      </c>
      <c r="G348" s="23" t="str">
        <f t="shared" si="43"/>
        <v/>
      </c>
      <c r="H348" s="22" t="str">
        <f t="shared" si="44"/>
        <v/>
      </c>
      <c r="I348" s="54" t="str">
        <f t="shared" si="48"/>
        <v/>
      </c>
      <c r="R348" s="24" t="e">
        <f t="shared" si="45"/>
        <v>#VALUE!</v>
      </c>
      <c r="S348" s="25" t="e">
        <f t="shared" si="49"/>
        <v>#VALUE!</v>
      </c>
    </row>
    <row r="349" spans="1:19" x14ac:dyDescent="0.25">
      <c r="A349" t="e">
        <f t="shared" si="46"/>
        <v>#VALUE!</v>
      </c>
      <c r="B349" t="e">
        <f t="shared" si="47"/>
        <v>#VALUE!</v>
      </c>
      <c r="D349" s="21" t="str" cm="1">
        <f t="array" ref="D349">IF(ROWS($D$7:D349)&gt;COUNTIF('[1]U$S'!$H$5:$H$1008,$L$5),"",INDEX(CuentaUS,_xlfn.AGGREGATE(15,6,ROW('[1]U$S'!$H$5:$H$1008)-ROW('[1]U$S'!$O$5)+1/--('[1]U$S'!$H$5:$H$1008=$L$5),ROWS($D$7:D349)),1))</f>
        <v/>
      </c>
      <c r="E349" s="22" t="str" cm="1">
        <f t="array" ref="E349">IF(ROWS($E$7:E349)&gt;COUNTIF('[1]U$S'!$H$5:$H$1008,$L$5),"",INDEX(CuentaUS,_xlfn.AGGREGATE(15,6,ROW('[1]U$S'!$H$5:$H$1008)-ROW('[1]U$S'!$O$5)+1/--('[1]U$S'!$H$5:$H$1008=$L$5),ROWS($E$7:E349)),6))</f>
        <v/>
      </c>
      <c r="F349" s="22" t="str">
        <f>IF(E349="","",IF(E349&gt;0,SUMIFS('[1]UY$'!$L$5:$L$993,'[1]UY$'!$O$5:$O$993,"Cambio",'[1]UY$'!$E$5:$E$993,'Efecto TC'!D349),""))</f>
        <v/>
      </c>
      <c r="G349" s="23" t="str">
        <f t="shared" si="43"/>
        <v/>
      </c>
      <c r="H349" s="22" t="str">
        <f t="shared" si="44"/>
        <v/>
      </c>
      <c r="I349" s="54" t="str">
        <f t="shared" si="48"/>
        <v/>
      </c>
      <c r="R349" s="24" t="e">
        <f t="shared" si="45"/>
        <v>#VALUE!</v>
      </c>
      <c r="S349" s="25" t="e">
        <f t="shared" si="49"/>
        <v>#VALUE!</v>
      </c>
    </row>
    <row r="350" spans="1:19" x14ac:dyDescent="0.25">
      <c r="A350" t="e">
        <f t="shared" si="46"/>
        <v>#VALUE!</v>
      </c>
      <c r="B350" t="e">
        <f t="shared" si="47"/>
        <v>#VALUE!</v>
      </c>
      <c r="D350" s="21" t="str" cm="1">
        <f t="array" ref="D350">IF(ROWS($D$7:D350)&gt;COUNTIF('[1]U$S'!$H$5:$H$1008,$L$5),"",INDEX(CuentaUS,_xlfn.AGGREGATE(15,6,ROW('[1]U$S'!$H$5:$H$1008)-ROW('[1]U$S'!$O$5)+1/--('[1]U$S'!$H$5:$H$1008=$L$5),ROWS($D$7:D350)),1))</f>
        <v/>
      </c>
      <c r="E350" s="22" t="str" cm="1">
        <f t="array" ref="E350">IF(ROWS($E$7:E350)&gt;COUNTIF('[1]U$S'!$H$5:$H$1008,$L$5),"",INDEX(CuentaUS,_xlfn.AGGREGATE(15,6,ROW('[1]U$S'!$H$5:$H$1008)-ROW('[1]U$S'!$O$5)+1/--('[1]U$S'!$H$5:$H$1008=$L$5),ROWS($E$7:E350)),6))</f>
        <v/>
      </c>
      <c r="F350" s="22" t="str">
        <f>IF(E350="","",IF(E350&gt;0,SUMIFS('[1]UY$'!$L$5:$L$993,'[1]UY$'!$O$5:$O$993,"Cambio",'[1]UY$'!$E$5:$E$993,'Efecto TC'!D350),""))</f>
        <v/>
      </c>
      <c r="G350" s="23" t="str">
        <f t="shared" si="43"/>
        <v/>
      </c>
      <c r="H350" s="22" t="str">
        <f t="shared" si="44"/>
        <v/>
      </c>
      <c r="I350" s="54" t="str">
        <f t="shared" si="48"/>
        <v/>
      </c>
      <c r="R350" s="24" t="e">
        <f t="shared" si="45"/>
        <v>#VALUE!</v>
      </c>
      <c r="S350" s="25" t="e">
        <f t="shared" si="49"/>
        <v>#VALUE!</v>
      </c>
    </row>
    <row r="351" spans="1:19" x14ac:dyDescent="0.25">
      <c r="A351" t="e">
        <f t="shared" si="46"/>
        <v>#VALUE!</v>
      </c>
      <c r="B351" t="e">
        <f t="shared" si="47"/>
        <v>#VALUE!</v>
      </c>
      <c r="D351" s="21" t="str" cm="1">
        <f t="array" ref="D351">IF(ROWS($D$7:D351)&gt;COUNTIF('[1]U$S'!$H$5:$H$1008,$L$5),"",INDEX(CuentaUS,_xlfn.AGGREGATE(15,6,ROW('[1]U$S'!$H$5:$H$1008)-ROW('[1]U$S'!$O$5)+1/--('[1]U$S'!$H$5:$H$1008=$L$5),ROWS($D$7:D351)),1))</f>
        <v/>
      </c>
      <c r="E351" s="22" t="str" cm="1">
        <f t="array" ref="E351">IF(ROWS($E$7:E351)&gt;COUNTIF('[1]U$S'!$H$5:$H$1008,$L$5),"",INDEX(CuentaUS,_xlfn.AGGREGATE(15,6,ROW('[1]U$S'!$H$5:$H$1008)-ROW('[1]U$S'!$O$5)+1/--('[1]U$S'!$H$5:$H$1008=$L$5),ROWS($E$7:E351)),6))</f>
        <v/>
      </c>
      <c r="F351" s="22" t="str">
        <f>IF(E351="","",IF(E351&gt;0,SUMIFS('[1]UY$'!$L$5:$L$993,'[1]UY$'!$O$5:$O$993,"Cambio",'[1]UY$'!$E$5:$E$993,'Efecto TC'!D351),""))</f>
        <v/>
      </c>
      <c r="G351" s="23" t="str">
        <f t="shared" si="43"/>
        <v/>
      </c>
      <c r="H351" s="22" t="str">
        <f t="shared" si="44"/>
        <v/>
      </c>
      <c r="I351" s="54" t="str">
        <f t="shared" si="48"/>
        <v/>
      </c>
      <c r="R351" s="24" t="e">
        <f t="shared" si="45"/>
        <v>#VALUE!</v>
      </c>
      <c r="S351" s="25" t="e">
        <f t="shared" si="49"/>
        <v>#VALUE!</v>
      </c>
    </row>
    <row r="352" spans="1:19" x14ac:dyDescent="0.25">
      <c r="A352" t="e">
        <f t="shared" si="46"/>
        <v>#VALUE!</v>
      </c>
      <c r="B352" t="e">
        <f t="shared" si="47"/>
        <v>#VALUE!</v>
      </c>
      <c r="D352" s="21" t="str" cm="1">
        <f t="array" ref="D352">IF(ROWS($D$7:D352)&gt;COUNTIF('[1]U$S'!$H$5:$H$1008,$L$5),"",INDEX(CuentaUS,_xlfn.AGGREGATE(15,6,ROW('[1]U$S'!$H$5:$H$1008)-ROW('[1]U$S'!$O$5)+1/--('[1]U$S'!$H$5:$H$1008=$L$5),ROWS($D$7:D352)),1))</f>
        <v/>
      </c>
      <c r="E352" s="22" t="str" cm="1">
        <f t="array" ref="E352">IF(ROWS($E$7:E352)&gt;COUNTIF('[1]U$S'!$H$5:$H$1008,$L$5),"",INDEX(CuentaUS,_xlfn.AGGREGATE(15,6,ROW('[1]U$S'!$H$5:$H$1008)-ROW('[1]U$S'!$O$5)+1/--('[1]U$S'!$H$5:$H$1008=$L$5),ROWS($E$7:E352)),6))</f>
        <v/>
      </c>
      <c r="F352" s="22" t="str">
        <f>IF(E352="","",IF(E352&gt;0,SUMIFS('[1]UY$'!$L$5:$L$993,'[1]UY$'!$O$5:$O$993,"Cambio",'[1]UY$'!$E$5:$E$993,'Efecto TC'!D352),""))</f>
        <v/>
      </c>
      <c r="G352" s="23" t="str">
        <f t="shared" si="43"/>
        <v/>
      </c>
      <c r="H352" s="22" t="str">
        <f t="shared" si="44"/>
        <v/>
      </c>
      <c r="I352" s="54" t="str">
        <f t="shared" si="48"/>
        <v/>
      </c>
      <c r="R352" s="24" t="e">
        <f t="shared" si="45"/>
        <v>#VALUE!</v>
      </c>
      <c r="S352" s="25" t="e">
        <f t="shared" si="49"/>
        <v>#VALUE!</v>
      </c>
    </row>
    <row r="353" spans="1:19" x14ac:dyDescent="0.25">
      <c r="A353" t="e">
        <f t="shared" si="46"/>
        <v>#VALUE!</v>
      </c>
      <c r="B353" t="e">
        <f t="shared" si="47"/>
        <v>#VALUE!</v>
      </c>
      <c r="D353" s="21" t="str" cm="1">
        <f t="array" ref="D353">IF(ROWS($D$7:D353)&gt;COUNTIF('[1]U$S'!$H$5:$H$1008,$L$5),"",INDEX(CuentaUS,_xlfn.AGGREGATE(15,6,ROW('[1]U$S'!$H$5:$H$1008)-ROW('[1]U$S'!$O$5)+1/--('[1]U$S'!$H$5:$H$1008=$L$5),ROWS($D$7:D353)),1))</f>
        <v/>
      </c>
      <c r="E353" s="22" t="str" cm="1">
        <f t="array" ref="E353">IF(ROWS($E$7:E353)&gt;COUNTIF('[1]U$S'!$H$5:$H$1008,$L$5),"",INDEX(CuentaUS,_xlfn.AGGREGATE(15,6,ROW('[1]U$S'!$H$5:$H$1008)-ROW('[1]U$S'!$O$5)+1/--('[1]U$S'!$H$5:$H$1008=$L$5),ROWS($E$7:E353)),6))</f>
        <v/>
      </c>
      <c r="F353" s="22" t="str">
        <f>IF(E353="","",IF(E353&gt;0,SUMIFS('[1]UY$'!$L$5:$L$993,'[1]UY$'!$O$5:$O$993,"Cambio",'[1]UY$'!$E$5:$E$993,'Efecto TC'!D353),""))</f>
        <v/>
      </c>
      <c r="G353" s="23" t="str">
        <f t="shared" si="43"/>
        <v/>
      </c>
      <c r="H353" s="22" t="str">
        <f t="shared" si="44"/>
        <v/>
      </c>
      <c r="I353" s="54" t="str">
        <f t="shared" si="48"/>
        <v/>
      </c>
      <c r="R353" s="24" t="e">
        <f t="shared" si="45"/>
        <v>#VALUE!</v>
      </c>
      <c r="S353" s="25" t="e">
        <f t="shared" si="49"/>
        <v>#VALUE!</v>
      </c>
    </row>
    <row r="354" spans="1:19" x14ac:dyDescent="0.25">
      <c r="A354" t="e">
        <f t="shared" si="46"/>
        <v>#VALUE!</v>
      </c>
      <c r="B354" t="e">
        <f t="shared" si="47"/>
        <v>#VALUE!</v>
      </c>
      <c r="D354" s="21" t="str" cm="1">
        <f t="array" ref="D354">IF(ROWS($D$7:D354)&gt;COUNTIF('[1]U$S'!$H$5:$H$1008,$L$5),"",INDEX(CuentaUS,_xlfn.AGGREGATE(15,6,ROW('[1]U$S'!$H$5:$H$1008)-ROW('[1]U$S'!$O$5)+1/--('[1]U$S'!$H$5:$H$1008=$L$5),ROWS($D$7:D354)),1))</f>
        <v/>
      </c>
      <c r="E354" s="22" t="str" cm="1">
        <f t="array" ref="E354">IF(ROWS($E$7:E354)&gt;COUNTIF('[1]U$S'!$H$5:$H$1008,$L$5),"",INDEX(CuentaUS,_xlfn.AGGREGATE(15,6,ROW('[1]U$S'!$H$5:$H$1008)-ROW('[1]U$S'!$O$5)+1/--('[1]U$S'!$H$5:$H$1008=$L$5),ROWS($E$7:E354)),6))</f>
        <v/>
      </c>
      <c r="F354" s="22" t="str">
        <f>IF(E354="","",IF(E354&gt;0,SUMIFS('[1]UY$'!$L$5:$L$993,'[1]UY$'!$O$5:$O$993,"Cambio",'[1]UY$'!$E$5:$E$993,'Efecto TC'!D354),""))</f>
        <v/>
      </c>
      <c r="G354" s="23" t="str">
        <f t="shared" ref="G354:G417" si="50">IF(F354="","",F354/E354)</f>
        <v/>
      </c>
      <c r="H354" s="22" t="str">
        <f t="shared" ref="H354:H417" si="51">IF(E354="","",F354/$F$2-F354/G354)</f>
        <v/>
      </c>
      <c r="I354" s="54" t="str">
        <f t="shared" si="48"/>
        <v/>
      </c>
      <c r="R354" s="24" t="e">
        <f t="shared" ref="R354:R417" si="52">E354/$E$1001</f>
        <v>#VALUE!</v>
      </c>
      <c r="S354" s="25" t="e">
        <f t="shared" si="49"/>
        <v>#VALUE!</v>
      </c>
    </row>
    <row r="355" spans="1:19" x14ac:dyDescent="0.25">
      <c r="A355" t="e">
        <f t="shared" si="46"/>
        <v>#VALUE!</v>
      </c>
      <c r="B355" t="e">
        <f t="shared" si="47"/>
        <v>#VALUE!</v>
      </c>
      <c r="D355" s="21" t="str" cm="1">
        <f t="array" ref="D355">IF(ROWS($D$7:D355)&gt;COUNTIF('[1]U$S'!$H$5:$H$1008,$L$5),"",INDEX(CuentaUS,_xlfn.AGGREGATE(15,6,ROW('[1]U$S'!$H$5:$H$1008)-ROW('[1]U$S'!$O$5)+1/--('[1]U$S'!$H$5:$H$1008=$L$5),ROWS($D$7:D355)),1))</f>
        <v/>
      </c>
      <c r="E355" s="22" t="str" cm="1">
        <f t="array" ref="E355">IF(ROWS($E$7:E355)&gt;COUNTIF('[1]U$S'!$H$5:$H$1008,$L$5),"",INDEX(CuentaUS,_xlfn.AGGREGATE(15,6,ROW('[1]U$S'!$H$5:$H$1008)-ROW('[1]U$S'!$O$5)+1/--('[1]U$S'!$H$5:$H$1008=$L$5),ROWS($E$7:E355)),6))</f>
        <v/>
      </c>
      <c r="F355" s="22" t="str">
        <f>IF(E355="","",IF(E355&gt;0,SUMIFS('[1]UY$'!$L$5:$L$993,'[1]UY$'!$O$5:$O$993,"Cambio",'[1]UY$'!$E$5:$E$993,'Efecto TC'!D355),""))</f>
        <v/>
      </c>
      <c r="G355" s="23" t="str">
        <f t="shared" si="50"/>
        <v/>
      </c>
      <c r="H355" s="22" t="str">
        <f t="shared" si="51"/>
        <v/>
      </c>
      <c r="I355" s="54" t="str">
        <f t="shared" si="48"/>
        <v/>
      </c>
      <c r="R355" s="24" t="e">
        <f t="shared" si="52"/>
        <v>#VALUE!</v>
      </c>
      <c r="S355" s="25" t="e">
        <f t="shared" si="49"/>
        <v>#VALUE!</v>
      </c>
    </row>
    <row r="356" spans="1:19" x14ac:dyDescent="0.25">
      <c r="A356" t="e">
        <f t="shared" si="46"/>
        <v>#VALUE!</v>
      </c>
      <c r="B356" t="e">
        <f t="shared" si="47"/>
        <v>#VALUE!</v>
      </c>
      <c r="D356" s="21" t="str" cm="1">
        <f t="array" ref="D356">IF(ROWS($D$7:D356)&gt;COUNTIF('[1]U$S'!$H$5:$H$1008,$L$5),"",INDEX(CuentaUS,_xlfn.AGGREGATE(15,6,ROW('[1]U$S'!$H$5:$H$1008)-ROW('[1]U$S'!$O$5)+1/--('[1]U$S'!$H$5:$H$1008=$L$5),ROWS($D$7:D356)),1))</f>
        <v/>
      </c>
      <c r="E356" s="22" t="str" cm="1">
        <f t="array" ref="E356">IF(ROWS($E$7:E356)&gt;COUNTIF('[1]U$S'!$H$5:$H$1008,$L$5),"",INDEX(CuentaUS,_xlfn.AGGREGATE(15,6,ROW('[1]U$S'!$H$5:$H$1008)-ROW('[1]U$S'!$O$5)+1/--('[1]U$S'!$H$5:$H$1008=$L$5),ROWS($E$7:E356)),6))</f>
        <v/>
      </c>
      <c r="F356" s="22" t="str">
        <f>IF(E356="","",IF(E356&gt;0,SUMIFS('[1]UY$'!$L$5:$L$993,'[1]UY$'!$O$5:$O$993,"Cambio",'[1]UY$'!$E$5:$E$993,'Efecto TC'!D356),""))</f>
        <v/>
      </c>
      <c r="G356" s="23" t="str">
        <f t="shared" si="50"/>
        <v/>
      </c>
      <c r="H356" s="22" t="str">
        <f t="shared" si="51"/>
        <v/>
      </c>
      <c r="I356" s="54" t="str">
        <f t="shared" si="48"/>
        <v/>
      </c>
      <c r="R356" s="24" t="e">
        <f t="shared" si="52"/>
        <v>#VALUE!</v>
      </c>
      <c r="S356" s="25" t="e">
        <f t="shared" si="49"/>
        <v>#VALUE!</v>
      </c>
    </row>
    <row r="357" spans="1:19" x14ac:dyDescent="0.25">
      <c r="A357" t="e">
        <f t="shared" si="46"/>
        <v>#VALUE!</v>
      </c>
      <c r="B357" t="e">
        <f t="shared" si="47"/>
        <v>#VALUE!</v>
      </c>
      <c r="D357" s="21" t="str" cm="1">
        <f t="array" ref="D357">IF(ROWS($D$7:D357)&gt;COUNTIF('[1]U$S'!$H$5:$H$1008,$L$5),"",INDEX(CuentaUS,_xlfn.AGGREGATE(15,6,ROW('[1]U$S'!$H$5:$H$1008)-ROW('[1]U$S'!$O$5)+1/--('[1]U$S'!$H$5:$H$1008=$L$5),ROWS($D$7:D357)),1))</f>
        <v/>
      </c>
      <c r="E357" s="22" t="str" cm="1">
        <f t="array" ref="E357">IF(ROWS($E$7:E357)&gt;COUNTIF('[1]U$S'!$H$5:$H$1008,$L$5),"",INDEX(CuentaUS,_xlfn.AGGREGATE(15,6,ROW('[1]U$S'!$H$5:$H$1008)-ROW('[1]U$S'!$O$5)+1/--('[1]U$S'!$H$5:$H$1008=$L$5),ROWS($E$7:E357)),6))</f>
        <v/>
      </c>
      <c r="F357" s="22" t="str">
        <f>IF(E357="","",IF(E357&gt;0,SUMIFS('[1]UY$'!$L$5:$L$993,'[1]UY$'!$O$5:$O$993,"Cambio",'[1]UY$'!$E$5:$E$993,'Efecto TC'!D357),""))</f>
        <v/>
      </c>
      <c r="G357" s="23" t="str">
        <f t="shared" si="50"/>
        <v/>
      </c>
      <c r="H357" s="22" t="str">
        <f t="shared" si="51"/>
        <v/>
      </c>
      <c r="I357" s="54" t="str">
        <f t="shared" si="48"/>
        <v/>
      </c>
      <c r="R357" s="24" t="e">
        <f t="shared" si="52"/>
        <v>#VALUE!</v>
      </c>
      <c r="S357" s="25" t="e">
        <f t="shared" si="49"/>
        <v>#VALUE!</v>
      </c>
    </row>
    <row r="358" spans="1:19" x14ac:dyDescent="0.25">
      <c r="A358" t="e">
        <f t="shared" si="46"/>
        <v>#VALUE!</v>
      </c>
      <c r="B358" t="e">
        <f t="shared" si="47"/>
        <v>#VALUE!</v>
      </c>
      <c r="D358" s="21" t="str" cm="1">
        <f t="array" ref="D358">IF(ROWS($D$7:D358)&gt;COUNTIF('[1]U$S'!$H$5:$H$1008,$L$5),"",INDEX(CuentaUS,_xlfn.AGGREGATE(15,6,ROW('[1]U$S'!$H$5:$H$1008)-ROW('[1]U$S'!$O$5)+1/--('[1]U$S'!$H$5:$H$1008=$L$5),ROWS($D$7:D358)),1))</f>
        <v/>
      </c>
      <c r="E358" s="22" t="str" cm="1">
        <f t="array" ref="E358">IF(ROWS($E$7:E358)&gt;COUNTIF('[1]U$S'!$H$5:$H$1008,$L$5),"",INDEX(CuentaUS,_xlfn.AGGREGATE(15,6,ROW('[1]U$S'!$H$5:$H$1008)-ROW('[1]U$S'!$O$5)+1/--('[1]U$S'!$H$5:$H$1008=$L$5),ROWS($E$7:E358)),6))</f>
        <v/>
      </c>
      <c r="F358" s="22" t="str">
        <f>IF(E358="","",IF(E358&gt;0,SUMIFS('[1]UY$'!$L$5:$L$993,'[1]UY$'!$O$5:$O$993,"Cambio",'[1]UY$'!$E$5:$E$993,'Efecto TC'!D358),""))</f>
        <v/>
      </c>
      <c r="G358" s="23" t="str">
        <f t="shared" si="50"/>
        <v/>
      </c>
      <c r="H358" s="22" t="str">
        <f t="shared" si="51"/>
        <v/>
      </c>
      <c r="I358" s="54" t="str">
        <f t="shared" si="48"/>
        <v/>
      </c>
      <c r="R358" s="24" t="e">
        <f t="shared" si="52"/>
        <v>#VALUE!</v>
      </c>
      <c r="S358" s="25" t="e">
        <f t="shared" si="49"/>
        <v>#VALUE!</v>
      </c>
    </row>
    <row r="359" spans="1:19" x14ac:dyDescent="0.25">
      <c r="A359" t="e">
        <f t="shared" si="46"/>
        <v>#VALUE!</v>
      </c>
      <c r="B359" t="e">
        <f t="shared" si="47"/>
        <v>#VALUE!</v>
      </c>
      <c r="D359" s="21" t="str" cm="1">
        <f t="array" ref="D359">IF(ROWS($D$7:D359)&gt;COUNTIF('[1]U$S'!$H$5:$H$1008,$L$5),"",INDEX(CuentaUS,_xlfn.AGGREGATE(15,6,ROW('[1]U$S'!$H$5:$H$1008)-ROW('[1]U$S'!$O$5)+1/--('[1]U$S'!$H$5:$H$1008=$L$5),ROWS($D$7:D359)),1))</f>
        <v/>
      </c>
      <c r="E359" s="22" t="str" cm="1">
        <f t="array" ref="E359">IF(ROWS($E$7:E359)&gt;COUNTIF('[1]U$S'!$H$5:$H$1008,$L$5),"",INDEX(CuentaUS,_xlfn.AGGREGATE(15,6,ROW('[1]U$S'!$H$5:$H$1008)-ROW('[1]U$S'!$O$5)+1/--('[1]U$S'!$H$5:$H$1008=$L$5),ROWS($E$7:E359)),6))</f>
        <v/>
      </c>
      <c r="F359" s="22" t="str">
        <f>IF(E359="","",IF(E359&gt;0,SUMIFS('[1]UY$'!$L$5:$L$993,'[1]UY$'!$O$5:$O$993,"Cambio",'[1]UY$'!$E$5:$E$993,'Efecto TC'!D359),""))</f>
        <v/>
      </c>
      <c r="G359" s="23" t="str">
        <f t="shared" si="50"/>
        <v/>
      </c>
      <c r="H359" s="22" t="str">
        <f t="shared" si="51"/>
        <v/>
      </c>
      <c r="I359" s="54" t="str">
        <f t="shared" si="48"/>
        <v/>
      </c>
      <c r="R359" s="24" t="e">
        <f t="shared" si="52"/>
        <v>#VALUE!</v>
      </c>
      <c r="S359" s="25" t="e">
        <f t="shared" si="49"/>
        <v>#VALUE!</v>
      </c>
    </row>
    <row r="360" spans="1:19" x14ac:dyDescent="0.25">
      <c r="A360" t="e">
        <f t="shared" si="46"/>
        <v>#VALUE!</v>
      </c>
      <c r="B360" t="e">
        <f t="shared" si="47"/>
        <v>#VALUE!</v>
      </c>
      <c r="D360" s="21" t="str" cm="1">
        <f t="array" ref="D360">IF(ROWS($D$7:D360)&gt;COUNTIF('[1]U$S'!$H$5:$H$1008,$L$5),"",INDEX(CuentaUS,_xlfn.AGGREGATE(15,6,ROW('[1]U$S'!$H$5:$H$1008)-ROW('[1]U$S'!$O$5)+1/--('[1]U$S'!$H$5:$H$1008=$L$5),ROWS($D$7:D360)),1))</f>
        <v/>
      </c>
      <c r="E360" s="22" t="str" cm="1">
        <f t="array" ref="E360">IF(ROWS($E$7:E360)&gt;COUNTIF('[1]U$S'!$H$5:$H$1008,$L$5),"",INDEX(CuentaUS,_xlfn.AGGREGATE(15,6,ROW('[1]U$S'!$H$5:$H$1008)-ROW('[1]U$S'!$O$5)+1/--('[1]U$S'!$H$5:$H$1008=$L$5),ROWS($E$7:E360)),6))</f>
        <v/>
      </c>
      <c r="F360" s="22" t="str">
        <f>IF(E360="","",IF(E360&gt;0,SUMIFS('[1]UY$'!$L$5:$L$993,'[1]UY$'!$O$5:$O$993,"Cambio",'[1]UY$'!$E$5:$E$993,'Efecto TC'!D360),""))</f>
        <v/>
      </c>
      <c r="G360" s="23" t="str">
        <f t="shared" si="50"/>
        <v/>
      </c>
      <c r="H360" s="22" t="str">
        <f t="shared" si="51"/>
        <v/>
      </c>
      <c r="I360" s="54" t="str">
        <f t="shared" si="48"/>
        <v/>
      </c>
      <c r="R360" s="24" t="e">
        <f t="shared" si="52"/>
        <v>#VALUE!</v>
      </c>
      <c r="S360" s="25" t="e">
        <f t="shared" si="49"/>
        <v>#VALUE!</v>
      </c>
    </row>
    <row r="361" spans="1:19" x14ac:dyDescent="0.25">
      <c r="A361" t="e">
        <f t="shared" si="46"/>
        <v>#VALUE!</v>
      </c>
      <c r="B361" t="e">
        <f t="shared" si="47"/>
        <v>#VALUE!</v>
      </c>
      <c r="D361" s="21" t="str" cm="1">
        <f t="array" ref="D361">IF(ROWS($D$7:D361)&gt;COUNTIF('[1]U$S'!$H$5:$H$1008,$L$5),"",INDEX(CuentaUS,_xlfn.AGGREGATE(15,6,ROW('[1]U$S'!$H$5:$H$1008)-ROW('[1]U$S'!$O$5)+1/--('[1]U$S'!$H$5:$H$1008=$L$5),ROWS($D$7:D361)),1))</f>
        <v/>
      </c>
      <c r="E361" s="22" t="str" cm="1">
        <f t="array" ref="E361">IF(ROWS($E$7:E361)&gt;COUNTIF('[1]U$S'!$H$5:$H$1008,$L$5),"",INDEX(CuentaUS,_xlfn.AGGREGATE(15,6,ROW('[1]U$S'!$H$5:$H$1008)-ROW('[1]U$S'!$O$5)+1/--('[1]U$S'!$H$5:$H$1008=$L$5),ROWS($E$7:E361)),6))</f>
        <v/>
      </c>
      <c r="F361" s="22" t="str">
        <f>IF(E361="","",IF(E361&gt;0,SUMIFS('[1]UY$'!$L$5:$L$993,'[1]UY$'!$O$5:$O$993,"Cambio",'[1]UY$'!$E$5:$E$993,'Efecto TC'!D361),""))</f>
        <v/>
      </c>
      <c r="G361" s="23" t="str">
        <f t="shared" si="50"/>
        <v/>
      </c>
      <c r="H361" s="22" t="str">
        <f t="shared" si="51"/>
        <v/>
      </c>
      <c r="I361" s="54" t="str">
        <f t="shared" si="48"/>
        <v/>
      </c>
      <c r="R361" s="24" t="e">
        <f t="shared" si="52"/>
        <v>#VALUE!</v>
      </c>
      <c r="S361" s="25" t="e">
        <f t="shared" si="49"/>
        <v>#VALUE!</v>
      </c>
    </row>
    <row r="362" spans="1:19" x14ac:dyDescent="0.25">
      <c r="A362" t="e">
        <f t="shared" si="46"/>
        <v>#VALUE!</v>
      </c>
      <c r="B362" t="e">
        <f t="shared" si="47"/>
        <v>#VALUE!</v>
      </c>
      <c r="D362" s="21" t="str" cm="1">
        <f t="array" ref="D362">IF(ROWS($D$7:D362)&gt;COUNTIF('[1]U$S'!$H$5:$H$1008,$L$5),"",INDEX(CuentaUS,_xlfn.AGGREGATE(15,6,ROW('[1]U$S'!$H$5:$H$1008)-ROW('[1]U$S'!$O$5)+1/--('[1]U$S'!$H$5:$H$1008=$L$5),ROWS($D$7:D362)),1))</f>
        <v/>
      </c>
      <c r="E362" s="22" t="str" cm="1">
        <f t="array" ref="E362">IF(ROWS($E$7:E362)&gt;COUNTIF('[1]U$S'!$H$5:$H$1008,$L$5),"",INDEX(CuentaUS,_xlfn.AGGREGATE(15,6,ROW('[1]U$S'!$H$5:$H$1008)-ROW('[1]U$S'!$O$5)+1/--('[1]U$S'!$H$5:$H$1008=$L$5),ROWS($E$7:E362)),6))</f>
        <v/>
      </c>
      <c r="F362" s="22" t="str">
        <f>IF(E362="","",IF(E362&gt;0,SUMIFS('[1]UY$'!$L$5:$L$993,'[1]UY$'!$O$5:$O$993,"Cambio",'[1]UY$'!$E$5:$E$993,'Efecto TC'!D362),""))</f>
        <v/>
      </c>
      <c r="G362" s="23" t="str">
        <f t="shared" si="50"/>
        <v/>
      </c>
      <c r="H362" s="22" t="str">
        <f t="shared" si="51"/>
        <v/>
      </c>
      <c r="I362" s="54" t="str">
        <f t="shared" si="48"/>
        <v/>
      </c>
      <c r="R362" s="24" t="e">
        <f t="shared" si="52"/>
        <v>#VALUE!</v>
      </c>
      <c r="S362" s="25" t="e">
        <f t="shared" si="49"/>
        <v>#VALUE!</v>
      </c>
    </row>
    <row r="363" spans="1:19" x14ac:dyDescent="0.25">
      <c r="A363" t="e">
        <f t="shared" si="46"/>
        <v>#VALUE!</v>
      </c>
      <c r="B363" t="e">
        <f t="shared" si="47"/>
        <v>#VALUE!</v>
      </c>
      <c r="D363" s="21" t="str" cm="1">
        <f t="array" ref="D363">IF(ROWS($D$7:D363)&gt;COUNTIF('[1]U$S'!$H$5:$H$1008,$L$5),"",INDEX(CuentaUS,_xlfn.AGGREGATE(15,6,ROW('[1]U$S'!$H$5:$H$1008)-ROW('[1]U$S'!$O$5)+1/--('[1]U$S'!$H$5:$H$1008=$L$5),ROWS($D$7:D363)),1))</f>
        <v/>
      </c>
      <c r="E363" s="22" t="str" cm="1">
        <f t="array" ref="E363">IF(ROWS($E$7:E363)&gt;COUNTIF('[1]U$S'!$H$5:$H$1008,$L$5),"",INDEX(CuentaUS,_xlfn.AGGREGATE(15,6,ROW('[1]U$S'!$H$5:$H$1008)-ROW('[1]U$S'!$O$5)+1/--('[1]U$S'!$H$5:$H$1008=$L$5),ROWS($E$7:E363)),6))</f>
        <v/>
      </c>
      <c r="F363" s="22" t="str">
        <f>IF(E363="","",IF(E363&gt;0,SUMIFS('[1]UY$'!$L$5:$L$993,'[1]UY$'!$O$5:$O$993,"Cambio",'[1]UY$'!$E$5:$E$993,'Efecto TC'!D363),""))</f>
        <v/>
      </c>
      <c r="G363" s="23" t="str">
        <f t="shared" si="50"/>
        <v/>
      </c>
      <c r="H363" s="22" t="str">
        <f t="shared" si="51"/>
        <v/>
      </c>
      <c r="I363" s="54" t="str">
        <f t="shared" si="48"/>
        <v/>
      </c>
      <c r="R363" s="24" t="e">
        <f t="shared" si="52"/>
        <v>#VALUE!</v>
      </c>
      <c r="S363" s="25" t="e">
        <f t="shared" si="49"/>
        <v>#VALUE!</v>
      </c>
    </row>
    <row r="364" spans="1:19" x14ac:dyDescent="0.25">
      <c r="A364" t="e">
        <f t="shared" si="46"/>
        <v>#VALUE!</v>
      </c>
      <c r="B364" t="e">
        <f t="shared" si="47"/>
        <v>#VALUE!</v>
      </c>
      <c r="D364" s="21" t="str" cm="1">
        <f t="array" ref="D364">IF(ROWS($D$7:D364)&gt;COUNTIF('[1]U$S'!$H$5:$H$1008,$L$5),"",INDEX(CuentaUS,_xlfn.AGGREGATE(15,6,ROW('[1]U$S'!$H$5:$H$1008)-ROW('[1]U$S'!$O$5)+1/--('[1]U$S'!$H$5:$H$1008=$L$5),ROWS($D$7:D364)),1))</f>
        <v/>
      </c>
      <c r="E364" s="22" t="str" cm="1">
        <f t="array" ref="E364">IF(ROWS($E$7:E364)&gt;COUNTIF('[1]U$S'!$H$5:$H$1008,$L$5),"",INDEX(CuentaUS,_xlfn.AGGREGATE(15,6,ROW('[1]U$S'!$H$5:$H$1008)-ROW('[1]U$S'!$O$5)+1/--('[1]U$S'!$H$5:$H$1008=$L$5),ROWS($E$7:E364)),6))</f>
        <v/>
      </c>
      <c r="F364" s="22" t="str">
        <f>IF(E364="","",IF(E364&gt;0,SUMIFS('[1]UY$'!$L$5:$L$993,'[1]UY$'!$O$5:$O$993,"Cambio",'[1]UY$'!$E$5:$E$993,'Efecto TC'!D364),""))</f>
        <v/>
      </c>
      <c r="G364" s="23" t="str">
        <f t="shared" si="50"/>
        <v/>
      </c>
      <c r="H364" s="22" t="str">
        <f t="shared" si="51"/>
        <v/>
      </c>
      <c r="I364" s="54" t="str">
        <f t="shared" si="48"/>
        <v/>
      </c>
      <c r="R364" s="24" t="e">
        <f t="shared" si="52"/>
        <v>#VALUE!</v>
      </c>
      <c r="S364" s="25" t="e">
        <f t="shared" si="49"/>
        <v>#VALUE!</v>
      </c>
    </row>
    <row r="365" spans="1:19" x14ac:dyDescent="0.25">
      <c r="A365" t="e">
        <f t="shared" si="46"/>
        <v>#VALUE!</v>
      </c>
      <c r="B365" t="e">
        <f t="shared" si="47"/>
        <v>#VALUE!</v>
      </c>
      <c r="D365" s="21" t="str" cm="1">
        <f t="array" ref="D365">IF(ROWS($D$7:D365)&gt;COUNTIF('[1]U$S'!$H$5:$H$1008,$L$5),"",INDEX(CuentaUS,_xlfn.AGGREGATE(15,6,ROW('[1]U$S'!$H$5:$H$1008)-ROW('[1]U$S'!$O$5)+1/--('[1]U$S'!$H$5:$H$1008=$L$5),ROWS($D$7:D365)),1))</f>
        <v/>
      </c>
      <c r="E365" s="22" t="str" cm="1">
        <f t="array" ref="E365">IF(ROWS($E$7:E365)&gt;COUNTIF('[1]U$S'!$H$5:$H$1008,$L$5),"",INDEX(CuentaUS,_xlfn.AGGREGATE(15,6,ROW('[1]U$S'!$H$5:$H$1008)-ROW('[1]U$S'!$O$5)+1/--('[1]U$S'!$H$5:$H$1008=$L$5),ROWS($E$7:E365)),6))</f>
        <v/>
      </c>
      <c r="F365" s="22" t="str">
        <f>IF(E365="","",IF(E365&gt;0,SUMIFS('[1]UY$'!$L$5:$L$993,'[1]UY$'!$O$5:$O$993,"Cambio",'[1]UY$'!$E$5:$E$993,'Efecto TC'!D365),""))</f>
        <v/>
      </c>
      <c r="G365" s="23" t="str">
        <f t="shared" si="50"/>
        <v/>
      </c>
      <c r="H365" s="22" t="str">
        <f t="shared" si="51"/>
        <v/>
      </c>
      <c r="I365" s="54" t="str">
        <f t="shared" si="48"/>
        <v/>
      </c>
      <c r="R365" s="24" t="e">
        <f t="shared" si="52"/>
        <v>#VALUE!</v>
      </c>
      <c r="S365" s="25" t="e">
        <f t="shared" si="49"/>
        <v>#VALUE!</v>
      </c>
    </row>
    <row r="366" spans="1:19" x14ac:dyDescent="0.25">
      <c r="A366" t="e">
        <f t="shared" si="46"/>
        <v>#VALUE!</v>
      </c>
      <c r="B366" t="e">
        <f t="shared" si="47"/>
        <v>#VALUE!</v>
      </c>
      <c r="D366" s="21" t="str" cm="1">
        <f t="array" ref="D366">IF(ROWS($D$7:D366)&gt;COUNTIF('[1]U$S'!$H$5:$H$1008,$L$5),"",INDEX(CuentaUS,_xlfn.AGGREGATE(15,6,ROW('[1]U$S'!$H$5:$H$1008)-ROW('[1]U$S'!$O$5)+1/--('[1]U$S'!$H$5:$H$1008=$L$5),ROWS($D$7:D366)),1))</f>
        <v/>
      </c>
      <c r="E366" s="22" t="str" cm="1">
        <f t="array" ref="E366">IF(ROWS($E$7:E366)&gt;COUNTIF('[1]U$S'!$H$5:$H$1008,$L$5),"",INDEX(CuentaUS,_xlfn.AGGREGATE(15,6,ROW('[1]U$S'!$H$5:$H$1008)-ROW('[1]U$S'!$O$5)+1/--('[1]U$S'!$H$5:$H$1008=$L$5),ROWS($E$7:E366)),6))</f>
        <v/>
      </c>
      <c r="F366" s="22" t="str">
        <f>IF(E366="","",IF(E366&gt;0,SUMIFS('[1]UY$'!$L$5:$L$993,'[1]UY$'!$O$5:$O$993,"Cambio",'[1]UY$'!$E$5:$E$993,'Efecto TC'!D366),""))</f>
        <v/>
      </c>
      <c r="G366" s="23" t="str">
        <f t="shared" si="50"/>
        <v/>
      </c>
      <c r="H366" s="22" t="str">
        <f t="shared" si="51"/>
        <v/>
      </c>
      <c r="I366" s="54" t="str">
        <f t="shared" si="48"/>
        <v/>
      </c>
      <c r="R366" s="24" t="e">
        <f t="shared" si="52"/>
        <v>#VALUE!</v>
      </c>
      <c r="S366" s="25" t="e">
        <f t="shared" si="49"/>
        <v>#VALUE!</v>
      </c>
    </row>
    <row r="367" spans="1:19" x14ac:dyDescent="0.25">
      <c r="A367" t="e">
        <f t="shared" si="46"/>
        <v>#VALUE!</v>
      </c>
      <c r="B367" t="e">
        <f t="shared" si="47"/>
        <v>#VALUE!</v>
      </c>
      <c r="D367" s="21" t="str" cm="1">
        <f t="array" ref="D367">IF(ROWS($D$7:D367)&gt;COUNTIF('[1]U$S'!$H$5:$H$1008,$L$5),"",INDEX(CuentaUS,_xlfn.AGGREGATE(15,6,ROW('[1]U$S'!$H$5:$H$1008)-ROW('[1]U$S'!$O$5)+1/--('[1]U$S'!$H$5:$H$1008=$L$5),ROWS($D$7:D367)),1))</f>
        <v/>
      </c>
      <c r="E367" s="22" t="str" cm="1">
        <f t="array" ref="E367">IF(ROWS($E$7:E367)&gt;COUNTIF('[1]U$S'!$H$5:$H$1008,$L$5),"",INDEX(CuentaUS,_xlfn.AGGREGATE(15,6,ROW('[1]U$S'!$H$5:$H$1008)-ROW('[1]U$S'!$O$5)+1/--('[1]U$S'!$H$5:$H$1008=$L$5),ROWS($E$7:E367)),6))</f>
        <v/>
      </c>
      <c r="F367" s="22" t="str">
        <f>IF(E367="","",IF(E367&gt;0,SUMIFS('[1]UY$'!$L$5:$L$993,'[1]UY$'!$O$5:$O$993,"Cambio",'[1]UY$'!$E$5:$E$993,'Efecto TC'!D367),""))</f>
        <v/>
      </c>
      <c r="G367" s="23" t="str">
        <f t="shared" si="50"/>
        <v/>
      </c>
      <c r="H367" s="22" t="str">
        <f t="shared" si="51"/>
        <v/>
      </c>
      <c r="I367" s="54" t="str">
        <f t="shared" si="48"/>
        <v/>
      </c>
      <c r="R367" s="24" t="e">
        <f t="shared" si="52"/>
        <v>#VALUE!</v>
      </c>
      <c r="S367" s="25" t="e">
        <f t="shared" si="49"/>
        <v>#VALUE!</v>
      </c>
    </row>
    <row r="368" spans="1:19" x14ac:dyDescent="0.25">
      <c r="A368" t="e">
        <f t="shared" si="46"/>
        <v>#VALUE!</v>
      </c>
      <c r="B368" t="e">
        <f t="shared" si="47"/>
        <v>#VALUE!</v>
      </c>
      <c r="D368" s="21" t="str" cm="1">
        <f t="array" ref="D368">IF(ROWS($D$7:D368)&gt;COUNTIF('[1]U$S'!$H$5:$H$1008,$L$5),"",INDEX(CuentaUS,_xlfn.AGGREGATE(15,6,ROW('[1]U$S'!$H$5:$H$1008)-ROW('[1]U$S'!$O$5)+1/--('[1]U$S'!$H$5:$H$1008=$L$5),ROWS($D$7:D368)),1))</f>
        <v/>
      </c>
      <c r="E368" s="22" t="str" cm="1">
        <f t="array" ref="E368">IF(ROWS($E$7:E368)&gt;COUNTIF('[1]U$S'!$H$5:$H$1008,$L$5),"",INDEX(CuentaUS,_xlfn.AGGREGATE(15,6,ROW('[1]U$S'!$H$5:$H$1008)-ROW('[1]U$S'!$O$5)+1/--('[1]U$S'!$H$5:$H$1008=$L$5),ROWS($E$7:E368)),6))</f>
        <v/>
      </c>
      <c r="F368" s="22" t="str">
        <f>IF(E368="","",IF(E368&gt;0,SUMIFS('[1]UY$'!$L$5:$L$993,'[1]UY$'!$O$5:$O$993,"Cambio",'[1]UY$'!$E$5:$E$993,'Efecto TC'!D368),""))</f>
        <v/>
      </c>
      <c r="G368" s="23" t="str">
        <f t="shared" si="50"/>
        <v/>
      </c>
      <c r="H368" s="22" t="str">
        <f t="shared" si="51"/>
        <v/>
      </c>
      <c r="I368" s="54" t="str">
        <f t="shared" si="48"/>
        <v/>
      </c>
      <c r="R368" s="24" t="e">
        <f t="shared" si="52"/>
        <v>#VALUE!</v>
      </c>
      <c r="S368" s="25" t="e">
        <f t="shared" si="49"/>
        <v>#VALUE!</v>
      </c>
    </row>
    <row r="369" spans="1:19" x14ac:dyDescent="0.25">
      <c r="A369" t="e">
        <f t="shared" si="46"/>
        <v>#VALUE!</v>
      </c>
      <c r="B369" t="e">
        <f t="shared" si="47"/>
        <v>#VALUE!</v>
      </c>
      <c r="D369" s="21" t="str" cm="1">
        <f t="array" ref="D369">IF(ROWS($D$7:D369)&gt;COUNTIF('[1]U$S'!$H$5:$H$1008,$L$5),"",INDEX(CuentaUS,_xlfn.AGGREGATE(15,6,ROW('[1]U$S'!$H$5:$H$1008)-ROW('[1]U$S'!$O$5)+1/--('[1]U$S'!$H$5:$H$1008=$L$5),ROWS($D$7:D369)),1))</f>
        <v/>
      </c>
      <c r="E369" s="22" t="str" cm="1">
        <f t="array" ref="E369">IF(ROWS($E$7:E369)&gt;COUNTIF('[1]U$S'!$H$5:$H$1008,$L$5),"",INDEX(CuentaUS,_xlfn.AGGREGATE(15,6,ROW('[1]U$S'!$H$5:$H$1008)-ROW('[1]U$S'!$O$5)+1/--('[1]U$S'!$H$5:$H$1008=$L$5),ROWS($E$7:E369)),6))</f>
        <v/>
      </c>
      <c r="F369" s="22" t="str">
        <f>IF(E369="","",IF(E369&gt;0,SUMIFS('[1]UY$'!$L$5:$L$993,'[1]UY$'!$O$5:$O$993,"Cambio",'[1]UY$'!$E$5:$E$993,'Efecto TC'!D369),""))</f>
        <v/>
      </c>
      <c r="G369" s="23" t="str">
        <f t="shared" si="50"/>
        <v/>
      </c>
      <c r="H369" s="22" t="str">
        <f t="shared" si="51"/>
        <v/>
      </c>
      <c r="I369" s="54" t="str">
        <f t="shared" si="48"/>
        <v/>
      </c>
      <c r="R369" s="24" t="e">
        <f t="shared" si="52"/>
        <v>#VALUE!</v>
      </c>
      <c r="S369" s="25" t="e">
        <f t="shared" si="49"/>
        <v>#VALUE!</v>
      </c>
    </row>
    <row r="370" spans="1:19" x14ac:dyDescent="0.25">
      <c r="A370" t="e">
        <f t="shared" si="46"/>
        <v>#VALUE!</v>
      </c>
      <c r="B370" t="e">
        <f t="shared" si="47"/>
        <v>#VALUE!</v>
      </c>
      <c r="D370" s="21" t="str" cm="1">
        <f t="array" ref="D370">IF(ROWS($D$7:D370)&gt;COUNTIF('[1]U$S'!$H$5:$H$1008,$L$5),"",INDEX(CuentaUS,_xlfn.AGGREGATE(15,6,ROW('[1]U$S'!$H$5:$H$1008)-ROW('[1]U$S'!$O$5)+1/--('[1]U$S'!$H$5:$H$1008=$L$5),ROWS($D$7:D370)),1))</f>
        <v/>
      </c>
      <c r="E370" s="22" t="str" cm="1">
        <f t="array" ref="E370">IF(ROWS($E$7:E370)&gt;COUNTIF('[1]U$S'!$H$5:$H$1008,$L$5),"",INDEX(CuentaUS,_xlfn.AGGREGATE(15,6,ROW('[1]U$S'!$H$5:$H$1008)-ROW('[1]U$S'!$O$5)+1/--('[1]U$S'!$H$5:$H$1008=$L$5),ROWS($E$7:E370)),6))</f>
        <v/>
      </c>
      <c r="F370" s="22" t="str">
        <f>IF(E370="","",IF(E370&gt;0,SUMIFS('[1]UY$'!$L$5:$L$993,'[1]UY$'!$O$5:$O$993,"Cambio",'[1]UY$'!$E$5:$E$993,'Efecto TC'!D370),""))</f>
        <v/>
      </c>
      <c r="G370" s="23" t="str">
        <f t="shared" si="50"/>
        <v/>
      </c>
      <c r="H370" s="22" t="str">
        <f t="shared" si="51"/>
        <v/>
      </c>
      <c r="I370" s="54" t="str">
        <f t="shared" si="48"/>
        <v/>
      </c>
      <c r="R370" s="24" t="e">
        <f t="shared" si="52"/>
        <v>#VALUE!</v>
      </c>
      <c r="S370" s="25" t="e">
        <f t="shared" si="49"/>
        <v>#VALUE!</v>
      </c>
    </row>
    <row r="371" spans="1:19" x14ac:dyDescent="0.25">
      <c r="A371" t="e">
        <f t="shared" si="46"/>
        <v>#VALUE!</v>
      </c>
      <c r="B371" t="e">
        <f t="shared" si="47"/>
        <v>#VALUE!</v>
      </c>
      <c r="D371" s="21" t="str" cm="1">
        <f t="array" ref="D371">IF(ROWS($D$7:D371)&gt;COUNTIF('[1]U$S'!$H$5:$H$1008,$L$5),"",INDEX(CuentaUS,_xlfn.AGGREGATE(15,6,ROW('[1]U$S'!$H$5:$H$1008)-ROW('[1]U$S'!$O$5)+1/--('[1]U$S'!$H$5:$H$1008=$L$5),ROWS($D$7:D371)),1))</f>
        <v/>
      </c>
      <c r="E371" s="22" t="str" cm="1">
        <f t="array" ref="E371">IF(ROWS($E$7:E371)&gt;COUNTIF('[1]U$S'!$H$5:$H$1008,$L$5),"",INDEX(CuentaUS,_xlfn.AGGREGATE(15,6,ROW('[1]U$S'!$H$5:$H$1008)-ROW('[1]U$S'!$O$5)+1/--('[1]U$S'!$H$5:$H$1008=$L$5),ROWS($E$7:E371)),6))</f>
        <v/>
      </c>
      <c r="F371" s="22" t="str">
        <f>IF(E371="","",IF(E371&gt;0,SUMIFS('[1]UY$'!$L$5:$L$993,'[1]UY$'!$O$5:$O$993,"Cambio",'[1]UY$'!$E$5:$E$993,'Efecto TC'!D371),""))</f>
        <v/>
      </c>
      <c r="G371" s="23" t="str">
        <f t="shared" si="50"/>
        <v/>
      </c>
      <c r="H371" s="22" t="str">
        <f t="shared" si="51"/>
        <v/>
      </c>
      <c r="I371" s="54" t="str">
        <f t="shared" si="48"/>
        <v/>
      </c>
      <c r="R371" s="24" t="e">
        <f t="shared" si="52"/>
        <v>#VALUE!</v>
      </c>
      <c r="S371" s="25" t="e">
        <f t="shared" si="49"/>
        <v>#VALUE!</v>
      </c>
    </row>
    <row r="372" spans="1:19" x14ac:dyDescent="0.25">
      <c r="A372" t="e">
        <f t="shared" si="46"/>
        <v>#VALUE!</v>
      </c>
      <c r="B372" t="e">
        <f t="shared" si="47"/>
        <v>#VALUE!</v>
      </c>
      <c r="D372" s="21" t="str" cm="1">
        <f t="array" ref="D372">IF(ROWS($D$7:D372)&gt;COUNTIF('[1]U$S'!$H$5:$H$1008,$L$5),"",INDEX(CuentaUS,_xlfn.AGGREGATE(15,6,ROW('[1]U$S'!$H$5:$H$1008)-ROW('[1]U$S'!$O$5)+1/--('[1]U$S'!$H$5:$H$1008=$L$5),ROWS($D$7:D372)),1))</f>
        <v/>
      </c>
      <c r="E372" s="22" t="str" cm="1">
        <f t="array" ref="E372">IF(ROWS($E$7:E372)&gt;COUNTIF('[1]U$S'!$H$5:$H$1008,$L$5),"",INDEX(CuentaUS,_xlfn.AGGREGATE(15,6,ROW('[1]U$S'!$H$5:$H$1008)-ROW('[1]U$S'!$O$5)+1/--('[1]U$S'!$H$5:$H$1008=$L$5),ROWS($E$7:E372)),6))</f>
        <v/>
      </c>
      <c r="F372" s="22" t="str">
        <f>IF(E372="","",IF(E372&gt;0,SUMIFS('[1]UY$'!$L$5:$L$993,'[1]UY$'!$O$5:$O$993,"Cambio",'[1]UY$'!$E$5:$E$993,'Efecto TC'!D372),""))</f>
        <v/>
      </c>
      <c r="G372" s="23" t="str">
        <f t="shared" si="50"/>
        <v/>
      </c>
      <c r="H372" s="22" t="str">
        <f t="shared" si="51"/>
        <v/>
      </c>
      <c r="I372" s="54" t="str">
        <f t="shared" si="48"/>
        <v/>
      </c>
      <c r="R372" s="24" t="e">
        <f t="shared" si="52"/>
        <v>#VALUE!</v>
      </c>
      <c r="S372" s="25" t="e">
        <f t="shared" si="49"/>
        <v>#VALUE!</v>
      </c>
    </row>
    <row r="373" spans="1:19" x14ac:dyDescent="0.25">
      <c r="A373" t="e">
        <f t="shared" si="46"/>
        <v>#VALUE!</v>
      </c>
      <c r="B373" t="e">
        <f t="shared" si="47"/>
        <v>#VALUE!</v>
      </c>
      <c r="D373" s="21" t="str" cm="1">
        <f t="array" ref="D373">IF(ROWS($D$7:D373)&gt;COUNTIF('[1]U$S'!$H$5:$H$1008,$L$5),"",INDEX(CuentaUS,_xlfn.AGGREGATE(15,6,ROW('[1]U$S'!$H$5:$H$1008)-ROW('[1]U$S'!$O$5)+1/--('[1]U$S'!$H$5:$H$1008=$L$5),ROWS($D$7:D373)),1))</f>
        <v/>
      </c>
      <c r="E373" s="22" t="str" cm="1">
        <f t="array" ref="E373">IF(ROWS($E$7:E373)&gt;COUNTIF('[1]U$S'!$H$5:$H$1008,$L$5),"",INDEX(CuentaUS,_xlfn.AGGREGATE(15,6,ROW('[1]U$S'!$H$5:$H$1008)-ROW('[1]U$S'!$O$5)+1/--('[1]U$S'!$H$5:$H$1008=$L$5),ROWS($E$7:E373)),6))</f>
        <v/>
      </c>
      <c r="F373" s="22" t="str">
        <f>IF(E373="","",IF(E373&gt;0,SUMIFS('[1]UY$'!$L$5:$L$993,'[1]UY$'!$O$5:$O$993,"Cambio",'[1]UY$'!$E$5:$E$993,'Efecto TC'!D373),""))</f>
        <v/>
      </c>
      <c r="G373" s="23" t="str">
        <f t="shared" si="50"/>
        <v/>
      </c>
      <c r="H373" s="22" t="str">
        <f t="shared" si="51"/>
        <v/>
      </c>
      <c r="I373" s="54" t="str">
        <f t="shared" si="48"/>
        <v/>
      </c>
      <c r="R373" s="24" t="e">
        <f t="shared" si="52"/>
        <v>#VALUE!</v>
      </c>
      <c r="S373" s="25" t="e">
        <f t="shared" si="49"/>
        <v>#VALUE!</v>
      </c>
    </row>
    <row r="374" spans="1:19" x14ac:dyDescent="0.25">
      <c r="A374" t="e">
        <f t="shared" si="46"/>
        <v>#VALUE!</v>
      </c>
      <c r="B374" t="e">
        <f t="shared" si="47"/>
        <v>#VALUE!</v>
      </c>
      <c r="D374" s="21" t="str" cm="1">
        <f t="array" ref="D374">IF(ROWS($D$7:D374)&gt;COUNTIF('[1]U$S'!$H$5:$H$1008,$L$5),"",INDEX(CuentaUS,_xlfn.AGGREGATE(15,6,ROW('[1]U$S'!$H$5:$H$1008)-ROW('[1]U$S'!$O$5)+1/--('[1]U$S'!$H$5:$H$1008=$L$5),ROWS($D$7:D374)),1))</f>
        <v/>
      </c>
      <c r="E374" s="22" t="str" cm="1">
        <f t="array" ref="E374">IF(ROWS($E$7:E374)&gt;COUNTIF('[1]U$S'!$H$5:$H$1008,$L$5),"",INDEX(CuentaUS,_xlfn.AGGREGATE(15,6,ROW('[1]U$S'!$H$5:$H$1008)-ROW('[1]U$S'!$O$5)+1/--('[1]U$S'!$H$5:$H$1008=$L$5),ROWS($E$7:E374)),6))</f>
        <v/>
      </c>
      <c r="F374" s="22" t="str">
        <f>IF(E374="","",IF(E374&gt;0,SUMIFS('[1]UY$'!$L$5:$L$993,'[1]UY$'!$O$5:$O$993,"Cambio",'[1]UY$'!$E$5:$E$993,'Efecto TC'!D374),""))</f>
        <v/>
      </c>
      <c r="G374" s="23" t="str">
        <f t="shared" si="50"/>
        <v/>
      </c>
      <c r="H374" s="22" t="str">
        <f t="shared" si="51"/>
        <v/>
      </c>
      <c r="I374" s="54" t="str">
        <f t="shared" si="48"/>
        <v/>
      </c>
      <c r="R374" s="24" t="e">
        <f t="shared" si="52"/>
        <v>#VALUE!</v>
      </c>
      <c r="S374" s="25" t="e">
        <f t="shared" si="49"/>
        <v>#VALUE!</v>
      </c>
    </row>
    <row r="375" spans="1:19" x14ac:dyDescent="0.25">
      <c r="A375" t="e">
        <f t="shared" si="46"/>
        <v>#VALUE!</v>
      </c>
      <c r="B375" t="e">
        <f t="shared" si="47"/>
        <v>#VALUE!</v>
      </c>
      <c r="D375" s="21" t="str" cm="1">
        <f t="array" ref="D375">IF(ROWS($D$7:D375)&gt;COUNTIF('[1]U$S'!$H$5:$H$1008,$L$5),"",INDEX(CuentaUS,_xlfn.AGGREGATE(15,6,ROW('[1]U$S'!$H$5:$H$1008)-ROW('[1]U$S'!$O$5)+1/--('[1]U$S'!$H$5:$H$1008=$L$5),ROWS($D$7:D375)),1))</f>
        <v/>
      </c>
      <c r="E375" s="22" t="str" cm="1">
        <f t="array" ref="E375">IF(ROWS($E$7:E375)&gt;COUNTIF('[1]U$S'!$H$5:$H$1008,$L$5),"",INDEX(CuentaUS,_xlfn.AGGREGATE(15,6,ROW('[1]U$S'!$H$5:$H$1008)-ROW('[1]U$S'!$O$5)+1/--('[1]U$S'!$H$5:$H$1008=$L$5),ROWS($E$7:E375)),6))</f>
        <v/>
      </c>
      <c r="F375" s="22" t="str">
        <f>IF(E375="","",IF(E375&gt;0,SUMIFS('[1]UY$'!$L$5:$L$993,'[1]UY$'!$O$5:$O$993,"Cambio",'[1]UY$'!$E$5:$E$993,'Efecto TC'!D375),""))</f>
        <v/>
      </c>
      <c r="G375" s="23" t="str">
        <f t="shared" si="50"/>
        <v/>
      </c>
      <c r="H375" s="22" t="str">
        <f t="shared" si="51"/>
        <v/>
      </c>
      <c r="I375" s="54" t="str">
        <f t="shared" si="48"/>
        <v/>
      </c>
      <c r="R375" s="24" t="e">
        <f t="shared" si="52"/>
        <v>#VALUE!</v>
      </c>
      <c r="S375" s="25" t="e">
        <f t="shared" si="49"/>
        <v>#VALUE!</v>
      </c>
    </row>
    <row r="376" spans="1:19" x14ac:dyDescent="0.25">
      <c r="A376" t="e">
        <f t="shared" si="46"/>
        <v>#VALUE!</v>
      </c>
      <c r="B376" t="e">
        <f t="shared" si="47"/>
        <v>#VALUE!</v>
      </c>
      <c r="D376" s="21" t="str" cm="1">
        <f t="array" ref="D376">IF(ROWS($D$7:D376)&gt;COUNTIF('[1]U$S'!$H$5:$H$1008,$L$5),"",INDEX(CuentaUS,_xlfn.AGGREGATE(15,6,ROW('[1]U$S'!$H$5:$H$1008)-ROW('[1]U$S'!$O$5)+1/--('[1]U$S'!$H$5:$H$1008=$L$5),ROWS($D$7:D376)),1))</f>
        <v/>
      </c>
      <c r="E376" s="22" t="str" cm="1">
        <f t="array" ref="E376">IF(ROWS($E$7:E376)&gt;COUNTIF('[1]U$S'!$H$5:$H$1008,$L$5),"",INDEX(CuentaUS,_xlfn.AGGREGATE(15,6,ROW('[1]U$S'!$H$5:$H$1008)-ROW('[1]U$S'!$O$5)+1/--('[1]U$S'!$H$5:$H$1008=$L$5),ROWS($E$7:E376)),6))</f>
        <v/>
      </c>
      <c r="F376" s="22" t="str">
        <f>IF(E376="","",IF(E376&gt;0,SUMIFS('[1]UY$'!$L$5:$L$993,'[1]UY$'!$O$5:$O$993,"Cambio",'[1]UY$'!$E$5:$E$993,'Efecto TC'!D376),""))</f>
        <v/>
      </c>
      <c r="G376" s="23" t="str">
        <f t="shared" si="50"/>
        <v/>
      </c>
      <c r="H376" s="22" t="str">
        <f t="shared" si="51"/>
        <v/>
      </c>
      <c r="I376" s="54" t="str">
        <f t="shared" si="48"/>
        <v/>
      </c>
      <c r="R376" s="24" t="e">
        <f t="shared" si="52"/>
        <v>#VALUE!</v>
      </c>
      <c r="S376" s="25" t="e">
        <f t="shared" si="49"/>
        <v>#VALUE!</v>
      </c>
    </row>
    <row r="377" spans="1:19" x14ac:dyDescent="0.25">
      <c r="A377" t="e">
        <f t="shared" si="46"/>
        <v>#VALUE!</v>
      </c>
      <c r="B377" t="e">
        <f t="shared" si="47"/>
        <v>#VALUE!</v>
      </c>
      <c r="D377" s="21" t="str" cm="1">
        <f t="array" ref="D377">IF(ROWS($D$7:D377)&gt;COUNTIF('[1]U$S'!$H$5:$H$1008,$L$5),"",INDEX(CuentaUS,_xlfn.AGGREGATE(15,6,ROW('[1]U$S'!$H$5:$H$1008)-ROW('[1]U$S'!$O$5)+1/--('[1]U$S'!$H$5:$H$1008=$L$5),ROWS($D$7:D377)),1))</f>
        <v/>
      </c>
      <c r="E377" s="22" t="str" cm="1">
        <f t="array" ref="E377">IF(ROWS($E$7:E377)&gt;COUNTIF('[1]U$S'!$H$5:$H$1008,$L$5),"",INDEX(CuentaUS,_xlfn.AGGREGATE(15,6,ROW('[1]U$S'!$H$5:$H$1008)-ROW('[1]U$S'!$O$5)+1/--('[1]U$S'!$H$5:$H$1008=$L$5),ROWS($E$7:E377)),6))</f>
        <v/>
      </c>
      <c r="F377" s="22" t="str">
        <f>IF(E377="","",IF(E377&gt;0,SUMIFS('[1]UY$'!$L$5:$L$993,'[1]UY$'!$O$5:$O$993,"Cambio",'[1]UY$'!$E$5:$E$993,'Efecto TC'!D377),""))</f>
        <v/>
      </c>
      <c r="G377" s="23" t="str">
        <f t="shared" si="50"/>
        <v/>
      </c>
      <c r="H377" s="22" t="str">
        <f t="shared" si="51"/>
        <v/>
      </c>
      <c r="I377" s="54" t="str">
        <f t="shared" si="48"/>
        <v/>
      </c>
      <c r="R377" s="24" t="e">
        <f t="shared" si="52"/>
        <v>#VALUE!</v>
      </c>
      <c r="S377" s="25" t="e">
        <f t="shared" si="49"/>
        <v>#VALUE!</v>
      </c>
    </row>
    <row r="378" spans="1:19" x14ac:dyDescent="0.25">
      <c r="A378" t="e">
        <f t="shared" si="46"/>
        <v>#VALUE!</v>
      </c>
      <c r="B378" t="e">
        <f t="shared" si="47"/>
        <v>#VALUE!</v>
      </c>
      <c r="D378" s="21" t="str" cm="1">
        <f t="array" ref="D378">IF(ROWS($D$7:D378)&gt;COUNTIF('[1]U$S'!$H$5:$H$1008,$L$5),"",INDEX(CuentaUS,_xlfn.AGGREGATE(15,6,ROW('[1]U$S'!$H$5:$H$1008)-ROW('[1]U$S'!$O$5)+1/--('[1]U$S'!$H$5:$H$1008=$L$5),ROWS($D$7:D378)),1))</f>
        <v/>
      </c>
      <c r="E378" s="22" t="str" cm="1">
        <f t="array" ref="E378">IF(ROWS($E$7:E378)&gt;COUNTIF('[1]U$S'!$H$5:$H$1008,$L$5),"",INDEX(CuentaUS,_xlfn.AGGREGATE(15,6,ROW('[1]U$S'!$H$5:$H$1008)-ROW('[1]U$S'!$O$5)+1/--('[1]U$S'!$H$5:$H$1008=$L$5),ROWS($E$7:E378)),6))</f>
        <v/>
      </c>
      <c r="F378" s="22" t="str">
        <f>IF(E378="","",IF(E378&gt;0,SUMIFS('[1]UY$'!$L$5:$L$993,'[1]UY$'!$O$5:$O$993,"Cambio",'[1]UY$'!$E$5:$E$993,'Efecto TC'!D378),""))</f>
        <v/>
      </c>
      <c r="G378" s="23" t="str">
        <f t="shared" si="50"/>
        <v/>
      </c>
      <c r="H378" s="22" t="str">
        <f t="shared" si="51"/>
        <v/>
      </c>
      <c r="I378" s="54" t="str">
        <f t="shared" si="48"/>
        <v/>
      </c>
      <c r="R378" s="24" t="e">
        <f t="shared" si="52"/>
        <v>#VALUE!</v>
      </c>
      <c r="S378" s="25" t="e">
        <f t="shared" si="49"/>
        <v>#VALUE!</v>
      </c>
    </row>
    <row r="379" spans="1:19" x14ac:dyDescent="0.25">
      <c r="A379" t="e">
        <f t="shared" si="46"/>
        <v>#VALUE!</v>
      </c>
      <c r="B379" t="e">
        <f t="shared" si="47"/>
        <v>#VALUE!</v>
      </c>
      <c r="D379" s="21" t="str" cm="1">
        <f t="array" ref="D379">IF(ROWS($D$7:D379)&gt;COUNTIF('[1]U$S'!$H$5:$H$1008,$L$5),"",INDEX(CuentaUS,_xlfn.AGGREGATE(15,6,ROW('[1]U$S'!$H$5:$H$1008)-ROW('[1]U$S'!$O$5)+1/--('[1]U$S'!$H$5:$H$1008=$L$5),ROWS($D$7:D379)),1))</f>
        <v/>
      </c>
      <c r="E379" s="22" t="str" cm="1">
        <f t="array" ref="E379">IF(ROWS($E$7:E379)&gt;COUNTIF('[1]U$S'!$H$5:$H$1008,$L$5),"",INDEX(CuentaUS,_xlfn.AGGREGATE(15,6,ROW('[1]U$S'!$H$5:$H$1008)-ROW('[1]U$S'!$O$5)+1/--('[1]U$S'!$H$5:$H$1008=$L$5),ROWS($E$7:E379)),6))</f>
        <v/>
      </c>
      <c r="F379" s="22" t="str">
        <f>IF(E379="","",IF(E379&gt;0,SUMIFS('[1]UY$'!$L$5:$L$993,'[1]UY$'!$O$5:$O$993,"Cambio",'[1]UY$'!$E$5:$E$993,'Efecto TC'!D379),""))</f>
        <v/>
      </c>
      <c r="G379" s="23" t="str">
        <f t="shared" si="50"/>
        <v/>
      </c>
      <c r="H379" s="22" t="str">
        <f t="shared" si="51"/>
        <v/>
      </c>
      <c r="I379" s="54" t="str">
        <f t="shared" si="48"/>
        <v/>
      </c>
      <c r="R379" s="24" t="e">
        <f t="shared" si="52"/>
        <v>#VALUE!</v>
      </c>
      <c r="S379" s="25" t="e">
        <f t="shared" si="49"/>
        <v>#VALUE!</v>
      </c>
    </row>
    <row r="380" spans="1:19" x14ac:dyDescent="0.25">
      <c r="A380" t="e">
        <f t="shared" si="46"/>
        <v>#VALUE!</v>
      </c>
      <c r="B380" t="e">
        <f t="shared" si="47"/>
        <v>#VALUE!</v>
      </c>
      <c r="D380" s="21" t="str" cm="1">
        <f t="array" ref="D380">IF(ROWS($D$7:D380)&gt;COUNTIF('[1]U$S'!$H$5:$H$1008,$L$5),"",INDEX(CuentaUS,_xlfn.AGGREGATE(15,6,ROW('[1]U$S'!$H$5:$H$1008)-ROW('[1]U$S'!$O$5)+1/--('[1]U$S'!$H$5:$H$1008=$L$5),ROWS($D$7:D380)),1))</f>
        <v/>
      </c>
      <c r="E380" s="22" t="str" cm="1">
        <f t="array" ref="E380">IF(ROWS($E$7:E380)&gt;COUNTIF('[1]U$S'!$H$5:$H$1008,$L$5),"",INDEX(CuentaUS,_xlfn.AGGREGATE(15,6,ROW('[1]U$S'!$H$5:$H$1008)-ROW('[1]U$S'!$O$5)+1/--('[1]U$S'!$H$5:$H$1008=$L$5),ROWS($E$7:E380)),6))</f>
        <v/>
      </c>
      <c r="F380" s="22" t="str">
        <f>IF(E380="","",IF(E380&gt;0,SUMIFS('[1]UY$'!$L$5:$L$993,'[1]UY$'!$O$5:$O$993,"Cambio",'[1]UY$'!$E$5:$E$993,'Efecto TC'!D380),""))</f>
        <v/>
      </c>
      <c r="G380" s="23" t="str">
        <f t="shared" si="50"/>
        <v/>
      </c>
      <c r="H380" s="22" t="str">
        <f t="shared" si="51"/>
        <v/>
      </c>
      <c r="I380" s="54" t="str">
        <f t="shared" si="48"/>
        <v/>
      </c>
      <c r="R380" s="24" t="e">
        <f t="shared" si="52"/>
        <v>#VALUE!</v>
      </c>
      <c r="S380" s="25" t="e">
        <f t="shared" si="49"/>
        <v>#VALUE!</v>
      </c>
    </row>
    <row r="381" spans="1:19" x14ac:dyDescent="0.25">
      <c r="A381" t="e">
        <f t="shared" si="46"/>
        <v>#VALUE!</v>
      </c>
      <c r="B381" t="e">
        <f t="shared" si="47"/>
        <v>#VALUE!</v>
      </c>
      <c r="D381" s="21" t="str" cm="1">
        <f t="array" ref="D381">IF(ROWS($D$7:D381)&gt;COUNTIF('[1]U$S'!$H$5:$H$1008,$L$5),"",INDEX(CuentaUS,_xlfn.AGGREGATE(15,6,ROW('[1]U$S'!$H$5:$H$1008)-ROW('[1]U$S'!$O$5)+1/--('[1]U$S'!$H$5:$H$1008=$L$5),ROWS($D$7:D381)),1))</f>
        <v/>
      </c>
      <c r="E381" s="22" t="str" cm="1">
        <f t="array" ref="E381">IF(ROWS($E$7:E381)&gt;COUNTIF('[1]U$S'!$H$5:$H$1008,$L$5),"",INDEX(CuentaUS,_xlfn.AGGREGATE(15,6,ROW('[1]U$S'!$H$5:$H$1008)-ROW('[1]U$S'!$O$5)+1/--('[1]U$S'!$H$5:$H$1008=$L$5),ROWS($E$7:E381)),6))</f>
        <v/>
      </c>
      <c r="F381" s="22" t="str">
        <f>IF(E381="","",IF(E381&gt;0,SUMIFS('[1]UY$'!$L$5:$L$993,'[1]UY$'!$O$5:$O$993,"Cambio",'[1]UY$'!$E$5:$E$993,'Efecto TC'!D381),""))</f>
        <v/>
      </c>
      <c r="G381" s="23" t="str">
        <f t="shared" si="50"/>
        <v/>
      </c>
      <c r="H381" s="22" t="str">
        <f t="shared" si="51"/>
        <v/>
      </c>
      <c r="I381" s="54" t="str">
        <f t="shared" si="48"/>
        <v/>
      </c>
      <c r="R381" s="24" t="e">
        <f t="shared" si="52"/>
        <v>#VALUE!</v>
      </c>
      <c r="S381" s="25" t="e">
        <f t="shared" si="49"/>
        <v>#VALUE!</v>
      </c>
    </row>
    <row r="382" spans="1:19" x14ac:dyDescent="0.25">
      <c r="A382" t="e">
        <f t="shared" si="46"/>
        <v>#VALUE!</v>
      </c>
      <c r="B382" t="e">
        <f t="shared" si="47"/>
        <v>#VALUE!</v>
      </c>
      <c r="D382" s="21" t="str" cm="1">
        <f t="array" ref="D382">IF(ROWS($D$7:D382)&gt;COUNTIF('[1]U$S'!$H$5:$H$1008,$L$5),"",INDEX(CuentaUS,_xlfn.AGGREGATE(15,6,ROW('[1]U$S'!$H$5:$H$1008)-ROW('[1]U$S'!$O$5)+1/--('[1]U$S'!$H$5:$H$1008=$L$5),ROWS($D$7:D382)),1))</f>
        <v/>
      </c>
      <c r="E382" s="22" t="str" cm="1">
        <f t="array" ref="E382">IF(ROWS($E$7:E382)&gt;COUNTIF('[1]U$S'!$H$5:$H$1008,$L$5),"",INDEX(CuentaUS,_xlfn.AGGREGATE(15,6,ROW('[1]U$S'!$H$5:$H$1008)-ROW('[1]U$S'!$O$5)+1/--('[1]U$S'!$H$5:$H$1008=$L$5),ROWS($E$7:E382)),6))</f>
        <v/>
      </c>
      <c r="F382" s="22" t="str">
        <f>IF(E382="","",IF(E382&gt;0,SUMIFS('[1]UY$'!$L$5:$L$993,'[1]UY$'!$O$5:$O$993,"Cambio",'[1]UY$'!$E$5:$E$993,'Efecto TC'!D382),""))</f>
        <v/>
      </c>
      <c r="G382" s="23" t="str">
        <f t="shared" si="50"/>
        <v/>
      </c>
      <c r="H382" s="22" t="str">
        <f t="shared" si="51"/>
        <v/>
      </c>
      <c r="I382" s="54" t="str">
        <f t="shared" si="48"/>
        <v/>
      </c>
      <c r="R382" s="24" t="e">
        <f t="shared" si="52"/>
        <v>#VALUE!</v>
      </c>
      <c r="S382" s="25" t="e">
        <f t="shared" si="49"/>
        <v>#VALUE!</v>
      </c>
    </row>
    <row r="383" spans="1:19" x14ac:dyDescent="0.25">
      <c r="A383" t="e">
        <f t="shared" si="46"/>
        <v>#VALUE!</v>
      </c>
      <c r="B383" t="e">
        <f t="shared" si="47"/>
        <v>#VALUE!</v>
      </c>
      <c r="D383" s="21" t="str" cm="1">
        <f t="array" ref="D383">IF(ROWS($D$7:D383)&gt;COUNTIF('[1]U$S'!$H$5:$H$1008,$L$5),"",INDEX(CuentaUS,_xlfn.AGGREGATE(15,6,ROW('[1]U$S'!$H$5:$H$1008)-ROW('[1]U$S'!$O$5)+1/--('[1]U$S'!$H$5:$H$1008=$L$5),ROWS($D$7:D383)),1))</f>
        <v/>
      </c>
      <c r="E383" s="22" t="str" cm="1">
        <f t="array" ref="E383">IF(ROWS($E$7:E383)&gt;COUNTIF('[1]U$S'!$H$5:$H$1008,$L$5),"",INDEX(CuentaUS,_xlfn.AGGREGATE(15,6,ROW('[1]U$S'!$H$5:$H$1008)-ROW('[1]U$S'!$O$5)+1/--('[1]U$S'!$H$5:$H$1008=$L$5),ROWS($E$7:E383)),6))</f>
        <v/>
      </c>
      <c r="F383" s="22" t="str">
        <f>IF(E383="","",IF(E383&gt;0,SUMIFS('[1]UY$'!$L$5:$L$993,'[1]UY$'!$O$5:$O$993,"Cambio",'[1]UY$'!$E$5:$E$993,'Efecto TC'!D383),""))</f>
        <v/>
      </c>
      <c r="G383" s="23" t="str">
        <f t="shared" si="50"/>
        <v/>
      </c>
      <c r="H383" s="22" t="str">
        <f t="shared" si="51"/>
        <v/>
      </c>
      <c r="I383" s="54" t="str">
        <f t="shared" si="48"/>
        <v/>
      </c>
      <c r="R383" s="24" t="e">
        <f t="shared" si="52"/>
        <v>#VALUE!</v>
      </c>
      <c r="S383" s="25" t="e">
        <f t="shared" si="49"/>
        <v>#VALUE!</v>
      </c>
    </row>
    <row r="384" spans="1:19" x14ac:dyDescent="0.25">
      <c r="A384" t="e">
        <f t="shared" si="46"/>
        <v>#VALUE!</v>
      </c>
      <c r="B384" t="e">
        <f t="shared" si="47"/>
        <v>#VALUE!</v>
      </c>
      <c r="D384" s="21" t="str" cm="1">
        <f t="array" ref="D384">IF(ROWS($D$7:D384)&gt;COUNTIF('[1]U$S'!$H$5:$H$1008,$L$5),"",INDEX(CuentaUS,_xlfn.AGGREGATE(15,6,ROW('[1]U$S'!$H$5:$H$1008)-ROW('[1]U$S'!$O$5)+1/--('[1]U$S'!$H$5:$H$1008=$L$5),ROWS($D$7:D384)),1))</f>
        <v/>
      </c>
      <c r="E384" s="22" t="str" cm="1">
        <f t="array" ref="E384">IF(ROWS($E$7:E384)&gt;COUNTIF('[1]U$S'!$H$5:$H$1008,$L$5),"",INDEX(CuentaUS,_xlfn.AGGREGATE(15,6,ROW('[1]U$S'!$H$5:$H$1008)-ROW('[1]U$S'!$O$5)+1/--('[1]U$S'!$H$5:$H$1008=$L$5),ROWS($E$7:E384)),6))</f>
        <v/>
      </c>
      <c r="F384" s="22" t="str">
        <f>IF(E384="","",IF(E384&gt;0,SUMIFS('[1]UY$'!$L$5:$L$993,'[1]UY$'!$O$5:$O$993,"Cambio",'[1]UY$'!$E$5:$E$993,'Efecto TC'!D384),""))</f>
        <v/>
      </c>
      <c r="G384" s="23" t="str">
        <f t="shared" si="50"/>
        <v/>
      </c>
      <c r="H384" s="22" t="str">
        <f t="shared" si="51"/>
        <v/>
      </c>
      <c r="I384" s="54" t="str">
        <f t="shared" si="48"/>
        <v/>
      </c>
      <c r="R384" s="24" t="e">
        <f t="shared" si="52"/>
        <v>#VALUE!</v>
      </c>
      <c r="S384" s="25" t="e">
        <f t="shared" si="49"/>
        <v>#VALUE!</v>
      </c>
    </row>
    <row r="385" spans="1:19" x14ac:dyDescent="0.25">
      <c r="A385" t="e">
        <f t="shared" si="46"/>
        <v>#VALUE!</v>
      </c>
      <c r="B385" t="e">
        <f t="shared" si="47"/>
        <v>#VALUE!</v>
      </c>
      <c r="D385" s="21" t="str" cm="1">
        <f t="array" ref="D385">IF(ROWS($D$7:D385)&gt;COUNTIF('[1]U$S'!$H$5:$H$1008,$L$5),"",INDEX(CuentaUS,_xlfn.AGGREGATE(15,6,ROW('[1]U$S'!$H$5:$H$1008)-ROW('[1]U$S'!$O$5)+1/--('[1]U$S'!$H$5:$H$1008=$L$5),ROWS($D$7:D385)),1))</f>
        <v/>
      </c>
      <c r="E385" s="22" t="str" cm="1">
        <f t="array" ref="E385">IF(ROWS($E$7:E385)&gt;COUNTIF('[1]U$S'!$H$5:$H$1008,$L$5),"",INDEX(CuentaUS,_xlfn.AGGREGATE(15,6,ROW('[1]U$S'!$H$5:$H$1008)-ROW('[1]U$S'!$O$5)+1/--('[1]U$S'!$H$5:$H$1008=$L$5),ROWS($E$7:E385)),6))</f>
        <v/>
      </c>
      <c r="F385" s="22" t="str">
        <f>IF(E385="","",IF(E385&gt;0,SUMIFS('[1]UY$'!$L$5:$L$993,'[1]UY$'!$O$5:$O$993,"Cambio",'[1]UY$'!$E$5:$E$993,'Efecto TC'!D385),""))</f>
        <v/>
      </c>
      <c r="G385" s="23" t="str">
        <f t="shared" si="50"/>
        <v/>
      </c>
      <c r="H385" s="22" t="str">
        <f t="shared" si="51"/>
        <v/>
      </c>
      <c r="I385" s="54" t="str">
        <f t="shared" si="48"/>
        <v/>
      </c>
      <c r="R385" s="24" t="e">
        <f t="shared" si="52"/>
        <v>#VALUE!</v>
      </c>
      <c r="S385" s="25" t="e">
        <f t="shared" si="49"/>
        <v>#VALUE!</v>
      </c>
    </row>
    <row r="386" spans="1:19" x14ac:dyDescent="0.25">
      <c r="A386" t="e">
        <f t="shared" si="46"/>
        <v>#VALUE!</v>
      </c>
      <c r="B386" t="e">
        <f t="shared" si="47"/>
        <v>#VALUE!</v>
      </c>
      <c r="D386" s="21" t="str" cm="1">
        <f t="array" ref="D386">IF(ROWS($D$7:D386)&gt;COUNTIF('[1]U$S'!$H$5:$H$1008,$L$5),"",INDEX(CuentaUS,_xlfn.AGGREGATE(15,6,ROW('[1]U$S'!$H$5:$H$1008)-ROW('[1]U$S'!$O$5)+1/--('[1]U$S'!$H$5:$H$1008=$L$5),ROWS($D$7:D386)),1))</f>
        <v/>
      </c>
      <c r="E386" s="22" t="str" cm="1">
        <f t="array" ref="E386">IF(ROWS($E$7:E386)&gt;COUNTIF('[1]U$S'!$H$5:$H$1008,$L$5),"",INDEX(CuentaUS,_xlfn.AGGREGATE(15,6,ROW('[1]U$S'!$H$5:$H$1008)-ROW('[1]U$S'!$O$5)+1/--('[1]U$S'!$H$5:$H$1008=$L$5),ROWS($E$7:E386)),6))</f>
        <v/>
      </c>
      <c r="F386" s="22" t="str">
        <f>IF(E386="","",IF(E386&gt;0,SUMIFS('[1]UY$'!$L$5:$L$993,'[1]UY$'!$O$5:$O$993,"Cambio",'[1]UY$'!$E$5:$E$993,'Efecto TC'!D386),""))</f>
        <v/>
      </c>
      <c r="G386" s="23" t="str">
        <f t="shared" si="50"/>
        <v/>
      </c>
      <c r="H386" s="22" t="str">
        <f t="shared" si="51"/>
        <v/>
      </c>
      <c r="I386" s="54" t="str">
        <f t="shared" si="48"/>
        <v/>
      </c>
      <c r="R386" s="24" t="e">
        <f t="shared" si="52"/>
        <v>#VALUE!</v>
      </c>
      <c r="S386" s="25" t="e">
        <f t="shared" si="49"/>
        <v>#VALUE!</v>
      </c>
    </row>
    <row r="387" spans="1:19" x14ac:dyDescent="0.25">
      <c r="A387" t="e">
        <f t="shared" si="46"/>
        <v>#VALUE!</v>
      </c>
      <c r="B387" t="e">
        <f t="shared" si="47"/>
        <v>#VALUE!</v>
      </c>
      <c r="D387" s="21" t="str" cm="1">
        <f t="array" ref="D387">IF(ROWS($D$7:D387)&gt;COUNTIF('[1]U$S'!$H$5:$H$1008,$L$5),"",INDEX(CuentaUS,_xlfn.AGGREGATE(15,6,ROW('[1]U$S'!$H$5:$H$1008)-ROW('[1]U$S'!$O$5)+1/--('[1]U$S'!$H$5:$H$1008=$L$5),ROWS($D$7:D387)),1))</f>
        <v/>
      </c>
      <c r="E387" s="22" t="str" cm="1">
        <f t="array" ref="E387">IF(ROWS($E$7:E387)&gt;COUNTIF('[1]U$S'!$H$5:$H$1008,$L$5),"",INDEX(CuentaUS,_xlfn.AGGREGATE(15,6,ROW('[1]U$S'!$H$5:$H$1008)-ROW('[1]U$S'!$O$5)+1/--('[1]U$S'!$H$5:$H$1008=$L$5),ROWS($E$7:E387)),6))</f>
        <v/>
      </c>
      <c r="F387" s="22" t="str">
        <f>IF(E387="","",IF(E387&gt;0,SUMIFS('[1]UY$'!$L$5:$L$993,'[1]UY$'!$O$5:$O$993,"Cambio",'[1]UY$'!$E$5:$E$993,'Efecto TC'!D387),""))</f>
        <v/>
      </c>
      <c r="G387" s="23" t="str">
        <f t="shared" si="50"/>
        <v/>
      </c>
      <c r="H387" s="22" t="str">
        <f t="shared" si="51"/>
        <v/>
      </c>
      <c r="I387" s="54" t="str">
        <f t="shared" si="48"/>
        <v/>
      </c>
      <c r="R387" s="24" t="e">
        <f t="shared" si="52"/>
        <v>#VALUE!</v>
      </c>
      <c r="S387" s="25" t="e">
        <f t="shared" si="49"/>
        <v>#VALUE!</v>
      </c>
    </row>
    <row r="388" spans="1:19" x14ac:dyDescent="0.25">
      <c r="A388" t="e">
        <f t="shared" si="46"/>
        <v>#VALUE!</v>
      </c>
      <c r="B388" t="e">
        <f t="shared" si="47"/>
        <v>#VALUE!</v>
      </c>
      <c r="D388" s="21" t="str" cm="1">
        <f t="array" ref="D388">IF(ROWS($D$7:D388)&gt;COUNTIF('[1]U$S'!$H$5:$H$1008,$L$5),"",INDEX(CuentaUS,_xlfn.AGGREGATE(15,6,ROW('[1]U$S'!$H$5:$H$1008)-ROW('[1]U$S'!$O$5)+1/--('[1]U$S'!$H$5:$H$1008=$L$5),ROWS($D$7:D388)),1))</f>
        <v/>
      </c>
      <c r="E388" s="22" t="str" cm="1">
        <f t="array" ref="E388">IF(ROWS($E$7:E388)&gt;COUNTIF('[1]U$S'!$H$5:$H$1008,$L$5),"",INDEX(CuentaUS,_xlfn.AGGREGATE(15,6,ROW('[1]U$S'!$H$5:$H$1008)-ROW('[1]U$S'!$O$5)+1/--('[1]U$S'!$H$5:$H$1008=$L$5),ROWS($E$7:E388)),6))</f>
        <v/>
      </c>
      <c r="F388" s="22" t="str">
        <f>IF(E388="","",IF(E388&gt;0,SUMIFS('[1]UY$'!$L$5:$L$993,'[1]UY$'!$O$5:$O$993,"Cambio",'[1]UY$'!$E$5:$E$993,'Efecto TC'!D388),""))</f>
        <v/>
      </c>
      <c r="G388" s="23" t="str">
        <f t="shared" si="50"/>
        <v/>
      </c>
      <c r="H388" s="22" t="str">
        <f t="shared" si="51"/>
        <v/>
      </c>
      <c r="I388" s="54" t="str">
        <f t="shared" si="48"/>
        <v/>
      </c>
      <c r="R388" s="24" t="e">
        <f t="shared" si="52"/>
        <v>#VALUE!</v>
      </c>
      <c r="S388" s="25" t="e">
        <f t="shared" si="49"/>
        <v>#VALUE!</v>
      </c>
    </row>
    <row r="389" spans="1:19" x14ac:dyDescent="0.25">
      <c r="A389" t="e">
        <f t="shared" si="46"/>
        <v>#VALUE!</v>
      </c>
      <c r="B389" t="e">
        <f t="shared" si="47"/>
        <v>#VALUE!</v>
      </c>
      <c r="D389" s="21" t="str" cm="1">
        <f t="array" ref="D389">IF(ROWS($D$7:D389)&gt;COUNTIF('[1]U$S'!$H$5:$H$1008,$L$5),"",INDEX(CuentaUS,_xlfn.AGGREGATE(15,6,ROW('[1]U$S'!$H$5:$H$1008)-ROW('[1]U$S'!$O$5)+1/--('[1]U$S'!$H$5:$H$1008=$L$5),ROWS($D$7:D389)),1))</f>
        <v/>
      </c>
      <c r="E389" s="22" t="str" cm="1">
        <f t="array" ref="E389">IF(ROWS($E$7:E389)&gt;COUNTIF('[1]U$S'!$H$5:$H$1008,$L$5),"",INDEX(CuentaUS,_xlfn.AGGREGATE(15,6,ROW('[1]U$S'!$H$5:$H$1008)-ROW('[1]U$S'!$O$5)+1/--('[1]U$S'!$H$5:$H$1008=$L$5),ROWS($E$7:E389)),6))</f>
        <v/>
      </c>
      <c r="F389" s="22" t="str">
        <f>IF(E389="","",IF(E389&gt;0,SUMIFS('[1]UY$'!$L$5:$L$993,'[1]UY$'!$O$5:$O$993,"Cambio",'[1]UY$'!$E$5:$E$993,'Efecto TC'!D389),""))</f>
        <v/>
      </c>
      <c r="G389" s="23" t="str">
        <f t="shared" si="50"/>
        <v/>
      </c>
      <c r="H389" s="22" t="str">
        <f t="shared" si="51"/>
        <v/>
      </c>
      <c r="I389" s="54" t="str">
        <f t="shared" si="48"/>
        <v/>
      </c>
      <c r="R389" s="24" t="e">
        <f t="shared" si="52"/>
        <v>#VALUE!</v>
      </c>
      <c r="S389" s="25" t="e">
        <f t="shared" si="49"/>
        <v>#VALUE!</v>
      </c>
    </row>
    <row r="390" spans="1:19" x14ac:dyDescent="0.25">
      <c r="A390" t="e">
        <f t="shared" si="46"/>
        <v>#VALUE!</v>
      </c>
      <c r="B390" t="e">
        <f t="shared" si="47"/>
        <v>#VALUE!</v>
      </c>
      <c r="D390" s="21" t="str" cm="1">
        <f t="array" ref="D390">IF(ROWS($D$7:D390)&gt;COUNTIF('[1]U$S'!$H$5:$H$1008,$L$5),"",INDEX(CuentaUS,_xlfn.AGGREGATE(15,6,ROW('[1]U$S'!$H$5:$H$1008)-ROW('[1]U$S'!$O$5)+1/--('[1]U$S'!$H$5:$H$1008=$L$5),ROWS($D$7:D390)),1))</f>
        <v/>
      </c>
      <c r="E390" s="22" t="str" cm="1">
        <f t="array" ref="E390">IF(ROWS($E$7:E390)&gt;COUNTIF('[1]U$S'!$H$5:$H$1008,$L$5),"",INDEX(CuentaUS,_xlfn.AGGREGATE(15,6,ROW('[1]U$S'!$H$5:$H$1008)-ROW('[1]U$S'!$O$5)+1/--('[1]U$S'!$H$5:$H$1008=$L$5),ROWS($E$7:E390)),6))</f>
        <v/>
      </c>
      <c r="F390" s="22" t="str">
        <f>IF(E390="","",IF(E390&gt;0,SUMIFS('[1]UY$'!$L$5:$L$993,'[1]UY$'!$O$5:$O$993,"Cambio",'[1]UY$'!$E$5:$E$993,'Efecto TC'!D390),""))</f>
        <v/>
      </c>
      <c r="G390" s="23" t="str">
        <f t="shared" si="50"/>
        <v/>
      </c>
      <c r="H390" s="22" t="str">
        <f t="shared" si="51"/>
        <v/>
      </c>
      <c r="I390" s="54" t="str">
        <f t="shared" si="48"/>
        <v/>
      </c>
      <c r="R390" s="24" t="e">
        <f t="shared" si="52"/>
        <v>#VALUE!</v>
      </c>
      <c r="S390" s="25" t="e">
        <f t="shared" si="49"/>
        <v>#VALUE!</v>
      </c>
    </row>
    <row r="391" spans="1:19" x14ac:dyDescent="0.25">
      <c r="A391" t="e">
        <f t="shared" ref="A391:A454" si="53">MONTH(D391)</f>
        <v>#VALUE!</v>
      </c>
      <c r="B391" t="e">
        <f t="shared" ref="B391:B454" si="54">YEAR(D391)</f>
        <v>#VALUE!</v>
      </c>
      <c r="D391" s="21" t="str" cm="1">
        <f t="array" ref="D391">IF(ROWS($D$7:D391)&gt;COUNTIF('[1]U$S'!$H$5:$H$1008,$L$5),"",INDEX(CuentaUS,_xlfn.AGGREGATE(15,6,ROW('[1]U$S'!$H$5:$H$1008)-ROW('[1]U$S'!$O$5)+1/--('[1]U$S'!$H$5:$H$1008=$L$5),ROWS($D$7:D391)),1))</f>
        <v/>
      </c>
      <c r="E391" s="22" t="str" cm="1">
        <f t="array" ref="E391">IF(ROWS($E$7:E391)&gt;COUNTIF('[1]U$S'!$H$5:$H$1008,$L$5),"",INDEX(CuentaUS,_xlfn.AGGREGATE(15,6,ROW('[1]U$S'!$H$5:$H$1008)-ROW('[1]U$S'!$O$5)+1/--('[1]U$S'!$H$5:$H$1008=$L$5),ROWS($E$7:E391)),6))</f>
        <v/>
      </c>
      <c r="F391" s="22" t="str">
        <f>IF(E391="","",IF(E391&gt;0,SUMIFS('[1]UY$'!$L$5:$L$993,'[1]UY$'!$O$5:$O$993,"Cambio",'[1]UY$'!$E$5:$E$993,'Efecto TC'!D391),""))</f>
        <v/>
      </c>
      <c r="G391" s="23" t="str">
        <f t="shared" si="50"/>
        <v/>
      </c>
      <c r="H391" s="22" t="str">
        <f t="shared" si="51"/>
        <v/>
      </c>
      <c r="I391" s="54" t="str">
        <f t="shared" si="48"/>
        <v/>
      </c>
      <c r="R391" s="24" t="e">
        <f t="shared" si="52"/>
        <v>#VALUE!</v>
      </c>
      <c r="S391" s="25" t="e">
        <f t="shared" si="49"/>
        <v>#VALUE!</v>
      </c>
    </row>
    <row r="392" spans="1:19" x14ac:dyDescent="0.25">
      <c r="A392" t="e">
        <f t="shared" si="53"/>
        <v>#VALUE!</v>
      </c>
      <c r="B392" t="e">
        <f t="shared" si="54"/>
        <v>#VALUE!</v>
      </c>
      <c r="D392" s="21" t="str" cm="1">
        <f t="array" ref="D392">IF(ROWS($D$7:D392)&gt;COUNTIF('[1]U$S'!$H$5:$H$1008,$L$5),"",INDEX(CuentaUS,_xlfn.AGGREGATE(15,6,ROW('[1]U$S'!$H$5:$H$1008)-ROW('[1]U$S'!$O$5)+1/--('[1]U$S'!$H$5:$H$1008=$L$5),ROWS($D$7:D392)),1))</f>
        <v/>
      </c>
      <c r="E392" s="22" t="str" cm="1">
        <f t="array" ref="E392">IF(ROWS($E$7:E392)&gt;COUNTIF('[1]U$S'!$H$5:$H$1008,$L$5),"",INDEX(CuentaUS,_xlfn.AGGREGATE(15,6,ROW('[1]U$S'!$H$5:$H$1008)-ROW('[1]U$S'!$O$5)+1/--('[1]U$S'!$H$5:$H$1008=$L$5),ROWS($E$7:E392)),6))</f>
        <v/>
      </c>
      <c r="F392" s="22" t="str">
        <f>IF(E392="","",IF(E392&gt;0,SUMIFS('[1]UY$'!$L$5:$L$993,'[1]UY$'!$O$5:$O$993,"Cambio",'[1]UY$'!$E$5:$E$993,'Efecto TC'!D392),""))</f>
        <v/>
      </c>
      <c r="G392" s="23" t="str">
        <f t="shared" si="50"/>
        <v/>
      </c>
      <c r="H392" s="22" t="str">
        <f t="shared" si="51"/>
        <v/>
      </c>
      <c r="I392" s="54" t="str">
        <f t="shared" si="48"/>
        <v/>
      </c>
      <c r="R392" s="24" t="e">
        <f t="shared" si="52"/>
        <v>#VALUE!</v>
      </c>
      <c r="S392" s="25" t="e">
        <f t="shared" si="49"/>
        <v>#VALUE!</v>
      </c>
    </row>
    <row r="393" spans="1:19" x14ac:dyDescent="0.25">
      <c r="A393" t="e">
        <f t="shared" si="53"/>
        <v>#VALUE!</v>
      </c>
      <c r="B393" t="e">
        <f t="shared" si="54"/>
        <v>#VALUE!</v>
      </c>
      <c r="D393" s="21" t="str" cm="1">
        <f t="array" ref="D393">IF(ROWS($D$7:D393)&gt;COUNTIF('[1]U$S'!$H$5:$H$1008,$L$5),"",INDEX(CuentaUS,_xlfn.AGGREGATE(15,6,ROW('[1]U$S'!$H$5:$H$1008)-ROW('[1]U$S'!$O$5)+1/--('[1]U$S'!$H$5:$H$1008=$L$5),ROWS($D$7:D393)),1))</f>
        <v/>
      </c>
      <c r="E393" s="22" t="str" cm="1">
        <f t="array" ref="E393">IF(ROWS($E$7:E393)&gt;COUNTIF('[1]U$S'!$H$5:$H$1008,$L$5),"",INDEX(CuentaUS,_xlfn.AGGREGATE(15,6,ROW('[1]U$S'!$H$5:$H$1008)-ROW('[1]U$S'!$O$5)+1/--('[1]U$S'!$H$5:$H$1008=$L$5),ROWS($E$7:E393)),6))</f>
        <v/>
      </c>
      <c r="F393" s="22" t="str">
        <f>IF(E393="","",IF(E393&gt;0,SUMIFS('[1]UY$'!$L$5:$L$993,'[1]UY$'!$O$5:$O$993,"Cambio",'[1]UY$'!$E$5:$E$993,'Efecto TC'!D393),""))</f>
        <v/>
      </c>
      <c r="G393" s="23" t="str">
        <f t="shared" si="50"/>
        <v/>
      </c>
      <c r="H393" s="22" t="str">
        <f t="shared" si="51"/>
        <v/>
      </c>
      <c r="I393" s="54" t="str">
        <f t="shared" si="48"/>
        <v/>
      </c>
      <c r="R393" s="24" t="e">
        <f t="shared" si="52"/>
        <v>#VALUE!</v>
      </c>
      <c r="S393" s="25" t="e">
        <f t="shared" si="49"/>
        <v>#VALUE!</v>
      </c>
    </row>
    <row r="394" spans="1:19" x14ac:dyDescent="0.25">
      <c r="A394" t="e">
        <f t="shared" si="53"/>
        <v>#VALUE!</v>
      </c>
      <c r="B394" t="e">
        <f t="shared" si="54"/>
        <v>#VALUE!</v>
      </c>
      <c r="D394" s="21" t="str" cm="1">
        <f t="array" ref="D394">IF(ROWS($D$7:D394)&gt;COUNTIF('[1]U$S'!$H$5:$H$1008,$L$5),"",INDEX(CuentaUS,_xlfn.AGGREGATE(15,6,ROW('[1]U$S'!$H$5:$H$1008)-ROW('[1]U$S'!$O$5)+1/--('[1]U$S'!$H$5:$H$1008=$L$5),ROWS($D$7:D394)),1))</f>
        <v/>
      </c>
      <c r="E394" s="22" t="str" cm="1">
        <f t="array" ref="E394">IF(ROWS($E$7:E394)&gt;COUNTIF('[1]U$S'!$H$5:$H$1008,$L$5),"",INDEX(CuentaUS,_xlfn.AGGREGATE(15,6,ROW('[1]U$S'!$H$5:$H$1008)-ROW('[1]U$S'!$O$5)+1/--('[1]U$S'!$H$5:$H$1008=$L$5),ROWS($E$7:E394)),6))</f>
        <v/>
      </c>
      <c r="F394" s="22" t="str">
        <f>IF(E394="","",IF(E394&gt;0,SUMIFS('[1]UY$'!$L$5:$L$993,'[1]UY$'!$O$5:$O$993,"Cambio",'[1]UY$'!$E$5:$E$993,'Efecto TC'!D394),""))</f>
        <v/>
      </c>
      <c r="G394" s="23" t="str">
        <f t="shared" si="50"/>
        <v/>
      </c>
      <c r="H394" s="22" t="str">
        <f t="shared" si="51"/>
        <v/>
      </c>
      <c r="I394" s="54" t="str">
        <f t="shared" ref="I394:I457" si="55">IF(H394="","",+H394+I393)</f>
        <v/>
      </c>
      <c r="R394" s="24" t="e">
        <f t="shared" si="52"/>
        <v>#VALUE!</v>
      </c>
      <c r="S394" s="25" t="e">
        <f t="shared" si="49"/>
        <v>#VALUE!</v>
      </c>
    </row>
    <row r="395" spans="1:19" x14ac:dyDescent="0.25">
      <c r="A395" t="e">
        <f t="shared" si="53"/>
        <v>#VALUE!</v>
      </c>
      <c r="B395" t="e">
        <f t="shared" si="54"/>
        <v>#VALUE!</v>
      </c>
      <c r="D395" s="21" t="str" cm="1">
        <f t="array" ref="D395">IF(ROWS($D$7:D395)&gt;COUNTIF('[1]U$S'!$H$5:$H$1008,$L$5),"",INDEX(CuentaUS,_xlfn.AGGREGATE(15,6,ROW('[1]U$S'!$H$5:$H$1008)-ROW('[1]U$S'!$O$5)+1/--('[1]U$S'!$H$5:$H$1008=$L$5),ROWS($D$7:D395)),1))</f>
        <v/>
      </c>
      <c r="E395" s="22" t="str" cm="1">
        <f t="array" ref="E395">IF(ROWS($E$7:E395)&gt;COUNTIF('[1]U$S'!$H$5:$H$1008,$L$5),"",INDEX(CuentaUS,_xlfn.AGGREGATE(15,6,ROW('[1]U$S'!$H$5:$H$1008)-ROW('[1]U$S'!$O$5)+1/--('[1]U$S'!$H$5:$H$1008=$L$5),ROWS($E$7:E395)),6))</f>
        <v/>
      </c>
      <c r="F395" s="22" t="str">
        <f>IF(E395="","",IF(E395&gt;0,SUMIFS('[1]UY$'!$L$5:$L$993,'[1]UY$'!$O$5:$O$993,"Cambio",'[1]UY$'!$E$5:$E$993,'Efecto TC'!D395),""))</f>
        <v/>
      </c>
      <c r="G395" s="23" t="str">
        <f t="shared" si="50"/>
        <v/>
      </c>
      <c r="H395" s="22" t="str">
        <f t="shared" si="51"/>
        <v/>
      </c>
      <c r="I395" s="54" t="str">
        <f t="shared" si="55"/>
        <v/>
      </c>
      <c r="R395" s="24" t="e">
        <f t="shared" si="52"/>
        <v>#VALUE!</v>
      </c>
      <c r="S395" s="25" t="e">
        <f t="shared" si="49"/>
        <v>#VALUE!</v>
      </c>
    </row>
    <row r="396" spans="1:19" x14ac:dyDescent="0.25">
      <c r="A396" t="e">
        <f t="shared" si="53"/>
        <v>#VALUE!</v>
      </c>
      <c r="B396" t="e">
        <f t="shared" si="54"/>
        <v>#VALUE!</v>
      </c>
      <c r="D396" s="21" t="str" cm="1">
        <f t="array" ref="D396">IF(ROWS($D$7:D396)&gt;COUNTIF('[1]U$S'!$H$5:$H$1008,$L$5),"",INDEX(CuentaUS,_xlfn.AGGREGATE(15,6,ROW('[1]U$S'!$H$5:$H$1008)-ROW('[1]U$S'!$O$5)+1/--('[1]U$S'!$H$5:$H$1008=$L$5),ROWS($D$7:D396)),1))</f>
        <v/>
      </c>
      <c r="E396" s="22" t="str" cm="1">
        <f t="array" ref="E396">IF(ROWS($E$7:E396)&gt;COUNTIF('[1]U$S'!$H$5:$H$1008,$L$5),"",INDEX(CuentaUS,_xlfn.AGGREGATE(15,6,ROW('[1]U$S'!$H$5:$H$1008)-ROW('[1]U$S'!$O$5)+1/--('[1]U$S'!$H$5:$H$1008=$L$5),ROWS($E$7:E396)),6))</f>
        <v/>
      </c>
      <c r="F396" s="22" t="str">
        <f>IF(E396="","",IF(E396&gt;0,SUMIFS('[1]UY$'!$L$5:$L$993,'[1]UY$'!$O$5:$O$993,"Cambio",'[1]UY$'!$E$5:$E$993,'Efecto TC'!D396),""))</f>
        <v/>
      </c>
      <c r="G396" s="23" t="str">
        <f t="shared" si="50"/>
        <v/>
      </c>
      <c r="H396" s="22" t="str">
        <f t="shared" si="51"/>
        <v/>
      </c>
      <c r="I396" s="54" t="str">
        <f t="shared" si="55"/>
        <v/>
      </c>
      <c r="R396" s="24" t="e">
        <f t="shared" si="52"/>
        <v>#VALUE!</v>
      </c>
      <c r="S396" s="25" t="e">
        <f t="shared" si="49"/>
        <v>#VALUE!</v>
      </c>
    </row>
    <row r="397" spans="1:19" x14ac:dyDescent="0.25">
      <c r="A397" t="e">
        <f t="shared" si="53"/>
        <v>#VALUE!</v>
      </c>
      <c r="B397" t="e">
        <f t="shared" si="54"/>
        <v>#VALUE!</v>
      </c>
      <c r="D397" s="21" t="str" cm="1">
        <f t="array" ref="D397">IF(ROWS($D$7:D397)&gt;COUNTIF('[1]U$S'!$H$5:$H$1008,$L$5),"",INDEX(CuentaUS,_xlfn.AGGREGATE(15,6,ROW('[1]U$S'!$H$5:$H$1008)-ROW('[1]U$S'!$O$5)+1/--('[1]U$S'!$H$5:$H$1008=$L$5),ROWS($D$7:D397)),1))</f>
        <v/>
      </c>
      <c r="E397" s="22" t="str" cm="1">
        <f t="array" ref="E397">IF(ROWS($E$7:E397)&gt;COUNTIF('[1]U$S'!$H$5:$H$1008,$L$5),"",INDEX(CuentaUS,_xlfn.AGGREGATE(15,6,ROW('[1]U$S'!$H$5:$H$1008)-ROW('[1]U$S'!$O$5)+1/--('[1]U$S'!$H$5:$H$1008=$L$5),ROWS($E$7:E397)),6))</f>
        <v/>
      </c>
      <c r="F397" s="22" t="str">
        <f>IF(E397="","",IF(E397&gt;0,SUMIFS('[1]UY$'!$L$5:$L$993,'[1]UY$'!$O$5:$O$993,"Cambio",'[1]UY$'!$E$5:$E$993,'Efecto TC'!D397),""))</f>
        <v/>
      </c>
      <c r="G397" s="23" t="str">
        <f t="shared" si="50"/>
        <v/>
      </c>
      <c r="H397" s="22" t="str">
        <f t="shared" si="51"/>
        <v/>
      </c>
      <c r="I397" s="54" t="str">
        <f t="shared" si="55"/>
        <v/>
      </c>
      <c r="R397" s="24" t="e">
        <f t="shared" si="52"/>
        <v>#VALUE!</v>
      </c>
      <c r="S397" s="25" t="e">
        <f t="shared" si="49"/>
        <v>#VALUE!</v>
      </c>
    </row>
    <row r="398" spans="1:19" x14ac:dyDescent="0.25">
      <c r="A398" t="e">
        <f t="shared" si="53"/>
        <v>#VALUE!</v>
      </c>
      <c r="B398" t="e">
        <f t="shared" si="54"/>
        <v>#VALUE!</v>
      </c>
      <c r="D398" s="21" t="str" cm="1">
        <f t="array" ref="D398">IF(ROWS($D$7:D398)&gt;COUNTIF('[1]U$S'!$H$5:$H$1008,$L$5),"",INDEX(CuentaUS,_xlfn.AGGREGATE(15,6,ROW('[1]U$S'!$H$5:$H$1008)-ROW('[1]U$S'!$O$5)+1/--('[1]U$S'!$H$5:$H$1008=$L$5),ROWS($D$7:D398)),1))</f>
        <v/>
      </c>
      <c r="E398" s="22" t="str" cm="1">
        <f t="array" ref="E398">IF(ROWS($E$7:E398)&gt;COUNTIF('[1]U$S'!$H$5:$H$1008,$L$5),"",INDEX(CuentaUS,_xlfn.AGGREGATE(15,6,ROW('[1]U$S'!$H$5:$H$1008)-ROW('[1]U$S'!$O$5)+1/--('[1]U$S'!$H$5:$H$1008=$L$5),ROWS($E$7:E398)),6))</f>
        <v/>
      </c>
      <c r="F398" s="22" t="str">
        <f>IF(E398="","",IF(E398&gt;0,SUMIFS('[1]UY$'!$L$5:$L$993,'[1]UY$'!$O$5:$O$993,"Cambio",'[1]UY$'!$E$5:$E$993,'Efecto TC'!D398),""))</f>
        <v/>
      </c>
      <c r="G398" s="23" t="str">
        <f t="shared" si="50"/>
        <v/>
      </c>
      <c r="H398" s="22" t="str">
        <f t="shared" si="51"/>
        <v/>
      </c>
      <c r="I398" s="54" t="str">
        <f t="shared" si="55"/>
        <v/>
      </c>
      <c r="R398" s="24" t="e">
        <f t="shared" si="52"/>
        <v>#VALUE!</v>
      </c>
      <c r="S398" s="25" t="e">
        <f t="shared" si="49"/>
        <v>#VALUE!</v>
      </c>
    </row>
    <row r="399" spans="1:19" x14ac:dyDescent="0.25">
      <c r="A399" t="e">
        <f t="shared" si="53"/>
        <v>#VALUE!</v>
      </c>
      <c r="B399" t="e">
        <f t="shared" si="54"/>
        <v>#VALUE!</v>
      </c>
      <c r="D399" s="21" t="str" cm="1">
        <f t="array" ref="D399">IF(ROWS($D$7:D399)&gt;COUNTIF('[1]U$S'!$H$5:$H$1008,$L$5),"",INDEX(CuentaUS,_xlfn.AGGREGATE(15,6,ROW('[1]U$S'!$H$5:$H$1008)-ROW('[1]U$S'!$O$5)+1/--('[1]U$S'!$H$5:$H$1008=$L$5),ROWS($D$7:D399)),1))</f>
        <v/>
      </c>
      <c r="E399" s="22" t="str" cm="1">
        <f t="array" ref="E399">IF(ROWS($E$7:E399)&gt;COUNTIF('[1]U$S'!$H$5:$H$1008,$L$5),"",INDEX(CuentaUS,_xlfn.AGGREGATE(15,6,ROW('[1]U$S'!$H$5:$H$1008)-ROW('[1]U$S'!$O$5)+1/--('[1]U$S'!$H$5:$H$1008=$L$5),ROWS($E$7:E399)),6))</f>
        <v/>
      </c>
      <c r="F399" s="22" t="str">
        <f>IF(E399="","",IF(E399&gt;0,SUMIFS('[1]UY$'!$L$5:$L$993,'[1]UY$'!$O$5:$O$993,"Cambio",'[1]UY$'!$E$5:$E$993,'Efecto TC'!D399),""))</f>
        <v/>
      </c>
      <c r="G399" s="23" t="str">
        <f t="shared" si="50"/>
        <v/>
      </c>
      <c r="H399" s="22" t="str">
        <f t="shared" si="51"/>
        <v/>
      </c>
      <c r="I399" s="54" t="str">
        <f t="shared" si="55"/>
        <v/>
      </c>
      <c r="R399" s="24" t="e">
        <f t="shared" si="52"/>
        <v>#VALUE!</v>
      </c>
      <c r="S399" s="25" t="e">
        <f t="shared" si="49"/>
        <v>#VALUE!</v>
      </c>
    </row>
    <row r="400" spans="1:19" x14ac:dyDescent="0.25">
      <c r="A400" t="e">
        <f t="shared" si="53"/>
        <v>#VALUE!</v>
      </c>
      <c r="B400" t="e">
        <f t="shared" si="54"/>
        <v>#VALUE!</v>
      </c>
      <c r="D400" s="21" t="str" cm="1">
        <f t="array" ref="D400">IF(ROWS($D$7:D400)&gt;COUNTIF('[1]U$S'!$H$5:$H$1008,$L$5),"",INDEX(CuentaUS,_xlfn.AGGREGATE(15,6,ROW('[1]U$S'!$H$5:$H$1008)-ROW('[1]U$S'!$O$5)+1/--('[1]U$S'!$H$5:$H$1008=$L$5),ROWS($D$7:D400)),1))</f>
        <v/>
      </c>
      <c r="E400" s="22" t="str" cm="1">
        <f t="array" ref="E400">IF(ROWS($E$7:E400)&gt;COUNTIF('[1]U$S'!$H$5:$H$1008,$L$5),"",INDEX(CuentaUS,_xlfn.AGGREGATE(15,6,ROW('[1]U$S'!$H$5:$H$1008)-ROW('[1]U$S'!$O$5)+1/--('[1]U$S'!$H$5:$H$1008=$L$5),ROWS($E$7:E400)),6))</f>
        <v/>
      </c>
      <c r="F400" s="22" t="str">
        <f>IF(E400="","",IF(E400&gt;0,SUMIFS('[1]UY$'!$L$5:$L$993,'[1]UY$'!$O$5:$O$993,"Cambio",'[1]UY$'!$E$5:$E$993,'Efecto TC'!D400),""))</f>
        <v/>
      </c>
      <c r="G400" s="23" t="str">
        <f t="shared" si="50"/>
        <v/>
      </c>
      <c r="H400" s="22" t="str">
        <f t="shared" si="51"/>
        <v/>
      </c>
      <c r="I400" s="54" t="str">
        <f t="shared" si="55"/>
        <v/>
      </c>
      <c r="R400" s="24" t="e">
        <f t="shared" si="52"/>
        <v>#VALUE!</v>
      </c>
      <c r="S400" s="25" t="e">
        <f t="shared" si="49"/>
        <v>#VALUE!</v>
      </c>
    </row>
    <row r="401" spans="1:19" x14ac:dyDescent="0.25">
      <c r="A401" t="e">
        <f t="shared" si="53"/>
        <v>#VALUE!</v>
      </c>
      <c r="B401" t="e">
        <f t="shared" si="54"/>
        <v>#VALUE!</v>
      </c>
      <c r="D401" s="21" t="str" cm="1">
        <f t="array" ref="D401">IF(ROWS($D$7:D401)&gt;COUNTIF('[1]U$S'!$H$5:$H$1008,$L$5),"",INDEX(CuentaUS,_xlfn.AGGREGATE(15,6,ROW('[1]U$S'!$H$5:$H$1008)-ROW('[1]U$S'!$O$5)+1/--('[1]U$S'!$H$5:$H$1008=$L$5),ROWS($D$7:D401)),1))</f>
        <v/>
      </c>
      <c r="E401" s="22" t="str" cm="1">
        <f t="array" ref="E401">IF(ROWS($E$7:E401)&gt;COUNTIF('[1]U$S'!$H$5:$H$1008,$L$5),"",INDEX(CuentaUS,_xlfn.AGGREGATE(15,6,ROW('[1]U$S'!$H$5:$H$1008)-ROW('[1]U$S'!$O$5)+1/--('[1]U$S'!$H$5:$H$1008=$L$5),ROWS($E$7:E401)),6))</f>
        <v/>
      </c>
      <c r="F401" s="22" t="str">
        <f>IF(E401="","",IF(E401&gt;0,SUMIFS('[1]UY$'!$L$5:$L$993,'[1]UY$'!$O$5:$O$993,"Cambio",'[1]UY$'!$E$5:$E$993,'Efecto TC'!D401),""))</f>
        <v/>
      </c>
      <c r="G401" s="23" t="str">
        <f t="shared" si="50"/>
        <v/>
      </c>
      <c r="H401" s="22" t="str">
        <f t="shared" si="51"/>
        <v/>
      </c>
      <c r="I401" s="54" t="str">
        <f t="shared" si="55"/>
        <v/>
      </c>
      <c r="R401" s="24" t="e">
        <f t="shared" si="52"/>
        <v>#VALUE!</v>
      </c>
      <c r="S401" s="25" t="e">
        <f t="shared" si="49"/>
        <v>#VALUE!</v>
      </c>
    </row>
    <row r="402" spans="1:19" x14ac:dyDescent="0.25">
      <c r="A402" t="e">
        <f t="shared" si="53"/>
        <v>#VALUE!</v>
      </c>
      <c r="B402" t="e">
        <f t="shared" si="54"/>
        <v>#VALUE!</v>
      </c>
      <c r="D402" s="21" t="str" cm="1">
        <f t="array" ref="D402">IF(ROWS($D$7:D402)&gt;COUNTIF('[1]U$S'!$H$5:$H$1008,$L$5),"",INDEX(CuentaUS,_xlfn.AGGREGATE(15,6,ROW('[1]U$S'!$H$5:$H$1008)-ROW('[1]U$S'!$O$5)+1/--('[1]U$S'!$H$5:$H$1008=$L$5),ROWS($D$7:D402)),1))</f>
        <v/>
      </c>
      <c r="E402" s="22" t="str" cm="1">
        <f t="array" ref="E402">IF(ROWS($E$7:E402)&gt;COUNTIF('[1]U$S'!$H$5:$H$1008,$L$5),"",INDEX(CuentaUS,_xlfn.AGGREGATE(15,6,ROW('[1]U$S'!$H$5:$H$1008)-ROW('[1]U$S'!$O$5)+1/--('[1]U$S'!$H$5:$H$1008=$L$5),ROWS($E$7:E402)),6))</f>
        <v/>
      </c>
      <c r="F402" s="22" t="str">
        <f>IF(E402="","",IF(E402&gt;0,SUMIFS('[1]UY$'!$L$5:$L$993,'[1]UY$'!$O$5:$O$993,"Cambio",'[1]UY$'!$E$5:$E$993,'Efecto TC'!D402),""))</f>
        <v/>
      </c>
      <c r="G402" s="23" t="str">
        <f t="shared" si="50"/>
        <v/>
      </c>
      <c r="H402" s="22" t="str">
        <f t="shared" si="51"/>
        <v/>
      </c>
      <c r="I402" s="54" t="str">
        <f t="shared" si="55"/>
        <v/>
      </c>
      <c r="R402" s="24" t="e">
        <f t="shared" si="52"/>
        <v>#VALUE!</v>
      </c>
      <c r="S402" s="25" t="e">
        <f t="shared" si="49"/>
        <v>#VALUE!</v>
      </c>
    </row>
    <row r="403" spans="1:19" x14ac:dyDescent="0.25">
      <c r="A403" t="e">
        <f t="shared" si="53"/>
        <v>#VALUE!</v>
      </c>
      <c r="B403" t="e">
        <f t="shared" si="54"/>
        <v>#VALUE!</v>
      </c>
      <c r="D403" s="21" t="str" cm="1">
        <f t="array" ref="D403">IF(ROWS($D$7:D403)&gt;COUNTIF('[1]U$S'!$H$5:$H$1008,$L$5),"",INDEX(CuentaUS,_xlfn.AGGREGATE(15,6,ROW('[1]U$S'!$H$5:$H$1008)-ROW('[1]U$S'!$O$5)+1/--('[1]U$S'!$H$5:$H$1008=$L$5),ROWS($D$7:D403)),1))</f>
        <v/>
      </c>
      <c r="E403" s="22" t="str" cm="1">
        <f t="array" ref="E403">IF(ROWS($E$7:E403)&gt;COUNTIF('[1]U$S'!$H$5:$H$1008,$L$5),"",INDEX(CuentaUS,_xlfn.AGGREGATE(15,6,ROW('[1]U$S'!$H$5:$H$1008)-ROW('[1]U$S'!$O$5)+1/--('[1]U$S'!$H$5:$H$1008=$L$5),ROWS($E$7:E403)),6))</f>
        <v/>
      </c>
      <c r="F403" s="22" t="str">
        <f>IF(E403="","",IF(E403&gt;0,SUMIFS('[1]UY$'!$L$5:$L$993,'[1]UY$'!$O$5:$O$993,"Cambio",'[1]UY$'!$E$5:$E$993,'Efecto TC'!D403),""))</f>
        <v/>
      </c>
      <c r="G403" s="23" t="str">
        <f t="shared" si="50"/>
        <v/>
      </c>
      <c r="H403" s="22" t="str">
        <f t="shared" si="51"/>
        <v/>
      </c>
      <c r="I403" s="54" t="str">
        <f t="shared" si="55"/>
        <v/>
      </c>
      <c r="R403" s="24" t="e">
        <f t="shared" si="52"/>
        <v>#VALUE!</v>
      </c>
      <c r="S403" s="25" t="e">
        <f t="shared" si="49"/>
        <v>#VALUE!</v>
      </c>
    </row>
    <row r="404" spans="1:19" x14ac:dyDescent="0.25">
      <c r="A404" t="e">
        <f t="shared" si="53"/>
        <v>#VALUE!</v>
      </c>
      <c r="B404" t="e">
        <f t="shared" si="54"/>
        <v>#VALUE!</v>
      </c>
      <c r="D404" s="21" t="str" cm="1">
        <f t="array" ref="D404">IF(ROWS($D$7:D404)&gt;COUNTIF('[1]U$S'!$H$5:$H$1008,$L$5),"",INDEX(CuentaUS,_xlfn.AGGREGATE(15,6,ROW('[1]U$S'!$H$5:$H$1008)-ROW('[1]U$S'!$O$5)+1/--('[1]U$S'!$H$5:$H$1008=$L$5),ROWS($D$7:D404)),1))</f>
        <v/>
      </c>
      <c r="E404" s="22" t="str" cm="1">
        <f t="array" ref="E404">IF(ROWS($E$7:E404)&gt;COUNTIF('[1]U$S'!$H$5:$H$1008,$L$5),"",INDEX(CuentaUS,_xlfn.AGGREGATE(15,6,ROW('[1]U$S'!$H$5:$H$1008)-ROW('[1]U$S'!$O$5)+1/--('[1]U$S'!$H$5:$H$1008=$L$5),ROWS($E$7:E404)),6))</f>
        <v/>
      </c>
      <c r="F404" s="22" t="str">
        <f>IF(E404="","",IF(E404&gt;0,SUMIFS('[1]UY$'!$L$5:$L$993,'[1]UY$'!$O$5:$O$993,"Cambio",'[1]UY$'!$E$5:$E$993,'Efecto TC'!D404),""))</f>
        <v/>
      </c>
      <c r="G404" s="23" t="str">
        <f t="shared" si="50"/>
        <v/>
      </c>
      <c r="H404" s="22" t="str">
        <f t="shared" si="51"/>
        <v/>
      </c>
      <c r="I404" s="54" t="str">
        <f t="shared" si="55"/>
        <v/>
      </c>
      <c r="R404" s="24" t="e">
        <f t="shared" si="52"/>
        <v>#VALUE!</v>
      </c>
      <c r="S404" s="25" t="e">
        <f t="shared" si="49"/>
        <v>#VALUE!</v>
      </c>
    </row>
    <row r="405" spans="1:19" x14ac:dyDescent="0.25">
      <c r="A405" t="e">
        <f t="shared" si="53"/>
        <v>#VALUE!</v>
      </c>
      <c r="B405" t="e">
        <f t="shared" si="54"/>
        <v>#VALUE!</v>
      </c>
      <c r="D405" s="21" t="str" cm="1">
        <f t="array" ref="D405">IF(ROWS($D$7:D405)&gt;COUNTIF('[1]U$S'!$H$5:$H$1008,$L$5),"",INDEX(CuentaUS,_xlfn.AGGREGATE(15,6,ROW('[1]U$S'!$H$5:$H$1008)-ROW('[1]U$S'!$O$5)+1/--('[1]U$S'!$H$5:$H$1008=$L$5),ROWS($D$7:D405)),1))</f>
        <v/>
      </c>
      <c r="E405" s="22" t="str" cm="1">
        <f t="array" ref="E405">IF(ROWS($E$7:E405)&gt;COUNTIF('[1]U$S'!$H$5:$H$1008,$L$5),"",INDEX(CuentaUS,_xlfn.AGGREGATE(15,6,ROW('[1]U$S'!$H$5:$H$1008)-ROW('[1]U$S'!$O$5)+1/--('[1]U$S'!$H$5:$H$1008=$L$5),ROWS($E$7:E405)),6))</f>
        <v/>
      </c>
      <c r="F405" s="22" t="str">
        <f>IF(E405="","",IF(E405&gt;0,SUMIFS('[1]UY$'!$L$5:$L$993,'[1]UY$'!$O$5:$O$993,"Cambio",'[1]UY$'!$E$5:$E$993,'Efecto TC'!D405),""))</f>
        <v/>
      </c>
      <c r="G405" s="23" t="str">
        <f t="shared" si="50"/>
        <v/>
      </c>
      <c r="H405" s="22" t="str">
        <f t="shared" si="51"/>
        <v/>
      </c>
      <c r="I405" s="54" t="str">
        <f t="shared" si="55"/>
        <v/>
      </c>
      <c r="R405" s="24" t="e">
        <f t="shared" si="52"/>
        <v>#VALUE!</v>
      </c>
      <c r="S405" s="25" t="e">
        <f t="shared" si="49"/>
        <v>#VALUE!</v>
      </c>
    </row>
    <row r="406" spans="1:19" x14ac:dyDescent="0.25">
      <c r="A406" t="e">
        <f t="shared" si="53"/>
        <v>#VALUE!</v>
      </c>
      <c r="B406" t="e">
        <f t="shared" si="54"/>
        <v>#VALUE!</v>
      </c>
      <c r="D406" s="21" t="str" cm="1">
        <f t="array" ref="D406">IF(ROWS($D$7:D406)&gt;COUNTIF('[1]U$S'!$H$5:$H$1008,$L$5),"",INDEX(CuentaUS,_xlfn.AGGREGATE(15,6,ROW('[1]U$S'!$H$5:$H$1008)-ROW('[1]U$S'!$O$5)+1/--('[1]U$S'!$H$5:$H$1008=$L$5),ROWS($D$7:D406)),1))</f>
        <v/>
      </c>
      <c r="E406" s="22" t="str" cm="1">
        <f t="array" ref="E406">IF(ROWS($E$7:E406)&gt;COUNTIF('[1]U$S'!$H$5:$H$1008,$L$5),"",INDEX(CuentaUS,_xlfn.AGGREGATE(15,6,ROW('[1]U$S'!$H$5:$H$1008)-ROW('[1]U$S'!$O$5)+1/--('[1]U$S'!$H$5:$H$1008=$L$5),ROWS($E$7:E406)),6))</f>
        <v/>
      </c>
      <c r="F406" s="22" t="str">
        <f>IF(E406="","",IF(E406&gt;0,SUMIFS('[1]UY$'!$L$5:$L$993,'[1]UY$'!$O$5:$O$993,"Cambio",'[1]UY$'!$E$5:$E$993,'Efecto TC'!D406),""))</f>
        <v/>
      </c>
      <c r="G406" s="23" t="str">
        <f t="shared" si="50"/>
        <v/>
      </c>
      <c r="H406" s="22" t="str">
        <f t="shared" si="51"/>
        <v/>
      </c>
      <c r="I406" s="54" t="str">
        <f t="shared" si="55"/>
        <v/>
      </c>
      <c r="R406" s="24" t="e">
        <f t="shared" si="52"/>
        <v>#VALUE!</v>
      </c>
      <c r="S406" s="25" t="e">
        <f t="shared" si="49"/>
        <v>#VALUE!</v>
      </c>
    </row>
    <row r="407" spans="1:19" x14ac:dyDescent="0.25">
      <c r="A407" t="e">
        <f t="shared" si="53"/>
        <v>#VALUE!</v>
      </c>
      <c r="B407" t="e">
        <f t="shared" si="54"/>
        <v>#VALUE!</v>
      </c>
      <c r="D407" s="21" t="str" cm="1">
        <f t="array" ref="D407">IF(ROWS($D$7:D407)&gt;COUNTIF('[1]U$S'!$H$5:$H$1008,$L$5),"",INDEX(CuentaUS,_xlfn.AGGREGATE(15,6,ROW('[1]U$S'!$H$5:$H$1008)-ROW('[1]U$S'!$O$5)+1/--('[1]U$S'!$H$5:$H$1008=$L$5),ROWS($D$7:D407)),1))</f>
        <v/>
      </c>
      <c r="E407" s="22" t="str" cm="1">
        <f t="array" ref="E407">IF(ROWS($E$7:E407)&gt;COUNTIF('[1]U$S'!$H$5:$H$1008,$L$5),"",INDEX(CuentaUS,_xlfn.AGGREGATE(15,6,ROW('[1]U$S'!$H$5:$H$1008)-ROW('[1]U$S'!$O$5)+1/--('[1]U$S'!$H$5:$H$1008=$L$5),ROWS($E$7:E407)),6))</f>
        <v/>
      </c>
      <c r="F407" s="22" t="str">
        <f>IF(E407="","",IF(E407&gt;0,SUMIFS('[1]UY$'!$L$5:$L$993,'[1]UY$'!$O$5:$O$993,"Cambio",'[1]UY$'!$E$5:$E$993,'Efecto TC'!D407),""))</f>
        <v/>
      </c>
      <c r="G407" s="23" t="str">
        <f t="shared" si="50"/>
        <v/>
      </c>
      <c r="H407" s="22" t="str">
        <f t="shared" si="51"/>
        <v/>
      </c>
      <c r="I407" s="54" t="str">
        <f t="shared" si="55"/>
        <v/>
      </c>
      <c r="R407" s="24" t="e">
        <f t="shared" si="52"/>
        <v>#VALUE!</v>
      </c>
      <c r="S407" s="25" t="e">
        <f t="shared" si="49"/>
        <v>#VALUE!</v>
      </c>
    </row>
    <row r="408" spans="1:19" x14ac:dyDescent="0.25">
      <c r="A408" t="e">
        <f t="shared" si="53"/>
        <v>#VALUE!</v>
      </c>
      <c r="B408" t="e">
        <f t="shared" si="54"/>
        <v>#VALUE!</v>
      </c>
      <c r="D408" s="21" t="str" cm="1">
        <f t="array" ref="D408">IF(ROWS($D$7:D408)&gt;COUNTIF('[1]U$S'!$H$5:$H$1008,$L$5),"",INDEX(CuentaUS,_xlfn.AGGREGATE(15,6,ROW('[1]U$S'!$H$5:$H$1008)-ROW('[1]U$S'!$O$5)+1/--('[1]U$S'!$H$5:$H$1008=$L$5),ROWS($D$7:D408)),1))</f>
        <v/>
      </c>
      <c r="E408" s="22" t="str" cm="1">
        <f t="array" ref="E408">IF(ROWS($E$7:E408)&gt;COUNTIF('[1]U$S'!$H$5:$H$1008,$L$5),"",INDEX(CuentaUS,_xlfn.AGGREGATE(15,6,ROW('[1]U$S'!$H$5:$H$1008)-ROW('[1]U$S'!$O$5)+1/--('[1]U$S'!$H$5:$H$1008=$L$5),ROWS($E$7:E408)),6))</f>
        <v/>
      </c>
      <c r="F408" s="22" t="str">
        <f>IF(E408="","",IF(E408&gt;0,SUMIFS('[1]UY$'!$L$5:$L$993,'[1]UY$'!$O$5:$O$993,"Cambio",'[1]UY$'!$E$5:$E$993,'Efecto TC'!D408),""))</f>
        <v/>
      </c>
      <c r="G408" s="23" t="str">
        <f t="shared" si="50"/>
        <v/>
      </c>
      <c r="H408" s="22" t="str">
        <f t="shared" si="51"/>
        <v/>
      </c>
      <c r="I408" s="54" t="str">
        <f t="shared" si="55"/>
        <v/>
      </c>
      <c r="R408" s="24" t="e">
        <f t="shared" si="52"/>
        <v>#VALUE!</v>
      </c>
      <c r="S408" s="25" t="e">
        <f t="shared" si="49"/>
        <v>#VALUE!</v>
      </c>
    </row>
    <row r="409" spans="1:19" x14ac:dyDescent="0.25">
      <c r="A409" t="e">
        <f t="shared" si="53"/>
        <v>#VALUE!</v>
      </c>
      <c r="B409" t="e">
        <f t="shared" si="54"/>
        <v>#VALUE!</v>
      </c>
      <c r="D409" s="21" t="str" cm="1">
        <f t="array" ref="D409">IF(ROWS($D$7:D409)&gt;COUNTIF('[1]U$S'!$H$5:$H$1008,$L$5),"",INDEX(CuentaUS,_xlfn.AGGREGATE(15,6,ROW('[1]U$S'!$H$5:$H$1008)-ROW('[1]U$S'!$O$5)+1/--('[1]U$S'!$H$5:$H$1008=$L$5),ROWS($D$7:D409)),1))</f>
        <v/>
      </c>
      <c r="E409" s="22" t="str" cm="1">
        <f t="array" ref="E409">IF(ROWS($E$7:E409)&gt;COUNTIF('[1]U$S'!$H$5:$H$1008,$L$5),"",INDEX(CuentaUS,_xlfn.AGGREGATE(15,6,ROW('[1]U$S'!$H$5:$H$1008)-ROW('[1]U$S'!$O$5)+1/--('[1]U$S'!$H$5:$H$1008=$L$5),ROWS($E$7:E409)),6))</f>
        <v/>
      </c>
      <c r="F409" s="22" t="str">
        <f>IF(E409="","",IF(E409&gt;0,SUMIFS('[1]UY$'!$L$5:$L$993,'[1]UY$'!$O$5:$O$993,"Cambio",'[1]UY$'!$E$5:$E$993,'Efecto TC'!D409),""))</f>
        <v/>
      </c>
      <c r="G409" s="23" t="str">
        <f t="shared" si="50"/>
        <v/>
      </c>
      <c r="H409" s="22" t="str">
        <f t="shared" si="51"/>
        <v/>
      </c>
      <c r="I409" s="54" t="str">
        <f t="shared" si="55"/>
        <v/>
      </c>
      <c r="R409" s="24" t="e">
        <f t="shared" si="52"/>
        <v>#VALUE!</v>
      </c>
      <c r="S409" s="25" t="e">
        <f t="shared" si="49"/>
        <v>#VALUE!</v>
      </c>
    </row>
    <row r="410" spans="1:19" x14ac:dyDescent="0.25">
      <c r="A410" t="e">
        <f t="shared" si="53"/>
        <v>#VALUE!</v>
      </c>
      <c r="B410" t="e">
        <f t="shared" si="54"/>
        <v>#VALUE!</v>
      </c>
      <c r="D410" s="21" t="str" cm="1">
        <f t="array" ref="D410">IF(ROWS($D$7:D410)&gt;COUNTIF('[1]U$S'!$H$5:$H$1008,$L$5),"",INDEX(CuentaUS,_xlfn.AGGREGATE(15,6,ROW('[1]U$S'!$H$5:$H$1008)-ROW('[1]U$S'!$O$5)+1/--('[1]U$S'!$H$5:$H$1008=$L$5),ROWS($D$7:D410)),1))</f>
        <v/>
      </c>
      <c r="E410" s="22" t="str" cm="1">
        <f t="array" ref="E410">IF(ROWS($E$7:E410)&gt;COUNTIF('[1]U$S'!$H$5:$H$1008,$L$5),"",INDEX(CuentaUS,_xlfn.AGGREGATE(15,6,ROW('[1]U$S'!$H$5:$H$1008)-ROW('[1]U$S'!$O$5)+1/--('[1]U$S'!$H$5:$H$1008=$L$5),ROWS($E$7:E410)),6))</f>
        <v/>
      </c>
      <c r="F410" s="22" t="str">
        <f>IF(E410="","",IF(E410&gt;0,SUMIFS('[1]UY$'!$L$5:$L$993,'[1]UY$'!$O$5:$O$993,"Cambio",'[1]UY$'!$E$5:$E$993,'Efecto TC'!D410),""))</f>
        <v/>
      </c>
      <c r="G410" s="23" t="str">
        <f t="shared" si="50"/>
        <v/>
      </c>
      <c r="H410" s="22" t="str">
        <f t="shared" si="51"/>
        <v/>
      </c>
      <c r="I410" s="54" t="str">
        <f t="shared" si="55"/>
        <v/>
      </c>
      <c r="R410" s="24" t="e">
        <f t="shared" si="52"/>
        <v>#VALUE!</v>
      </c>
      <c r="S410" s="25" t="e">
        <f t="shared" si="49"/>
        <v>#VALUE!</v>
      </c>
    </row>
    <row r="411" spans="1:19" x14ac:dyDescent="0.25">
      <c r="A411" t="e">
        <f t="shared" si="53"/>
        <v>#VALUE!</v>
      </c>
      <c r="B411" t="e">
        <f t="shared" si="54"/>
        <v>#VALUE!</v>
      </c>
      <c r="D411" s="21" t="str" cm="1">
        <f t="array" ref="D411">IF(ROWS($D$7:D411)&gt;COUNTIF('[1]U$S'!$H$5:$H$1008,$L$5),"",INDEX(CuentaUS,_xlfn.AGGREGATE(15,6,ROW('[1]U$S'!$H$5:$H$1008)-ROW('[1]U$S'!$O$5)+1/--('[1]U$S'!$H$5:$H$1008=$L$5),ROWS($D$7:D411)),1))</f>
        <v/>
      </c>
      <c r="E411" s="22" t="str" cm="1">
        <f t="array" ref="E411">IF(ROWS($E$7:E411)&gt;COUNTIF('[1]U$S'!$H$5:$H$1008,$L$5),"",INDEX(CuentaUS,_xlfn.AGGREGATE(15,6,ROW('[1]U$S'!$H$5:$H$1008)-ROW('[1]U$S'!$O$5)+1/--('[1]U$S'!$H$5:$H$1008=$L$5),ROWS($E$7:E411)),6))</f>
        <v/>
      </c>
      <c r="F411" s="22" t="str">
        <f>IF(E411="","",IF(E411&gt;0,SUMIFS('[1]UY$'!$L$5:$L$993,'[1]UY$'!$O$5:$O$993,"Cambio",'[1]UY$'!$E$5:$E$993,'Efecto TC'!D411),""))</f>
        <v/>
      </c>
      <c r="G411" s="23" t="str">
        <f t="shared" si="50"/>
        <v/>
      </c>
      <c r="H411" s="22" t="str">
        <f t="shared" si="51"/>
        <v/>
      </c>
      <c r="I411" s="54" t="str">
        <f t="shared" si="55"/>
        <v/>
      </c>
      <c r="R411" s="24" t="e">
        <f t="shared" si="52"/>
        <v>#VALUE!</v>
      </c>
      <c r="S411" s="25" t="e">
        <f t="shared" ref="S411:S474" si="56">R411*G405</f>
        <v>#VALUE!</v>
      </c>
    </row>
    <row r="412" spans="1:19" x14ac:dyDescent="0.25">
      <c r="A412" t="e">
        <f t="shared" si="53"/>
        <v>#VALUE!</v>
      </c>
      <c r="B412" t="e">
        <f t="shared" si="54"/>
        <v>#VALUE!</v>
      </c>
      <c r="D412" s="21" t="str" cm="1">
        <f t="array" ref="D412">IF(ROWS($D$7:D412)&gt;COUNTIF('[1]U$S'!$H$5:$H$1008,$L$5),"",INDEX(CuentaUS,_xlfn.AGGREGATE(15,6,ROW('[1]U$S'!$H$5:$H$1008)-ROW('[1]U$S'!$O$5)+1/--('[1]U$S'!$H$5:$H$1008=$L$5),ROWS($D$7:D412)),1))</f>
        <v/>
      </c>
      <c r="E412" s="22" t="str" cm="1">
        <f t="array" ref="E412">IF(ROWS($E$7:E412)&gt;COUNTIF('[1]U$S'!$H$5:$H$1008,$L$5),"",INDEX(CuentaUS,_xlfn.AGGREGATE(15,6,ROW('[1]U$S'!$H$5:$H$1008)-ROW('[1]U$S'!$O$5)+1/--('[1]U$S'!$H$5:$H$1008=$L$5),ROWS($E$7:E412)),6))</f>
        <v/>
      </c>
      <c r="F412" s="22" t="str">
        <f>IF(E412="","",IF(E412&gt;0,SUMIFS('[1]UY$'!$L$5:$L$993,'[1]UY$'!$O$5:$O$993,"Cambio",'[1]UY$'!$E$5:$E$993,'Efecto TC'!D412),""))</f>
        <v/>
      </c>
      <c r="G412" s="23" t="str">
        <f t="shared" si="50"/>
        <v/>
      </c>
      <c r="H412" s="22" t="str">
        <f t="shared" si="51"/>
        <v/>
      </c>
      <c r="I412" s="54" t="str">
        <f t="shared" si="55"/>
        <v/>
      </c>
      <c r="R412" s="24" t="e">
        <f t="shared" si="52"/>
        <v>#VALUE!</v>
      </c>
      <c r="S412" s="25" t="e">
        <f t="shared" si="56"/>
        <v>#VALUE!</v>
      </c>
    </row>
    <row r="413" spans="1:19" x14ac:dyDescent="0.25">
      <c r="A413" t="e">
        <f t="shared" si="53"/>
        <v>#VALUE!</v>
      </c>
      <c r="B413" t="e">
        <f t="shared" si="54"/>
        <v>#VALUE!</v>
      </c>
      <c r="D413" s="21" t="str" cm="1">
        <f t="array" ref="D413">IF(ROWS($D$7:D413)&gt;COUNTIF('[1]U$S'!$H$5:$H$1008,$L$5),"",INDEX(CuentaUS,_xlfn.AGGREGATE(15,6,ROW('[1]U$S'!$H$5:$H$1008)-ROW('[1]U$S'!$O$5)+1/--('[1]U$S'!$H$5:$H$1008=$L$5),ROWS($D$7:D413)),1))</f>
        <v/>
      </c>
      <c r="E413" s="22" t="str" cm="1">
        <f t="array" ref="E413">IF(ROWS($E$7:E413)&gt;COUNTIF('[1]U$S'!$H$5:$H$1008,$L$5),"",INDEX(CuentaUS,_xlfn.AGGREGATE(15,6,ROW('[1]U$S'!$H$5:$H$1008)-ROW('[1]U$S'!$O$5)+1/--('[1]U$S'!$H$5:$H$1008=$L$5),ROWS($E$7:E413)),6))</f>
        <v/>
      </c>
      <c r="F413" s="22" t="str">
        <f>IF(E413="","",IF(E413&gt;0,SUMIFS('[1]UY$'!$L$5:$L$993,'[1]UY$'!$O$5:$O$993,"Cambio",'[1]UY$'!$E$5:$E$993,'Efecto TC'!D413),""))</f>
        <v/>
      </c>
      <c r="G413" s="23" t="str">
        <f t="shared" si="50"/>
        <v/>
      </c>
      <c r="H413" s="22" t="str">
        <f t="shared" si="51"/>
        <v/>
      </c>
      <c r="I413" s="54" t="str">
        <f t="shared" si="55"/>
        <v/>
      </c>
      <c r="R413" s="24" t="e">
        <f t="shared" si="52"/>
        <v>#VALUE!</v>
      </c>
      <c r="S413" s="25" t="e">
        <f t="shared" si="56"/>
        <v>#VALUE!</v>
      </c>
    </row>
    <row r="414" spans="1:19" x14ac:dyDescent="0.25">
      <c r="A414" t="e">
        <f t="shared" si="53"/>
        <v>#VALUE!</v>
      </c>
      <c r="B414" t="e">
        <f t="shared" si="54"/>
        <v>#VALUE!</v>
      </c>
      <c r="D414" s="21" t="str" cm="1">
        <f t="array" ref="D414">IF(ROWS($D$7:D414)&gt;COUNTIF('[1]U$S'!$H$5:$H$1008,$L$5),"",INDEX(CuentaUS,_xlfn.AGGREGATE(15,6,ROW('[1]U$S'!$H$5:$H$1008)-ROW('[1]U$S'!$O$5)+1/--('[1]U$S'!$H$5:$H$1008=$L$5),ROWS($D$7:D414)),1))</f>
        <v/>
      </c>
      <c r="E414" s="22" t="str" cm="1">
        <f t="array" ref="E414">IF(ROWS($E$7:E414)&gt;COUNTIF('[1]U$S'!$H$5:$H$1008,$L$5),"",INDEX(CuentaUS,_xlfn.AGGREGATE(15,6,ROW('[1]U$S'!$H$5:$H$1008)-ROW('[1]U$S'!$O$5)+1/--('[1]U$S'!$H$5:$H$1008=$L$5),ROWS($E$7:E414)),6))</f>
        <v/>
      </c>
      <c r="F414" s="22" t="str">
        <f>IF(E414="","",IF(E414&gt;0,SUMIFS('[1]UY$'!$L$5:$L$993,'[1]UY$'!$O$5:$O$993,"Cambio",'[1]UY$'!$E$5:$E$993,'Efecto TC'!D414),""))</f>
        <v/>
      </c>
      <c r="G414" s="23" t="str">
        <f t="shared" si="50"/>
        <v/>
      </c>
      <c r="H414" s="22" t="str">
        <f t="shared" si="51"/>
        <v/>
      </c>
      <c r="I414" s="54" t="str">
        <f t="shared" si="55"/>
        <v/>
      </c>
      <c r="R414" s="24" t="e">
        <f t="shared" si="52"/>
        <v>#VALUE!</v>
      </c>
      <c r="S414" s="25" t="e">
        <f t="shared" si="56"/>
        <v>#VALUE!</v>
      </c>
    </row>
    <row r="415" spans="1:19" x14ac:dyDescent="0.25">
      <c r="A415" t="e">
        <f t="shared" si="53"/>
        <v>#VALUE!</v>
      </c>
      <c r="B415" t="e">
        <f t="shared" si="54"/>
        <v>#VALUE!</v>
      </c>
      <c r="D415" s="21" t="str" cm="1">
        <f t="array" ref="D415">IF(ROWS($D$7:D415)&gt;COUNTIF('[1]U$S'!$H$5:$H$1008,$L$5),"",INDEX(CuentaUS,_xlfn.AGGREGATE(15,6,ROW('[1]U$S'!$H$5:$H$1008)-ROW('[1]U$S'!$O$5)+1/--('[1]U$S'!$H$5:$H$1008=$L$5),ROWS($D$7:D415)),1))</f>
        <v/>
      </c>
      <c r="E415" s="22" t="str" cm="1">
        <f t="array" ref="E415">IF(ROWS($E$7:E415)&gt;COUNTIF('[1]U$S'!$H$5:$H$1008,$L$5),"",INDEX(CuentaUS,_xlfn.AGGREGATE(15,6,ROW('[1]U$S'!$H$5:$H$1008)-ROW('[1]U$S'!$O$5)+1/--('[1]U$S'!$H$5:$H$1008=$L$5),ROWS($E$7:E415)),6))</f>
        <v/>
      </c>
      <c r="F415" s="22" t="str">
        <f>IF(E415="","",IF(E415&gt;0,SUMIFS('[1]UY$'!$L$5:$L$993,'[1]UY$'!$O$5:$O$993,"Cambio",'[1]UY$'!$E$5:$E$993,'Efecto TC'!D415),""))</f>
        <v/>
      </c>
      <c r="G415" s="23" t="str">
        <f t="shared" si="50"/>
        <v/>
      </c>
      <c r="H415" s="22" t="str">
        <f t="shared" si="51"/>
        <v/>
      </c>
      <c r="I415" s="54" t="str">
        <f t="shared" si="55"/>
        <v/>
      </c>
      <c r="R415" s="24" t="e">
        <f t="shared" si="52"/>
        <v>#VALUE!</v>
      </c>
      <c r="S415" s="25" t="e">
        <f t="shared" si="56"/>
        <v>#VALUE!</v>
      </c>
    </row>
    <row r="416" spans="1:19" x14ac:dyDescent="0.25">
      <c r="A416" t="e">
        <f t="shared" si="53"/>
        <v>#VALUE!</v>
      </c>
      <c r="B416" t="e">
        <f t="shared" si="54"/>
        <v>#VALUE!</v>
      </c>
      <c r="D416" s="21" t="str" cm="1">
        <f t="array" ref="D416">IF(ROWS($D$7:D416)&gt;COUNTIF('[1]U$S'!$H$5:$H$1008,$L$5),"",INDEX(CuentaUS,_xlfn.AGGREGATE(15,6,ROW('[1]U$S'!$H$5:$H$1008)-ROW('[1]U$S'!$O$5)+1/--('[1]U$S'!$H$5:$H$1008=$L$5),ROWS($D$7:D416)),1))</f>
        <v/>
      </c>
      <c r="E416" s="22" t="str" cm="1">
        <f t="array" ref="E416">IF(ROWS($E$7:E416)&gt;COUNTIF('[1]U$S'!$H$5:$H$1008,$L$5),"",INDEX(CuentaUS,_xlfn.AGGREGATE(15,6,ROW('[1]U$S'!$H$5:$H$1008)-ROW('[1]U$S'!$O$5)+1/--('[1]U$S'!$H$5:$H$1008=$L$5),ROWS($E$7:E416)),6))</f>
        <v/>
      </c>
      <c r="F416" s="22" t="str">
        <f>IF(E416="","",IF(E416&gt;0,SUMIFS('[1]UY$'!$L$5:$L$993,'[1]UY$'!$O$5:$O$993,"Cambio",'[1]UY$'!$E$5:$E$993,'Efecto TC'!D416),""))</f>
        <v/>
      </c>
      <c r="G416" s="23" t="str">
        <f t="shared" si="50"/>
        <v/>
      </c>
      <c r="H416" s="22" t="str">
        <f t="shared" si="51"/>
        <v/>
      </c>
      <c r="I416" s="54" t="str">
        <f t="shared" si="55"/>
        <v/>
      </c>
      <c r="R416" s="24" t="e">
        <f t="shared" si="52"/>
        <v>#VALUE!</v>
      </c>
      <c r="S416" s="25" t="e">
        <f t="shared" si="56"/>
        <v>#VALUE!</v>
      </c>
    </row>
    <row r="417" spans="1:19" x14ac:dyDescent="0.25">
      <c r="A417" t="e">
        <f t="shared" si="53"/>
        <v>#VALUE!</v>
      </c>
      <c r="B417" t="e">
        <f t="shared" si="54"/>
        <v>#VALUE!</v>
      </c>
      <c r="D417" s="21" t="str" cm="1">
        <f t="array" ref="D417">IF(ROWS($D$7:D417)&gt;COUNTIF('[1]U$S'!$H$5:$H$1008,$L$5),"",INDEX(CuentaUS,_xlfn.AGGREGATE(15,6,ROW('[1]U$S'!$H$5:$H$1008)-ROW('[1]U$S'!$O$5)+1/--('[1]U$S'!$H$5:$H$1008=$L$5),ROWS($D$7:D417)),1))</f>
        <v/>
      </c>
      <c r="E417" s="22" t="str" cm="1">
        <f t="array" ref="E417">IF(ROWS($E$7:E417)&gt;COUNTIF('[1]U$S'!$H$5:$H$1008,$L$5),"",INDEX(CuentaUS,_xlfn.AGGREGATE(15,6,ROW('[1]U$S'!$H$5:$H$1008)-ROW('[1]U$S'!$O$5)+1/--('[1]U$S'!$H$5:$H$1008=$L$5),ROWS($E$7:E417)),6))</f>
        <v/>
      </c>
      <c r="F417" s="22" t="str">
        <f>IF(E417="","",IF(E417&gt;0,SUMIFS('[1]UY$'!$L$5:$L$993,'[1]UY$'!$O$5:$O$993,"Cambio",'[1]UY$'!$E$5:$E$993,'Efecto TC'!D417),""))</f>
        <v/>
      </c>
      <c r="G417" s="23" t="str">
        <f t="shared" si="50"/>
        <v/>
      </c>
      <c r="H417" s="22" t="str">
        <f t="shared" si="51"/>
        <v/>
      </c>
      <c r="I417" s="54" t="str">
        <f t="shared" si="55"/>
        <v/>
      </c>
      <c r="R417" s="24" t="e">
        <f t="shared" si="52"/>
        <v>#VALUE!</v>
      </c>
      <c r="S417" s="25" t="e">
        <f t="shared" si="56"/>
        <v>#VALUE!</v>
      </c>
    </row>
    <row r="418" spans="1:19" x14ac:dyDescent="0.25">
      <c r="A418" t="e">
        <f t="shared" si="53"/>
        <v>#VALUE!</v>
      </c>
      <c r="B418" t="e">
        <f t="shared" si="54"/>
        <v>#VALUE!</v>
      </c>
      <c r="D418" s="21" t="str" cm="1">
        <f t="array" ref="D418">IF(ROWS($D$7:D418)&gt;COUNTIF('[1]U$S'!$H$5:$H$1008,$L$5),"",INDEX(CuentaUS,_xlfn.AGGREGATE(15,6,ROW('[1]U$S'!$H$5:$H$1008)-ROW('[1]U$S'!$O$5)+1/--('[1]U$S'!$H$5:$H$1008=$L$5),ROWS($D$7:D418)),1))</f>
        <v/>
      </c>
      <c r="E418" s="22" t="str" cm="1">
        <f t="array" ref="E418">IF(ROWS($E$7:E418)&gt;COUNTIF('[1]U$S'!$H$5:$H$1008,$L$5),"",INDEX(CuentaUS,_xlfn.AGGREGATE(15,6,ROW('[1]U$S'!$H$5:$H$1008)-ROW('[1]U$S'!$O$5)+1/--('[1]U$S'!$H$5:$H$1008=$L$5),ROWS($E$7:E418)),6))</f>
        <v/>
      </c>
      <c r="F418" s="22" t="str">
        <f>IF(E418="","",IF(E418&gt;0,SUMIFS('[1]UY$'!$L$5:$L$993,'[1]UY$'!$O$5:$O$993,"Cambio",'[1]UY$'!$E$5:$E$993,'Efecto TC'!D418),""))</f>
        <v/>
      </c>
      <c r="G418" s="23" t="str">
        <f t="shared" ref="G418:G481" si="57">IF(F418="","",F418/E418)</f>
        <v/>
      </c>
      <c r="H418" s="22" t="str">
        <f t="shared" ref="H418:H481" si="58">IF(E418="","",F418/$F$2-F418/G418)</f>
        <v/>
      </c>
      <c r="I418" s="54" t="str">
        <f t="shared" si="55"/>
        <v/>
      </c>
      <c r="R418" s="24" t="e">
        <f t="shared" ref="R418:R481" si="59">E418/$E$1001</f>
        <v>#VALUE!</v>
      </c>
      <c r="S418" s="25" t="e">
        <f t="shared" si="56"/>
        <v>#VALUE!</v>
      </c>
    </row>
    <row r="419" spans="1:19" x14ac:dyDescent="0.25">
      <c r="A419" t="e">
        <f t="shared" si="53"/>
        <v>#VALUE!</v>
      </c>
      <c r="B419" t="e">
        <f t="shared" si="54"/>
        <v>#VALUE!</v>
      </c>
      <c r="D419" s="21" t="str" cm="1">
        <f t="array" ref="D419">IF(ROWS($D$7:D419)&gt;COUNTIF('[1]U$S'!$H$5:$H$1008,$L$5),"",INDEX(CuentaUS,_xlfn.AGGREGATE(15,6,ROW('[1]U$S'!$H$5:$H$1008)-ROW('[1]U$S'!$O$5)+1/--('[1]U$S'!$H$5:$H$1008=$L$5),ROWS($D$7:D419)),1))</f>
        <v/>
      </c>
      <c r="E419" s="22" t="str" cm="1">
        <f t="array" ref="E419">IF(ROWS($E$7:E419)&gt;COUNTIF('[1]U$S'!$H$5:$H$1008,$L$5),"",INDEX(CuentaUS,_xlfn.AGGREGATE(15,6,ROW('[1]U$S'!$H$5:$H$1008)-ROW('[1]U$S'!$O$5)+1/--('[1]U$S'!$H$5:$H$1008=$L$5),ROWS($E$7:E419)),6))</f>
        <v/>
      </c>
      <c r="F419" s="22" t="str">
        <f>IF(E419="","",IF(E419&gt;0,SUMIFS('[1]UY$'!$L$5:$L$993,'[1]UY$'!$O$5:$O$993,"Cambio",'[1]UY$'!$E$5:$E$993,'Efecto TC'!D419),""))</f>
        <v/>
      </c>
      <c r="G419" s="23" t="str">
        <f t="shared" si="57"/>
        <v/>
      </c>
      <c r="H419" s="22" t="str">
        <f t="shared" si="58"/>
        <v/>
      </c>
      <c r="I419" s="54" t="str">
        <f t="shared" si="55"/>
        <v/>
      </c>
      <c r="R419" s="24" t="e">
        <f t="shared" si="59"/>
        <v>#VALUE!</v>
      </c>
      <c r="S419" s="25" t="e">
        <f t="shared" si="56"/>
        <v>#VALUE!</v>
      </c>
    </row>
    <row r="420" spans="1:19" x14ac:dyDescent="0.25">
      <c r="A420" t="e">
        <f t="shared" si="53"/>
        <v>#VALUE!</v>
      </c>
      <c r="B420" t="e">
        <f t="shared" si="54"/>
        <v>#VALUE!</v>
      </c>
      <c r="D420" s="21" t="str" cm="1">
        <f t="array" ref="D420">IF(ROWS($D$7:D420)&gt;COUNTIF('[1]U$S'!$H$5:$H$1008,$L$5),"",INDEX(CuentaUS,_xlfn.AGGREGATE(15,6,ROW('[1]U$S'!$H$5:$H$1008)-ROW('[1]U$S'!$O$5)+1/--('[1]U$S'!$H$5:$H$1008=$L$5),ROWS($D$7:D420)),1))</f>
        <v/>
      </c>
      <c r="E420" s="22" t="str" cm="1">
        <f t="array" ref="E420">IF(ROWS($E$7:E420)&gt;COUNTIF('[1]U$S'!$H$5:$H$1008,$L$5),"",INDEX(CuentaUS,_xlfn.AGGREGATE(15,6,ROW('[1]U$S'!$H$5:$H$1008)-ROW('[1]U$S'!$O$5)+1/--('[1]U$S'!$H$5:$H$1008=$L$5),ROWS($E$7:E420)),6))</f>
        <v/>
      </c>
      <c r="F420" s="22" t="str">
        <f>IF(E420="","",IF(E420&gt;0,SUMIFS('[1]UY$'!$L$5:$L$993,'[1]UY$'!$O$5:$O$993,"Cambio",'[1]UY$'!$E$5:$E$993,'Efecto TC'!D420),""))</f>
        <v/>
      </c>
      <c r="G420" s="23" t="str">
        <f t="shared" si="57"/>
        <v/>
      </c>
      <c r="H420" s="22" t="str">
        <f t="shared" si="58"/>
        <v/>
      </c>
      <c r="I420" s="54" t="str">
        <f t="shared" si="55"/>
        <v/>
      </c>
      <c r="R420" s="24" t="e">
        <f t="shared" si="59"/>
        <v>#VALUE!</v>
      </c>
      <c r="S420" s="25" t="e">
        <f t="shared" si="56"/>
        <v>#VALUE!</v>
      </c>
    </row>
    <row r="421" spans="1:19" x14ac:dyDescent="0.25">
      <c r="A421" t="e">
        <f t="shared" si="53"/>
        <v>#VALUE!</v>
      </c>
      <c r="B421" t="e">
        <f t="shared" si="54"/>
        <v>#VALUE!</v>
      </c>
      <c r="D421" s="21" t="str" cm="1">
        <f t="array" ref="D421">IF(ROWS($D$7:D421)&gt;COUNTIF('[1]U$S'!$H$5:$H$1008,$L$5),"",INDEX(CuentaUS,_xlfn.AGGREGATE(15,6,ROW('[1]U$S'!$H$5:$H$1008)-ROW('[1]U$S'!$O$5)+1/--('[1]U$S'!$H$5:$H$1008=$L$5),ROWS($D$7:D421)),1))</f>
        <v/>
      </c>
      <c r="E421" s="22" t="str" cm="1">
        <f t="array" ref="E421">IF(ROWS($E$7:E421)&gt;COUNTIF('[1]U$S'!$H$5:$H$1008,$L$5),"",INDEX(CuentaUS,_xlfn.AGGREGATE(15,6,ROW('[1]U$S'!$H$5:$H$1008)-ROW('[1]U$S'!$O$5)+1/--('[1]U$S'!$H$5:$H$1008=$L$5),ROWS($E$7:E421)),6))</f>
        <v/>
      </c>
      <c r="F421" s="22" t="str">
        <f>IF(E421="","",IF(E421&gt;0,SUMIFS('[1]UY$'!$L$5:$L$993,'[1]UY$'!$O$5:$O$993,"Cambio",'[1]UY$'!$E$5:$E$993,'Efecto TC'!D421),""))</f>
        <v/>
      </c>
      <c r="G421" s="23" t="str">
        <f t="shared" si="57"/>
        <v/>
      </c>
      <c r="H421" s="22" t="str">
        <f t="shared" si="58"/>
        <v/>
      </c>
      <c r="I421" s="54" t="str">
        <f t="shared" si="55"/>
        <v/>
      </c>
      <c r="R421" s="24" t="e">
        <f t="shared" si="59"/>
        <v>#VALUE!</v>
      </c>
      <c r="S421" s="25" t="e">
        <f t="shared" si="56"/>
        <v>#VALUE!</v>
      </c>
    </row>
    <row r="422" spans="1:19" x14ac:dyDescent="0.25">
      <c r="A422" t="e">
        <f t="shared" si="53"/>
        <v>#VALUE!</v>
      </c>
      <c r="B422" t="e">
        <f t="shared" si="54"/>
        <v>#VALUE!</v>
      </c>
      <c r="D422" s="21" t="str" cm="1">
        <f t="array" ref="D422">IF(ROWS($D$7:D422)&gt;COUNTIF('[1]U$S'!$H$5:$H$1008,$L$5),"",INDEX(CuentaUS,_xlfn.AGGREGATE(15,6,ROW('[1]U$S'!$H$5:$H$1008)-ROW('[1]U$S'!$O$5)+1/--('[1]U$S'!$H$5:$H$1008=$L$5),ROWS($D$7:D422)),1))</f>
        <v/>
      </c>
      <c r="E422" s="22" t="str" cm="1">
        <f t="array" ref="E422">IF(ROWS($E$7:E422)&gt;COUNTIF('[1]U$S'!$H$5:$H$1008,$L$5),"",INDEX(CuentaUS,_xlfn.AGGREGATE(15,6,ROW('[1]U$S'!$H$5:$H$1008)-ROW('[1]U$S'!$O$5)+1/--('[1]U$S'!$H$5:$H$1008=$L$5),ROWS($E$7:E422)),6))</f>
        <v/>
      </c>
      <c r="F422" s="22" t="str">
        <f>IF(E422="","",IF(E422&gt;0,SUMIFS('[1]UY$'!$L$5:$L$993,'[1]UY$'!$O$5:$O$993,"Cambio",'[1]UY$'!$E$5:$E$993,'Efecto TC'!D422),""))</f>
        <v/>
      </c>
      <c r="G422" s="23" t="str">
        <f t="shared" si="57"/>
        <v/>
      </c>
      <c r="H422" s="22" t="str">
        <f t="shared" si="58"/>
        <v/>
      </c>
      <c r="I422" s="54" t="str">
        <f t="shared" si="55"/>
        <v/>
      </c>
      <c r="R422" s="24" t="e">
        <f t="shared" si="59"/>
        <v>#VALUE!</v>
      </c>
      <c r="S422" s="25" t="e">
        <f t="shared" si="56"/>
        <v>#VALUE!</v>
      </c>
    </row>
    <row r="423" spans="1:19" x14ac:dyDescent="0.25">
      <c r="A423" t="e">
        <f t="shared" si="53"/>
        <v>#VALUE!</v>
      </c>
      <c r="B423" t="e">
        <f t="shared" si="54"/>
        <v>#VALUE!</v>
      </c>
      <c r="D423" s="21" t="str" cm="1">
        <f t="array" ref="D423">IF(ROWS($D$7:D423)&gt;COUNTIF('[1]U$S'!$H$5:$H$1008,$L$5),"",INDEX(CuentaUS,_xlfn.AGGREGATE(15,6,ROW('[1]U$S'!$H$5:$H$1008)-ROW('[1]U$S'!$O$5)+1/--('[1]U$S'!$H$5:$H$1008=$L$5),ROWS($D$7:D423)),1))</f>
        <v/>
      </c>
      <c r="E423" s="22" t="str" cm="1">
        <f t="array" ref="E423">IF(ROWS($E$7:E423)&gt;COUNTIF('[1]U$S'!$H$5:$H$1008,$L$5),"",INDEX(CuentaUS,_xlfn.AGGREGATE(15,6,ROW('[1]U$S'!$H$5:$H$1008)-ROW('[1]U$S'!$O$5)+1/--('[1]U$S'!$H$5:$H$1008=$L$5),ROWS($E$7:E423)),6))</f>
        <v/>
      </c>
      <c r="F423" s="22" t="str">
        <f>IF(E423="","",IF(E423&gt;0,SUMIFS('[1]UY$'!$L$5:$L$993,'[1]UY$'!$O$5:$O$993,"Cambio",'[1]UY$'!$E$5:$E$993,'Efecto TC'!D423),""))</f>
        <v/>
      </c>
      <c r="G423" s="23" t="str">
        <f t="shared" si="57"/>
        <v/>
      </c>
      <c r="H423" s="22" t="str">
        <f t="shared" si="58"/>
        <v/>
      </c>
      <c r="I423" s="54" t="str">
        <f t="shared" si="55"/>
        <v/>
      </c>
      <c r="R423" s="24" t="e">
        <f t="shared" si="59"/>
        <v>#VALUE!</v>
      </c>
      <c r="S423" s="25" t="e">
        <f t="shared" si="56"/>
        <v>#VALUE!</v>
      </c>
    </row>
    <row r="424" spans="1:19" x14ac:dyDescent="0.25">
      <c r="A424" t="e">
        <f t="shared" si="53"/>
        <v>#VALUE!</v>
      </c>
      <c r="B424" t="e">
        <f t="shared" si="54"/>
        <v>#VALUE!</v>
      </c>
      <c r="D424" s="21" t="str" cm="1">
        <f t="array" ref="D424">IF(ROWS($D$7:D424)&gt;COUNTIF('[1]U$S'!$H$5:$H$1008,$L$5),"",INDEX(CuentaUS,_xlfn.AGGREGATE(15,6,ROW('[1]U$S'!$H$5:$H$1008)-ROW('[1]U$S'!$O$5)+1/--('[1]U$S'!$H$5:$H$1008=$L$5),ROWS($D$7:D424)),1))</f>
        <v/>
      </c>
      <c r="E424" s="22" t="str" cm="1">
        <f t="array" ref="E424">IF(ROWS($E$7:E424)&gt;COUNTIF('[1]U$S'!$H$5:$H$1008,$L$5),"",INDEX(CuentaUS,_xlfn.AGGREGATE(15,6,ROW('[1]U$S'!$H$5:$H$1008)-ROW('[1]U$S'!$O$5)+1/--('[1]U$S'!$H$5:$H$1008=$L$5),ROWS($E$7:E424)),6))</f>
        <v/>
      </c>
      <c r="F424" s="22" t="str">
        <f>IF(E424="","",IF(E424&gt;0,SUMIFS('[1]UY$'!$L$5:$L$993,'[1]UY$'!$O$5:$O$993,"Cambio",'[1]UY$'!$E$5:$E$993,'Efecto TC'!D424),""))</f>
        <v/>
      </c>
      <c r="G424" s="23" t="str">
        <f t="shared" si="57"/>
        <v/>
      </c>
      <c r="H424" s="22" t="str">
        <f t="shared" si="58"/>
        <v/>
      </c>
      <c r="I424" s="54" t="str">
        <f t="shared" si="55"/>
        <v/>
      </c>
      <c r="R424" s="24" t="e">
        <f t="shared" si="59"/>
        <v>#VALUE!</v>
      </c>
      <c r="S424" s="25" t="e">
        <f t="shared" si="56"/>
        <v>#VALUE!</v>
      </c>
    </row>
    <row r="425" spans="1:19" x14ac:dyDescent="0.25">
      <c r="A425" t="e">
        <f t="shared" si="53"/>
        <v>#VALUE!</v>
      </c>
      <c r="B425" t="e">
        <f t="shared" si="54"/>
        <v>#VALUE!</v>
      </c>
      <c r="D425" s="21" t="str" cm="1">
        <f t="array" ref="D425">IF(ROWS($D$7:D425)&gt;COUNTIF('[1]U$S'!$H$5:$H$1008,$L$5),"",INDEX(CuentaUS,_xlfn.AGGREGATE(15,6,ROW('[1]U$S'!$H$5:$H$1008)-ROW('[1]U$S'!$O$5)+1/--('[1]U$S'!$H$5:$H$1008=$L$5),ROWS($D$7:D425)),1))</f>
        <v/>
      </c>
      <c r="E425" s="22" t="str" cm="1">
        <f t="array" ref="E425">IF(ROWS($E$7:E425)&gt;COUNTIF('[1]U$S'!$H$5:$H$1008,$L$5),"",INDEX(CuentaUS,_xlfn.AGGREGATE(15,6,ROW('[1]U$S'!$H$5:$H$1008)-ROW('[1]U$S'!$O$5)+1/--('[1]U$S'!$H$5:$H$1008=$L$5),ROWS($E$7:E425)),6))</f>
        <v/>
      </c>
      <c r="F425" s="22" t="str">
        <f>IF(E425="","",IF(E425&gt;0,SUMIFS('[1]UY$'!$L$5:$L$993,'[1]UY$'!$O$5:$O$993,"Cambio",'[1]UY$'!$E$5:$E$993,'Efecto TC'!D425),""))</f>
        <v/>
      </c>
      <c r="G425" s="23" t="str">
        <f t="shared" si="57"/>
        <v/>
      </c>
      <c r="H425" s="22" t="str">
        <f t="shared" si="58"/>
        <v/>
      </c>
      <c r="I425" s="54" t="str">
        <f t="shared" si="55"/>
        <v/>
      </c>
      <c r="R425" s="24" t="e">
        <f t="shared" si="59"/>
        <v>#VALUE!</v>
      </c>
      <c r="S425" s="25" t="e">
        <f t="shared" si="56"/>
        <v>#VALUE!</v>
      </c>
    </row>
    <row r="426" spans="1:19" x14ac:dyDescent="0.25">
      <c r="A426" t="e">
        <f t="shared" si="53"/>
        <v>#VALUE!</v>
      </c>
      <c r="B426" t="e">
        <f t="shared" si="54"/>
        <v>#VALUE!</v>
      </c>
      <c r="D426" s="21" t="str" cm="1">
        <f t="array" ref="D426">IF(ROWS($D$7:D426)&gt;COUNTIF('[1]U$S'!$H$5:$H$1008,$L$5),"",INDEX(CuentaUS,_xlfn.AGGREGATE(15,6,ROW('[1]U$S'!$H$5:$H$1008)-ROW('[1]U$S'!$O$5)+1/--('[1]U$S'!$H$5:$H$1008=$L$5),ROWS($D$7:D426)),1))</f>
        <v/>
      </c>
      <c r="E426" s="22" t="str" cm="1">
        <f t="array" ref="E426">IF(ROWS($E$7:E426)&gt;COUNTIF('[1]U$S'!$H$5:$H$1008,$L$5),"",INDEX(CuentaUS,_xlfn.AGGREGATE(15,6,ROW('[1]U$S'!$H$5:$H$1008)-ROW('[1]U$S'!$O$5)+1/--('[1]U$S'!$H$5:$H$1008=$L$5),ROWS($E$7:E426)),6))</f>
        <v/>
      </c>
      <c r="F426" s="22" t="str">
        <f>IF(E426="","",IF(E426&gt;0,SUMIFS('[1]UY$'!$L$5:$L$993,'[1]UY$'!$O$5:$O$993,"Cambio",'[1]UY$'!$E$5:$E$993,'Efecto TC'!D426),""))</f>
        <v/>
      </c>
      <c r="G426" s="23" t="str">
        <f t="shared" si="57"/>
        <v/>
      </c>
      <c r="H426" s="22" t="str">
        <f t="shared" si="58"/>
        <v/>
      </c>
      <c r="I426" s="54" t="str">
        <f t="shared" si="55"/>
        <v/>
      </c>
      <c r="R426" s="24" t="e">
        <f t="shared" si="59"/>
        <v>#VALUE!</v>
      </c>
      <c r="S426" s="25" t="e">
        <f t="shared" si="56"/>
        <v>#VALUE!</v>
      </c>
    </row>
    <row r="427" spans="1:19" x14ac:dyDescent="0.25">
      <c r="A427" t="e">
        <f t="shared" si="53"/>
        <v>#VALUE!</v>
      </c>
      <c r="B427" t="e">
        <f t="shared" si="54"/>
        <v>#VALUE!</v>
      </c>
      <c r="D427" s="21" t="str" cm="1">
        <f t="array" ref="D427">IF(ROWS($D$7:D427)&gt;COUNTIF('[1]U$S'!$H$5:$H$1008,$L$5),"",INDEX(CuentaUS,_xlfn.AGGREGATE(15,6,ROW('[1]U$S'!$H$5:$H$1008)-ROW('[1]U$S'!$O$5)+1/--('[1]U$S'!$H$5:$H$1008=$L$5),ROWS($D$7:D427)),1))</f>
        <v/>
      </c>
      <c r="E427" s="22" t="str" cm="1">
        <f t="array" ref="E427">IF(ROWS($E$7:E427)&gt;COUNTIF('[1]U$S'!$H$5:$H$1008,$L$5),"",INDEX(CuentaUS,_xlfn.AGGREGATE(15,6,ROW('[1]U$S'!$H$5:$H$1008)-ROW('[1]U$S'!$O$5)+1/--('[1]U$S'!$H$5:$H$1008=$L$5),ROWS($E$7:E427)),6))</f>
        <v/>
      </c>
      <c r="F427" s="22" t="str">
        <f>IF(E427="","",IF(E427&gt;0,SUMIFS('[1]UY$'!$L$5:$L$993,'[1]UY$'!$O$5:$O$993,"Cambio",'[1]UY$'!$E$5:$E$993,'Efecto TC'!D427),""))</f>
        <v/>
      </c>
      <c r="G427" s="23" t="str">
        <f t="shared" si="57"/>
        <v/>
      </c>
      <c r="H427" s="22" t="str">
        <f t="shared" si="58"/>
        <v/>
      </c>
      <c r="I427" s="54" t="str">
        <f t="shared" si="55"/>
        <v/>
      </c>
      <c r="R427" s="24" t="e">
        <f t="shared" si="59"/>
        <v>#VALUE!</v>
      </c>
      <c r="S427" s="25" t="e">
        <f t="shared" si="56"/>
        <v>#VALUE!</v>
      </c>
    </row>
    <row r="428" spans="1:19" x14ac:dyDescent="0.25">
      <c r="A428" t="e">
        <f t="shared" si="53"/>
        <v>#VALUE!</v>
      </c>
      <c r="B428" t="e">
        <f t="shared" si="54"/>
        <v>#VALUE!</v>
      </c>
      <c r="D428" s="21" t="str" cm="1">
        <f t="array" ref="D428">IF(ROWS($D$7:D428)&gt;COUNTIF('[1]U$S'!$H$5:$H$1008,$L$5),"",INDEX(CuentaUS,_xlfn.AGGREGATE(15,6,ROW('[1]U$S'!$H$5:$H$1008)-ROW('[1]U$S'!$O$5)+1/--('[1]U$S'!$H$5:$H$1008=$L$5),ROWS($D$7:D428)),1))</f>
        <v/>
      </c>
      <c r="E428" s="22" t="str" cm="1">
        <f t="array" ref="E428">IF(ROWS($E$7:E428)&gt;COUNTIF('[1]U$S'!$H$5:$H$1008,$L$5),"",INDEX(CuentaUS,_xlfn.AGGREGATE(15,6,ROW('[1]U$S'!$H$5:$H$1008)-ROW('[1]U$S'!$O$5)+1/--('[1]U$S'!$H$5:$H$1008=$L$5),ROWS($E$7:E428)),6))</f>
        <v/>
      </c>
      <c r="F428" s="22" t="str">
        <f>IF(E428="","",IF(E428&gt;0,SUMIFS('[1]UY$'!$L$5:$L$993,'[1]UY$'!$O$5:$O$993,"Cambio",'[1]UY$'!$E$5:$E$993,'Efecto TC'!D428),""))</f>
        <v/>
      </c>
      <c r="G428" s="23" t="str">
        <f t="shared" si="57"/>
        <v/>
      </c>
      <c r="H428" s="22" t="str">
        <f t="shared" si="58"/>
        <v/>
      </c>
      <c r="I428" s="54" t="str">
        <f t="shared" si="55"/>
        <v/>
      </c>
      <c r="R428" s="24" t="e">
        <f t="shared" si="59"/>
        <v>#VALUE!</v>
      </c>
      <c r="S428" s="25" t="e">
        <f t="shared" si="56"/>
        <v>#VALUE!</v>
      </c>
    </row>
    <row r="429" spans="1:19" x14ac:dyDescent="0.25">
      <c r="A429" t="e">
        <f t="shared" si="53"/>
        <v>#VALUE!</v>
      </c>
      <c r="B429" t="e">
        <f t="shared" si="54"/>
        <v>#VALUE!</v>
      </c>
      <c r="D429" s="21" t="str" cm="1">
        <f t="array" ref="D429">IF(ROWS($D$7:D429)&gt;COUNTIF('[1]U$S'!$H$5:$H$1008,$L$5),"",INDEX(CuentaUS,_xlfn.AGGREGATE(15,6,ROW('[1]U$S'!$H$5:$H$1008)-ROW('[1]U$S'!$O$5)+1/--('[1]U$S'!$H$5:$H$1008=$L$5),ROWS($D$7:D429)),1))</f>
        <v/>
      </c>
      <c r="E429" s="22" t="str" cm="1">
        <f t="array" ref="E429">IF(ROWS($E$7:E429)&gt;COUNTIF('[1]U$S'!$H$5:$H$1008,$L$5),"",INDEX(CuentaUS,_xlfn.AGGREGATE(15,6,ROW('[1]U$S'!$H$5:$H$1008)-ROW('[1]U$S'!$O$5)+1/--('[1]U$S'!$H$5:$H$1008=$L$5),ROWS($E$7:E429)),6))</f>
        <v/>
      </c>
      <c r="F429" s="22" t="str">
        <f>IF(E429="","",IF(E429&gt;0,SUMIFS('[1]UY$'!$L$5:$L$993,'[1]UY$'!$O$5:$O$993,"Cambio",'[1]UY$'!$E$5:$E$993,'Efecto TC'!D429),""))</f>
        <v/>
      </c>
      <c r="G429" s="23" t="str">
        <f t="shared" si="57"/>
        <v/>
      </c>
      <c r="H429" s="22" t="str">
        <f t="shared" si="58"/>
        <v/>
      </c>
      <c r="I429" s="54" t="str">
        <f t="shared" si="55"/>
        <v/>
      </c>
      <c r="R429" s="24" t="e">
        <f t="shared" si="59"/>
        <v>#VALUE!</v>
      </c>
      <c r="S429" s="25" t="e">
        <f t="shared" si="56"/>
        <v>#VALUE!</v>
      </c>
    </row>
    <row r="430" spans="1:19" x14ac:dyDescent="0.25">
      <c r="A430" t="e">
        <f t="shared" si="53"/>
        <v>#VALUE!</v>
      </c>
      <c r="B430" t="e">
        <f t="shared" si="54"/>
        <v>#VALUE!</v>
      </c>
      <c r="D430" s="21" t="str" cm="1">
        <f t="array" ref="D430">IF(ROWS($D$7:D430)&gt;COUNTIF('[1]U$S'!$H$5:$H$1008,$L$5),"",INDEX(CuentaUS,_xlfn.AGGREGATE(15,6,ROW('[1]U$S'!$H$5:$H$1008)-ROW('[1]U$S'!$O$5)+1/--('[1]U$S'!$H$5:$H$1008=$L$5),ROWS($D$7:D430)),1))</f>
        <v/>
      </c>
      <c r="E430" s="22" t="str" cm="1">
        <f t="array" ref="E430">IF(ROWS($E$7:E430)&gt;COUNTIF('[1]U$S'!$H$5:$H$1008,$L$5),"",INDEX(CuentaUS,_xlfn.AGGREGATE(15,6,ROW('[1]U$S'!$H$5:$H$1008)-ROW('[1]U$S'!$O$5)+1/--('[1]U$S'!$H$5:$H$1008=$L$5),ROWS($E$7:E430)),6))</f>
        <v/>
      </c>
      <c r="F430" s="22" t="str">
        <f>IF(E430="","",IF(E430&gt;0,SUMIFS('[1]UY$'!$L$5:$L$993,'[1]UY$'!$O$5:$O$993,"Cambio",'[1]UY$'!$E$5:$E$993,'Efecto TC'!D430),""))</f>
        <v/>
      </c>
      <c r="G430" s="23" t="str">
        <f t="shared" si="57"/>
        <v/>
      </c>
      <c r="H430" s="22" t="str">
        <f t="shared" si="58"/>
        <v/>
      </c>
      <c r="I430" s="54" t="str">
        <f t="shared" si="55"/>
        <v/>
      </c>
      <c r="R430" s="24" t="e">
        <f t="shared" si="59"/>
        <v>#VALUE!</v>
      </c>
      <c r="S430" s="25" t="e">
        <f t="shared" si="56"/>
        <v>#VALUE!</v>
      </c>
    </row>
    <row r="431" spans="1:19" x14ac:dyDescent="0.25">
      <c r="A431" t="e">
        <f t="shared" si="53"/>
        <v>#VALUE!</v>
      </c>
      <c r="B431" t="e">
        <f t="shared" si="54"/>
        <v>#VALUE!</v>
      </c>
      <c r="D431" s="21" t="str" cm="1">
        <f t="array" ref="D431">IF(ROWS($D$7:D431)&gt;COUNTIF('[1]U$S'!$H$5:$H$1008,$L$5),"",INDEX(CuentaUS,_xlfn.AGGREGATE(15,6,ROW('[1]U$S'!$H$5:$H$1008)-ROW('[1]U$S'!$O$5)+1/--('[1]U$S'!$H$5:$H$1008=$L$5),ROWS($D$7:D431)),1))</f>
        <v/>
      </c>
      <c r="E431" s="22" t="str" cm="1">
        <f t="array" ref="E431">IF(ROWS($E$7:E431)&gt;COUNTIF('[1]U$S'!$H$5:$H$1008,$L$5),"",INDEX(CuentaUS,_xlfn.AGGREGATE(15,6,ROW('[1]U$S'!$H$5:$H$1008)-ROW('[1]U$S'!$O$5)+1/--('[1]U$S'!$H$5:$H$1008=$L$5),ROWS($E$7:E431)),6))</f>
        <v/>
      </c>
      <c r="F431" s="22" t="str">
        <f>IF(E431="","",IF(E431&gt;0,SUMIFS('[1]UY$'!$L$5:$L$993,'[1]UY$'!$O$5:$O$993,"Cambio",'[1]UY$'!$E$5:$E$993,'Efecto TC'!D431),""))</f>
        <v/>
      </c>
      <c r="G431" s="23" t="str">
        <f t="shared" si="57"/>
        <v/>
      </c>
      <c r="H431" s="22" t="str">
        <f t="shared" si="58"/>
        <v/>
      </c>
      <c r="I431" s="54" t="str">
        <f t="shared" si="55"/>
        <v/>
      </c>
      <c r="R431" s="24" t="e">
        <f t="shared" si="59"/>
        <v>#VALUE!</v>
      </c>
      <c r="S431" s="25" t="e">
        <f t="shared" si="56"/>
        <v>#VALUE!</v>
      </c>
    </row>
    <row r="432" spans="1:19" x14ac:dyDescent="0.25">
      <c r="A432" t="e">
        <f t="shared" si="53"/>
        <v>#VALUE!</v>
      </c>
      <c r="B432" t="e">
        <f t="shared" si="54"/>
        <v>#VALUE!</v>
      </c>
      <c r="D432" s="21" t="str" cm="1">
        <f t="array" ref="D432">IF(ROWS($D$7:D432)&gt;COUNTIF('[1]U$S'!$H$5:$H$1008,$L$5),"",INDEX(CuentaUS,_xlfn.AGGREGATE(15,6,ROW('[1]U$S'!$H$5:$H$1008)-ROW('[1]U$S'!$O$5)+1/--('[1]U$S'!$H$5:$H$1008=$L$5),ROWS($D$7:D432)),1))</f>
        <v/>
      </c>
      <c r="E432" s="22" t="str" cm="1">
        <f t="array" ref="E432">IF(ROWS($E$7:E432)&gt;COUNTIF('[1]U$S'!$H$5:$H$1008,$L$5),"",INDEX(CuentaUS,_xlfn.AGGREGATE(15,6,ROW('[1]U$S'!$H$5:$H$1008)-ROW('[1]U$S'!$O$5)+1/--('[1]U$S'!$H$5:$H$1008=$L$5),ROWS($E$7:E432)),6))</f>
        <v/>
      </c>
      <c r="F432" s="22" t="str">
        <f>IF(E432="","",IF(E432&gt;0,SUMIFS('[1]UY$'!$L$5:$L$993,'[1]UY$'!$O$5:$O$993,"Cambio",'[1]UY$'!$E$5:$E$993,'Efecto TC'!D432),""))</f>
        <v/>
      </c>
      <c r="G432" s="23" t="str">
        <f t="shared" si="57"/>
        <v/>
      </c>
      <c r="H432" s="22" t="str">
        <f t="shared" si="58"/>
        <v/>
      </c>
      <c r="I432" s="54" t="str">
        <f t="shared" si="55"/>
        <v/>
      </c>
      <c r="R432" s="24" t="e">
        <f t="shared" si="59"/>
        <v>#VALUE!</v>
      </c>
      <c r="S432" s="25" t="e">
        <f t="shared" si="56"/>
        <v>#VALUE!</v>
      </c>
    </row>
    <row r="433" spans="1:19" x14ac:dyDescent="0.25">
      <c r="A433" t="e">
        <f t="shared" si="53"/>
        <v>#VALUE!</v>
      </c>
      <c r="B433" t="e">
        <f t="shared" si="54"/>
        <v>#VALUE!</v>
      </c>
      <c r="D433" s="21" t="str" cm="1">
        <f t="array" ref="D433">IF(ROWS($D$7:D433)&gt;COUNTIF('[1]U$S'!$H$5:$H$1008,$L$5),"",INDEX(CuentaUS,_xlfn.AGGREGATE(15,6,ROW('[1]U$S'!$H$5:$H$1008)-ROW('[1]U$S'!$O$5)+1/--('[1]U$S'!$H$5:$H$1008=$L$5),ROWS($D$7:D433)),1))</f>
        <v/>
      </c>
      <c r="E433" s="22" t="str" cm="1">
        <f t="array" ref="E433">IF(ROWS($E$7:E433)&gt;COUNTIF('[1]U$S'!$H$5:$H$1008,$L$5),"",INDEX(CuentaUS,_xlfn.AGGREGATE(15,6,ROW('[1]U$S'!$H$5:$H$1008)-ROW('[1]U$S'!$O$5)+1/--('[1]U$S'!$H$5:$H$1008=$L$5),ROWS($E$7:E433)),6))</f>
        <v/>
      </c>
      <c r="F433" s="22" t="str">
        <f>IF(E433="","",IF(E433&gt;0,SUMIFS('[1]UY$'!$L$5:$L$993,'[1]UY$'!$O$5:$O$993,"Cambio",'[1]UY$'!$E$5:$E$993,'Efecto TC'!D433),""))</f>
        <v/>
      </c>
      <c r="G433" s="23" t="str">
        <f t="shared" si="57"/>
        <v/>
      </c>
      <c r="H433" s="22" t="str">
        <f t="shared" si="58"/>
        <v/>
      </c>
      <c r="I433" s="54" t="str">
        <f t="shared" si="55"/>
        <v/>
      </c>
      <c r="R433" s="24" t="e">
        <f t="shared" si="59"/>
        <v>#VALUE!</v>
      </c>
      <c r="S433" s="25" t="e">
        <f t="shared" si="56"/>
        <v>#VALUE!</v>
      </c>
    </row>
    <row r="434" spans="1:19" x14ac:dyDescent="0.25">
      <c r="A434" t="e">
        <f t="shared" si="53"/>
        <v>#VALUE!</v>
      </c>
      <c r="B434" t="e">
        <f t="shared" si="54"/>
        <v>#VALUE!</v>
      </c>
      <c r="D434" s="21" t="str" cm="1">
        <f t="array" ref="D434">IF(ROWS($D$7:D434)&gt;COUNTIF('[1]U$S'!$H$5:$H$1008,$L$5),"",INDEX(CuentaUS,_xlfn.AGGREGATE(15,6,ROW('[1]U$S'!$H$5:$H$1008)-ROW('[1]U$S'!$O$5)+1/--('[1]U$S'!$H$5:$H$1008=$L$5),ROWS($D$7:D434)),1))</f>
        <v/>
      </c>
      <c r="E434" s="22" t="str" cm="1">
        <f t="array" ref="E434">IF(ROWS($E$7:E434)&gt;COUNTIF('[1]U$S'!$H$5:$H$1008,$L$5),"",INDEX(CuentaUS,_xlfn.AGGREGATE(15,6,ROW('[1]U$S'!$H$5:$H$1008)-ROW('[1]U$S'!$O$5)+1/--('[1]U$S'!$H$5:$H$1008=$L$5),ROWS($E$7:E434)),6))</f>
        <v/>
      </c>
      <c r="F434" s="22" t="str">
        <f>IF(E434="","",IF(E434&gt;0,SUMIFS('[1]UY$'!$L$5:$L$993,'[1]UY$'!$O$5:$O$993,"Cambio",'[1]UY$'!$E$5:$E$993,'Efecto TC'!D434),""))</f>
        <v/>
      </c>
      <c r="G434" s="23" t="str">
        <f t="shared" si="57"/>
        <v/>
      </c>
      <c r="H434" s="22" t="str">
        <f t="shared" si="58"/>
        <v/>
      </c>
      <c r="I434" s="54" t="str">
        <f t="shared" si="55"/>
        <v/>
      </c>
      <c r="R434" s="24" t="e">
        <f t="shared" si="59"/>
        <v>#VALUE!</v>
      </c>
      <c r="S434" s="25" t="e">
        <f t="shared" si="56"/>
        <v>#VALUE!</v>
      </c>
    </row>
    <row r="435" spans="1:19" x14ac:dyDescent="0.25">
      <c r="A435" t="e">
        <f t="shared" si="53"/>
        <v>#VALUE!</v>
      </c>
      <c r="B435" t="e">
        <f t="shared" si="54"/>
        <v>#VALUE!</v>
      </c>
      <c r="D435" s="21" t="str" cm="1">
        <f t="array" ref="D435">IF(ROWS($D$7:D435)&gt;COUNTIF('[1]U$S'!$H$5:$H$1008,$L$5),"",INDEX(CuentaUS,_xlfn.AGGREGATE(15,6,ROW('[1]U$S'!$H$5:$H$1008)-ROW('[1]U$S'!$O$5)+1/--('[1]U$S'!$H$5:$H$1008=$L$5),ROWS($D$7:D435)),1))</f>
        <v/>
      </c>
      <c r="E435" s="22" t="str" cm="1">
        <f t="array" ref="E435">IF(ROWS($E$7:E435)&gt;COUNTIF('[1]U$S'!$H$5:$H$1008,$L$5),"",INDEX(CuentaUS,_xlfn.AGGREGATE(15,6,ROW('[1]U$S'!$H$5:$H$1008)-ROW('[1]U$S'!$O$5)+1/--('[1]U$S'!$H$5:$H$1008=$L$5),ROWS($E$7:E435)),6))</f>
        <v/>
      </c>
      <c r="F435" s="22" t="str">
        <f>IF(E435="","",IF(E435&gt;0,SUMIFS('[1]UY$'!$L$5:$L$993,'[1]UY$'!$O$5:$O$993,"Cambio",'[1]UY$'!$E$5:$E$993,'Efecto TC'!D435),""))</f>
        <v/>
      </c>
      <c r="G435" s="23" t="str">
        <f t="shared" si="57"/>
        <v/>
      </c>
      <c r="H435" s="22" t="str">
        <f t="shared" si="58"/>
        <v/>
      </c>
      <c r="I435" s="54" t="str">
        <f t="shared" si="55"/>
        <v/>
      </c>
      <c r="R435" s="24" t="e">
        <f t="shared" si="59"/>
        <v>#VALUE!</v>
      </c>
      <c r="S435" s="25" t="e">
        <f t="shared" si="56"/>
        <v>#VALUE!</v>
      </c>
    </row>
    <row r="436" spans="1:19" x14ac:dyDescent="0.25">
      <c r="A436" t="e">
        <f t="shared" si="53"/>
        <v>#VALUE!</v>
      </c>
      <c r="B436" t="e">
        <f t="shared" si="54"/>
        <v>#VALUE!</v>
      </c>
      <c r="D436" s="21" t="str" cm="1">
        <f t="array" ref="D436">IF(ROWS($D$7:D436)&gt;COUNTIF('[1]U$S'!$H$5:$H$1008,$L$5),"",INDEX(CuentaUS,_xlfn.AGGREGATE(15,6,ROW('[1]U$S'!$H$5:$H$1008)-ROW('[1]U$S'!$O$5)+1/--('[1]U$S'!$H$5:$H$1008=$L$5),ROWS($D$7:D436)),1))</f>
        <v/>
      </c>
      <c r="E436" s="22" t="str" cm="1">
        <f t="array" ref="E436">IF(ROWS($E$7:E436)&gt;COUNTIF('[1]U$S'!$H$5:$H$1008,$L$5),"",INDEX(CuentaUS,_xlfn.AGGREGATE(15,6,ROW('[1]U$S'!$H$5:$H$1008)-ROW('[1]U$S'!$O$5)+1/--('[1]U$S'!$H$5:$H$1008=$L$5),ROWS($E$7:E436)),6))</f>
        <v/>
      </c>
      <c r="F436" s="22" t="str">
        <f>IF(E436="","",IF(E436&gt;0,SUMIFS('[1]UY$'!$L$5:$L$993,'[1]UY$'!$O$5:$O$993,"Cambio",'[1]UY$'!$E$5:$E$993,'Efecto TC'!D436),""))</f>
        <v/>
      </c>
      <c r="G436" s="23" t="str">
        <f t="shared" si="57"/>
        <v/>
      </c>
      <c r="H436" s="22" t="str">
        <f t="shared" si="58"/>
        <v/>
      </c>
      <c r="I436" s="54" t="str">
        <f t="shared" si="55"/>
        <v/>
      </c>
      <c r="R436" s="24" t="e">
        <f t="shared" si="59"/>
        <v>#VALUE!</v>
      </c>
      <c r="S436" s="25" t="e">
        <f t="shared" si="56"/>
        <v>#VALUE!</v>
      </c>
    </row>
    <row r="437" spans="1:19" x14ac:dyDescent="0.25">
      <c r="A437" t="e">
        <f t="shared" si="53"/>
        <v>#VALUE!</v>
      </c>
      <c r="B437" t="e">
        <f t="shared" si="54"/>
        <v>#VALUE!</v>
      </c>
      <c r="D437" s="21" t="str" cm="1">
        <f t="array" ref="D437">IF(ROWS($D$7:D437)&gt;COUNTIF('[1]U$S'!$H$5:$H$1008,$L$5),"",INDEX(CuentaUS,_xlfn.AGGREGATE(15,6,ROW('[1]U$S'!$H$5:$H$1008)-ROW('[1]U$S'!$O$5)+1/--('[1]U$S'!$H$5:$H$1008=$L$5),ROWS($D$7:D437)),1))</f>
        <v/>
      </c>
      <c r="E437" s="22" t="str" cm="1">
        <f t="array" ref="E437">IF(ROWS($E$7:E437)&gt;COUNTIF('[1]U$S'!$H$5:$H$1008,$L$5),"",INDEX(CuentaUS,_xlfn.AGGREGATE(15,6,ROW('[1]U$S'!$H$5:$H$1008)-ROW('[1]U$S'!$O$5)+1/--('[1]U$S'!$H$5:$H$1008=$L$5),ROWS($E$7:E437)),6))</f>
        <v/>
      </c>
      <c r="F437" s="22" t="str">
        <f>IF(E437="","",IF(E437&gt;0,SUMIFS('[1]UY$'!$L$5:$L$993,'[1]UY$'!$O$5:$O$993,"Cambio",'[1]UY$'!$E$5:$E$993,'Efecto TC'!D437),""))</f>
        <v/>
      </c>
      <c r="G437" s="23" t="str">
        <f t="shared" si="57"/>
        <v/>
      </c>
      <c r="H437" s="22" t="str">
        <f t="shared" si="58"/>
        <v/>
      </c>
      <c r="I437" s="54" t="str">
        <f t="shared" si="55"/>
        <v/>
      </c>
      <c r="R437" s="24" t="e">
        <f t="shared" si="59"/>
        <v>#VALUE!</v>
      </c>
      <c r="S437" s="25" t="e">
        <f t="shared" si="56"/>
        <v>#VALUE!</v>
      </c>
    </row>
    <row r="438" spans="1:19" x14ac:dyDescent="0.25">
      <c r="A438" t="e">
        <f t="shared" si="53"/>
        <v>#VALUE!</v>
      </c>
      <c r="B438" t="e">
        <f t="shared" si="54"/>
        <v>#VALUE!</v>
      </c>
      <c r="D438" s="21" t="str" cm="1">
        <f t="array" ref="D438">IF(ROWS($D$7:D438)&gt;COUNTIF('[1]U$S'!$H$5:$H$1008,$L$5),"",INDEX(CuentaUS,_xlfn.AGGREGATE(15,6,ROW('[1]U$S'!$H$5:$H$1008)-ROW('[1]U$S'!$O$5)+1/--('[1]U$S'!$H$5:$H$1008=$L$5),ROWS($D$7:D438)),1))</f>
        <v/>
      </c>
      <c r="E438" s="22" t="str" cm="1">
        <f t="array" ref="E438">IF(ROWS($E$7:E438)&gt;COUNTIF('[1]U$S'!$H$5:$H$1008,$L$5),"",INDEX(CuentaUS,_xlfn.AGGREGATE(15,6,ROW('[1]U$S'!$H$5:$H$1008)-ROW('[1]U$S'!$O$5)+1/--('[1]U$S'!$H$5:$H$1008=$L$5),ROWS($E$7:E438)),6))</f>
        <v/>
      </c>
      <c r="F438" s="22" t="str">
        <f>IF(E438="","",IF(E438&gt;0,SUMIFS('[1]UY$'!$L$5:$L$993,'[1]UY$'!$O$5:$O$993,"Cambio",'[1]UY$'!$E$5:$E$993,'Efecto TC'!D438),""))</f>
        <v/>
      </c>
      <c r="G438" s="23" t="str">
        <f t="shared" si="57"/>
        <v/>
      </c>
      <c r="H438" s="22" t="str">
        <f t="shared" si="58"/>
        <v/>
      </c>
      <c r="I438" s="54" t="str">
        <f t="shared" si="55"/>
        <v/>
      </c>
      <c r="R438" s="24" t="e">
        <f t="shared" si="59"/>
        <v>#VALUE!</v>
      </c>
      <c r="S438" s="25" t="e">
        <f t="shared" si="56"/>
        <v>#VALUE!</v>
      </c>
    </row>
    <row r="439" spans="1:19" x14ac:dyDescent="0.25">
      <c r="A439" t="e">
        <f t="shared" si="53"/>
        <v>#VALUE!</v>
      </c>
      <c r="B439" t="e">
        <f t="shared" si="54"/>
        <v>#VALUE!</v>
      </c>
      <c r="D439" s="21" t="str" cm="1">
        <f t="array" ref="D439">IF(ROWS($D$7:D439)&gt;COUNTIF('[1]U$S'!$H$5:$H$1008,$L$5),"",INDEX(CuentaUS,_xlfn.AGGREGATE(15,6,ROW('[1]U$S'!$H$5:$H$1008)-ROW('[1]U$S'!$O$5)+1/--('[1]U$S'!$H$5:$H$1008=$L$5),ROWS($D$7:D439)),1))</f>
        <v/>
      </c>
      <c r="E439" s="22" t="str" cm="1">
        <f t="array" ref="E439">IF(ROWS($E$7:E439)&gt;COUNTIF('[1]U$S'!$H$5:$H$1008,$L$5),"",INDEX(CuentaUS,_xlfn.AGGREGATE(15,6,ROW('[1]U$S'!$H$5:$H$1008)-ROW('[1]U$S'!$O$5)+1/--('[1]U$S'!$H$5:$H$1008=$L$5),ROWS($E$7:E439)),6))</f>
        <v/>
      </c>
      <c r="F439" s="22" t="str">
        <f>IF(E439="","",IF(E439&gt;0,SUMIFS('[1]UY$'!$L$5:$L$993,'[1]UY$'!$O$5:$O$993,"Cambio",'[1]UY$'!$E$5:$E$993,'Efecto TC'!D439),""))</f>
        <v/>
      </c>
      <c r="G439" s="23" t="str">
        <f t="shared" si="57"/>
        <v/>
      </c>
      <c r="H439" s="22" t="str">
        <f t="shared" si="58"/>
        <v/>
      </c>
      <c r="I439" s="54" t="str">
        <f t="shared" si="55"/>
        <v/>
      </c>
      <c r="R439" s="24" t="e">
        <f t="shared" si="59"/>
        <v>#VALUE!</v>
      </c>
      <c r="S439" s="25" t="e">
        <f t="shared" si="56"/>
        <v>#VALUE!</v>
      </c>
    </row>
    <row r="440" spans="1:19" x14ac:dyDescent="0.25">
      <c r="A440" t="e">
        <f t="shared" si="53"/>
        <v>#VALUE!</v>
      </c>
      <c r="B440" t="e">
        <f t="shared" si="54"/>
        <v>#VALUE!</v>
      </c>
      <c r="D440" s="21" t="str" cm="1">
        <f t="array" ref="D440">IF(ROWS($D$7:D440)&gt;COUNTIF('[1]U$S'!$H$5:$H$1008,$L$5),"",INDEX(CuentaUS,_xlfn.AGGREGATE(15,6,ROW('[1]U$S'!$H$5:$H$1008)-ROW('[1]U$S'!$O$5)+1/--('[1]U$S'!$H$5:$H$1008=$L$5),ROWS($D$7:D440)),1))</f>
        <v/>
      </c>
      <c r="E440" s="22" t="str" cm="1">
        <f t="array" ref="E440">IF(ROWS($E$7:E440)&gt;COUNTIF('[1]U$S'!$H$5:$H$1008,$L$5),"",INDEX(CuentaUS,_xlfn.AGGREGATE(15,6,ROW('[1]U$S'!$H$5:$H$1008)-ROW('[1]U$S'!$O$5)+1/--('[1]U$S'!$H$5:$H$1008=$L$5),ROWS($E$7:E440)),6))</f>
        <v/>
      </c>
      <c r="F440" s="22" t="str">
        <f>IF(E440="","",IF(E440&gt;0,SUMIFS('[1]UY$'!$L$5:$L$993,'[1]UY$'!$O$5:$O$993,"Cambio",'[1]UY$'!$E$5:$E$993,'Efecto TC'!D440),""))</f>
        <v/>
      </c>
      <c r="G440" s="23" t="str">
        <f t="shared" si="57"/>
        <v/>
      </c>
      <c r="H440" s="22" t="str">
        <f t="shared" si="58"/>
        <v/>
      </c>
      <c r="I440" s="54" t="str">
        <f t="shared" si="55"/>
        <v/>
      </c>
      <c r="R440" s="24" t="e">
        <f t="shared" si="59"/>
        <v>#VALUE!</v>
      </c>
      <c r="S440" s="25" t="e">
        <f t="shared" si="56"/>
        <v>#VALUE!</v>
      </c>
    </row>
    <row r="441" spans="1:19" x14ac:dyDescent="0.25">
      <c r="A441" t="e">
        <f t="shared" si="53"/>
        <v>#VALUE!</v>
      </c>
      <c r="B441" t="e">
        <f t="shared" si="54"/>
        <v>#VALUE!</v>
      </c>
      <c r="D441" s="21" t="str" cm="1">
        <f t="array" ref="D441">IF(ROWS($D$7:D441)&gt;COUNTIF('[1]U$S'!$H$5:$H$1008,$L$5),"",INDEX(CuentaUS,_xlfn.AGGREGATE(15,6,ROW('[1]U$S'!$H$5:$H$1008)-ROW('[1]U$S'!$O$5)+1/--('[1]U$S'!$H$5:$H$1008=$L$5),ROWS($D$7:D441)),1))</f>
        <v/>
      </c>
      <c r="E441" s="22" t="str" cm="1">
        <f t="array" ref="E441">IF(ROWS($E$7:E441)&gt;COUNTIF('[1]U$S'!$H$5:$H$1008,$L$5),"",INDEX(CuentaUS,_xlfn.AGGREGATE(15,6,ROW('[1]U$S'!$H$5:$H$1008)-ROW('[1]U$S'!$O$5)+1/--('[1]U$S'!$H$5:$H$1008=$L$5),ROWS($E$7:E441)),6))</f>
        <v/>
      </c>
      <c r="F441" s="22" t="str">
        <f>IF(E441="","",IF(E441&gt;0,SUMIFS('[1]UY$'!$L$5:$L$993,'[1]UY$'!$O$5:$O$993,"Cambio",'[1]UY$'!$E$5:$E$993,'Efecto TC'!D441),""))</f>
        <v/>
      </c>
      <c r="G441" s="23" t="str">
        <f t="shared" si="57"/>
        <v/>
      </c>
      <c r="H441" s="22" t="str">
        <f t="shared" si="58"/>
        <v/>
      </c>
      <c r="I441" s="54" t="str">
        <f t="shared" si="55"/>
        <v/>
      </c>
      <c r="R441" s="24" t="e">
        <f t="shared" si="59"/>
        <v>#VALUE!</v>
      </c>
      <c r="S441" s="25" t="e">
        <f t="shared" si="56"/>
        <v>#VALUE!</v>
      </c>
    </row>
    <row r="442" spans="1:19" x14ac:dyDescent="0.25">
      <c r="A442" t="e">
        <f t="shared" si="53"/>
        <v>#VALUE!</v>
      </c>
      <c r="B442" t="e">
        <f t="shared" si="54"/>
        <v>#VALUE!</v>
      </c>
      <c r="D442" s="21" t="str" cm="1">
        <f t="array" ref="D442">IF(ROWS($D$7:D442)&gt;COUNTIF('[1]U$S'!$H$5:$H$1008,$L$5),"",INDEX(CuentaUS,_xlfn.AGGREGATE(15,6,ROW('[1]U$S'!$H$5:$H$1008)-ROW('[1]U$S'!$O$5)+1/--('[1]U$S'!$H$5:$H$1008=$L$5),ROWS($D$7:D442)),1))</f>
        <v/>
      </c>
      <c r="E442" s="22" t="str" cm="1">
        <f t="array" ref="E442">IF(ROWS($E$7:E442)&gt;COUNTIF('[1]U$S'!$H$5:$H$1008,$L$5),"",INDEX(CuentaUS,_xlfn.AGGREGATE(15,6,ROW('[1]U$S'!$H$5:$H$1008)-ROW('[1]U$S'!$O$5)+1/--('[1]U$S'!$H$5:$H$1008=$L$5),ROWS($E$7:E442)),6))</f>
        <v/>
      </c>
      <c r="F442" s="22" t="str">
        <f>IF(E442="","",IF(E442&gt;0,SUMIFS('[1]UY$'!$L$5:$L$993,'[1]UY$'!$O$5:$O$993,"Cambio",'[1]UY$'!$E$5:$E$993,'Efecto TC'!D442),""))</f>
        <v/>
      </c>
      <c r="G442" s="23" t="str">
        <f t="shared" si="57"/>
        <v/>
      </c>
      <c r="H442" s="22" t="str">
        <f t="shared" si="58"/>
        <v/>
      </c>
      <c r="I442" s="54" t="str">
        <f t="shared" si="55"/>
        <v/>
      </c>
      <c r="R442" s="24" t="e">
        <f t="shared" si="59"/>
        <v>#VALUE!</v>
      </c>
      <c r="S442" s="25" t="e">
        <f t="shared" si="56"/>
        <v>#VALUE!</v>
      </c>
    </row>
    <row r="443" spans="1:19" x14ac:dyDescent="0.25">
      <c r="A443" t="e">
        <f t="shared" si="53"/>
        <v>#VALUE!</v>
      </c>
      <c r="B443" t="e">
        <f t="shared" si="54"/>
        <v>#VALUE!</v>
      </c>
      <c r="D443" s="21" t="str" cm="1">
        <f t="array" ref="D443">IF(ROWS($D$7:D443)&gt;COUNTIF('[1]U$S'!$H$5:$H$1008,$L$5),"",INDEX(CuentaUS,_xlfn.AGGREGATE(15,6,ROW('[1]U$S'!$H$5:$H$1008)-ROW('[1]U$S'!$O$5)+1/--('[1]U$S'!$H$5:$H$1008=$L$5),ROWS($D$7:D443)),1))</f>
        <v/>
      </c>
      <c r="E443" s="22" t="str" cm="1">
        <f t="array" ref="E443">IF(ROWS($E$7:E443)&gt;COUNTIF('[1]U$S'!$H$5:$H$1008,$L$5),"",INDEX(CuentaUS,_xlfn.AGGREGATE(15,6,ROW('[1]U$S'!$H$5:$H$1008)-ROW('[1]U$S'!$O$5)+1/--('[1]U$S'!$H$5:$H$1008=$L$5),ROWS($E$7:E443)),6))</f>
        <v/>
      </c>
      <c r="F443" s="22" t="str">
        <f>IF(E443="","",IF(E443&gt;0,SUMIFS('[1]UY$'!$L$5:$L$993,'[1]UY$'!$O$5:$O$993,"Cambio",'[1]UY$'!$E$5:$E$993,'Efecto TC'!D443),""))</f>
        <v/>
      </c>
      <c r="G443" s="23" t="str">
        <f t="shared" si="57"/>
        <v/>
      </c>
      <c r="H443" s="22" t="str">
        <f t="shared" si="58"/>
        <v/>
      </c>
      <c r="I443" s="54" t="str">
        <f t="shared" si="55"/>
        <v/>
      </c>
      <c r="R443" s="24" t="e">
        <f t="shared" si="59"/>
        <v>#VALUE!</v>
      </c>
      <c r="S443" s="25" t="e">
        <f t="shared" si="56"/>
        <v>#VALUE!</v>
      </c>
    </row>
    <row r="444" spans="1:19" x14ac:dyDescent="0.25">
      <c r="A444" t="e">
        <f t="shared" si="53"/>
        <v>#VALUE!</v>
      </c>
      <c r="B444" t="e">
        <f t="shared" si="54"/>
        <v>#VALUE!</v>
      </c>
      <c r="D444" s="21" t="str" cm="1">
        <f t="array" ref="D444">IF(ROWS($D$7:D444)&gt;COUNTIF('[1]U$S'!$H$5:$H$1008,$L$5),"",INDEX(CuentaUS,_xlfn.AGGREGATE(15,6,ROW('[1]U$S'!$H$5:$H$1008)-ROW('[1]U$S'!$O$5)+1/--('[1]U$S'!$H$5:$H$1008=$L$5),ROWS($D$7:D444)),1))</f>
        <v/>
      </c>
      <c r="E444" s="22" t="str" cm="1">
        <f t="array" ref="E444">IF(ROWS($E$7:E444)&gt;COUNTIF('[1]U$S'!$H$5:$H$1008,$L$5),"",INDEX(CuentaUS,_xlfn.AGGREGATE(15,6,ROW('[1]U$S'!$H$5:$H$1008)-ROW('[1]U$S'!$O$5)+1/--('[1]U$S'!$H$5:$H$1008=$L$5),ROWS($E$7:E444)),6))</f>
        <v/>
      </c>
      <c r="F444" s="22" t="str">
        <f>IF(E444="","",IF(E444&gt;0,SUMIFS('[1]UY$'!$L$5:$L$993,'[1]UY$'!$O$5:$O$993,"Cambio",'[1]UY$'!$E$5:$E$993,'Efecto TC'!D444),""))</f>
        <v/>
      </c>
      <c r="G444" s="23" t="str">
        <f t="shared" si="57"/>
        <v/>
      </c>
      <c r="H444" s="22" t="str">
        <f t="shared" si="58"/>
        <v/>
      </c>
      <c r="I444" s="54" t="str">
        <f t="shared" si="55"/>
        <v/>
      </c>
      <c r="R444" s="24" t="e">
        <f t="shared" si="59"/>
        <v>#VALUE!</v>
      </c>
      <c r="S444" s="25" t="e">
        <f t="shared" si="56"/>
        <v>#VALUE!</v>
      </c>
    </row>
    <row r="445" spans="1:19" x14ac:dyDescent="0.25">
      <c r="A445" t="e">
        <f t="shared" si="53"/>
        <v>#VALUE!</v>
      </c>
      <c r="B445" t="e">
        <f t="shared" si="54"/>
        <v>#VALUE!</v>
      </c>
      <c r="D445" s="21" t="str" cm="1">
        <f t="array" ref="D445">IF(ROWS($D$7:D445)&gt;COUNTIF('[1]U$S'!$H$5:$H$1008,$L$5),"",INDEX(CuentaUS,_xlfn.AGGREGATE(15,6,ROW('[1]U$S'!$H$5:$H$1008)-ROW('[1]U$S'!$O$5)+1/--('[1]U$S'!$H$5:$H$1008=$L$5),ROWS($D$7:D445)),1))</f>
        <v/>
      </c>
      <c r="E445" s="22" t="str" cm="1">
        <f t="array" ref="E445">IF(ROWS($E$7:E445)&gt;COUNTIF('[1]U$S'!$H$5:$H$1008,$L$5),"",INDEX(CuentaUS,_xlfn.AGGREGATE(15,6,ROW('[1]U$S'!$H$5:$H$1008)-ROW('[1]U$S'!$O$5)+1/--('[1]U$S'!$H$5:$H$1008=$L$5),ROWS($E$7:E445)),6))</f>
        <v/>
      </c>
      <c r="F445" s="22" t="str">
        <f>IF(E445="","",IF(E445&gt;0,SUMIFS('[1]UY$'!$L$5:$L$993,'[1]UY$'!$O$5:$O$993,"Cambio",'[1]UY$'!$E$5:$E$993,'Efecto TC'!D445),""))</f>
        <v/>
      </c>
      <c r="G445" s="23" t="str">
        <f t="shared" si="57"/>
        <v/>
      </c>
      <c r="H445" s="22" t="str">
        <f t="shared" si="58"/>
        <v/>
      </c>
      <c r="I445" s="54" t="str">
        <f t="shared" si="55"/>
        <v/>
      </c>
      <c r="R445" s="24" t="e">
        <f t="shared" si="59"/>
        <v>#VALUE!</v>
      </c>
      <c r="S445" s="25" t="e">
        <f t="shared" si="56"/>
        <v>#VALUE!</v>
      </c>
    </row>
    <row r="446" spans="1:19" x14ac:dyDescent="0.25">
      <c r="A446" t="e">
        <f t="shared" si="53"/>
        <v>#VALUE!</v>
      </c>
      <c r="B446" t="e">
        <f t="shared" si="54"/>
        <v>#VALUE!</v>
      </c>
      <c r="D446" s="21" t="str" cm="1">
        <f t="array" ref="D446">IF(ROWS($D$7:D446)&gt;COUNTIF('[1]U$S'!$H$5:$H$1008,$L$5),"",INDEX(CuentaUS,_xlfn.AGGREGATE(15,6,ROW('[1]U$S'!$H$5:$H$1008)-ROW('[1]U$S'!$O$5)+1/--('[1]U$S'!$H$5:$H$1008=$L$5),ROWS($D$7:D446)),1))</f>
        <v/>
      </c>
      <c r="E446" s="22" t="str" cm="1">
        <f t="array" ref="E446">IF(ROWS($E$7:E446)&gt;COUNTIF('[1]U$S'!$H$5:$H$1008,$L$5),"",INDEX(CuentaUS,_xlfn.AGGREGATE(15,6,ROW('[1]U$S'!$H$5:$H$1008)-ROW('[1]U$S'!$O$5)+1/--('[1]U$S'!$H$5:$H$1008=$L$5),ROWS($E$7:E446)),6))</f>
        <v/>
      </c>
      <c r="F446" s="22" t="str">
        <f>IF(E446="","",IF(E446&gt;0,SUMIFS('[1]UY$'!$L$5:$L$993,'[1]UY$'!$O$5:$O$993,"Cambio",'[1]UY$'!$E$5:$E$993,'Efecto TC'!D446),""))</f>
        <v/>
      </c>
      <c r="G446" s="23" t="str">
        <f t="shared" si="57"/>
        <v/>
      </c>
      <c r="H446" s="22" t="str">
        <f t="shared" si="58"/>
        <v/>
      </c>
      <c r="I446" s="54" t="str">
        <f t="shared" si="55"/>
        <v/>
      </c>
      <c r="R446" s="24" t="e">
        <f t="shared" si="59"/>
        <v>#VALUE!</v>
      </c>
      <c r="S446" s="25" t="e">
        <f t="shared" si="56"/>
        <v>#VALUE!</v>
      </c>
    </row>
    <row r="447" spans="1:19" x14ac:dyDescent="0.25">
      <c r="A447" t="e">
        <f t="shared" si="53"/>
        <v>#VALUE!</v>
      </c>
      <c r="B447" t="e">
        <f t="shared" si="54"/>
        <v>#VALUE!</v>
      </c>
      <c r="D447" s="21" t="str" cm="1">
        <f t="array" ref="D447">IF(ROWS($D$7:D447)&gt;COUNTIF('[1]U$S'!$H$5:$H$1008,$L$5),"",INDEX(CuentaUS,_xlfn.AGGREGATE(15,6,ROW('[1]U$S'!$H$5:$H$1008)-ROW('[1]U$S'!$O$5)+1/--('[1]U$S'!$H$5:$H$1008=$L$5),ROWS($D$7:D447)),1))</f>
        <v/>
      </c>
      <c r="E447" s="22" t="str" cm="1">
        <f t="array" ref="E447">IF(ROWS($E$7:E447)&gt;COUNTIF('[1]U$S'!$H$5:$H$1008,$L$5),"",INDEX(CuentaUS,_xlfn.AGGREGATE(15,6,ROW('[1]U$S'!$H$5:$H$1008)-ROW('[1]U$S'!$O$5)+1/--('[1]U$S'!$H$5:$H$1008=$L$5),ROWS($E$7:E447)),6))</f>
        <v/>
      </c>
      <c r="F447" s="22" t="str">
        <f>IF(E447="","",IF(E447&gt;0,SUMIFS('[1]UY$'!$L$5:$L$993,'[1]UY$'!$O$5:$O$993,"Cambio",'[1]UY$'!$E$5:$E$993,'Efecto TC'!D447),""))</f>
        <v/>
      </c>
      <c r="G447" s="23" t="str">
        <f t="shared" si="57"/>
        <v/>
      </c>
      <c r="H447" s="22" t="str">
        <f t="shared" si="58"/>
        <v/>
      </c>
      <c r="I447" s="54" t="str">
        <f t="shared" si="55"/>
        <v/>
      </c>
      <c r="R447" s="24" t="e">
        <f t="shared" si="59"/>
        <v>#VALUE!</v>
      </c>
      <c r="S447" s="25" t="e">
        <f t="shared" si="56"/>
        <v>#VALUE!</v>
      </c>
    </row>
    <row r="448" spans="1:19" x14ac:dyDescent="0.25">
      <c r="A448" t="e">
        <f t="shared" si="53"/>
        <v>#VALUE!</v>
      </c>
      <c r="B448" t="e">
        <f t="shared" si="54"/>
        <v>#VALUE!</v>
      </c>
      <c r="D448" s="21" t="str" cm="1">
        <f t="array" ref="D448">IF(ROWS($D$7:D448)&gt;COUNTIF('[1]U$S'!$H$5:$H$1008,$L$5),"",INDEX(CuentaUS,_xlfn.AGGREGATE(15,6,ROW('[1]U$S'!$H$5:$H$1008)-ROW('[1]U$S'!$O$5)+1/--('[1]U$S'!$H$5:$H$1008=$L$5),ROWS($D$7:D448)),1))</f>
        <v/>
      </c>
      <c r="E448" s="22" t="str" cm="1">
        <f t="array" ref="E448">IF(ROWS($E$7:E448)&gt;COUNTIF('[1]U$S'!$H$5:$H$1008,$L$5),"",INDEX(CuentaUS,_xlfn.AGGREGATE(15,6,ROW('[1]U$S'!$H$5:$H$1008)-ROW('[1]U$S'!$O$5)+1/--('[1]U$S'!$H$5:$H$1008=$L$5),ROWS($E$7:E448)),6))</f>
        <v/>
      </c>
      <c r="F448" s="22" t="str">
        <f>IF(E448="","",IF(E448&gt;0,SUMIFS('[1]UY$'!$L$5:$L$993,'[1]UY$'!$O$5:$O$993,"Cambio",'[1]UY$'!$E$5:$E$993,'Efecto TC'!D448),""))</f>
        <v/>
      </c>
      <c r="G448" s="23" t="str">
        <f t="shared" si="57"/>
        <v/>
      </c>
      <c r="H448" s="22" t="str">
        <f t="shared" si="58"/>
        <v/>
      </c>
      <c r="I448" s="54" t="str">
        <f t="shared" si="55"/>
        <v/>
      </c>
      <c r="R448" s="24" t="e">
        <f t="shared" si="59"/>
        <v>#VALUE!</v>
      </c>
      <c r="S448" s="25" t="e">
        <f t="shared" si="56"/>
        <v>#VALUE!</v>
      </c>
    </row>
    <row r="449" spans="1:19" x14ac:dyDescent="0.25">
      <c r="A449" t="e">
        <f t="shared" si="53"/>
        <v>#VALUE!</v>
      </c>
      <c r="B449" t="e">
        <f t="shared" si="54"/>
        <v>#VALUE!</v>
      </c>
      <c r="D449" s="21" t="str" cm="1">
        <f t="array" ref="D449">IF(ROWS($D$7:D449)&gt;COUNTIF('[1]U$S'!$H$5:$H$1008,$L$5),"",INDEX(CuentaUS,_xlfn.AGGREGATE(15,6,ROW('[1]U$S'!$H$5:$H$1008)-ROW('[1]U$S'!$O$5)+1/--('[1]U$S'!$H$5:$H$1008=$L$5),ROWS($D$7:D449)),1))</f>
        <v/>
      </c>
      <c r="E449" s="22" t="str" cm="1">
        <f t="array" ref="E449">IF(ROWS($E$7:E449)&gt;COUNTIF('[1]U$S'!$H$5:$H$1008,$L$5),"",INDEX(CuentaUS,_xlfn.AGGREGATE(15,6,ROW('[1]U$S'!$H$5:$H$1008)-ROW('[1]U$S'!$O$5)+1/--('[1]U$S'!$H$5:$H$1008=$L$5),ROWS($E$7:E449)),6))</f>
        <v/>
      </c>
      <c r="F449" s="22" t="str">
        <f>IF(E449="","",IF(E449&gt;0,SUMIFS('[1]UY$'!$L$5:$L$993,'[1]UY$'!$O$5:$O$993,"Cambio",'[1]UY$'!$E$5:$E$993,'Efecto TC'!D449),""))</f>
        <v/>
      </c>
      <c r="G449" s="23" t="str">
        <f t="shared" si="57"/>
        <v/>
      </c>
      <c r="H449" s="22" t="str">
        <f t="shared" si="58"/>
        <v/>
      </c>
      <c r="I449" s="54" t="str">
        <f t="shared" si="55"/>
        <v/>
      </c>
      <c r="R449" s="24" t="e">
        <f t="shared" si="59"/>
        <v>#VALUE!</v>
      </c>
      <c r="S449" s="25" t="e">
        <f t="shared" si="56"/>
        <v>#VALUE!</v>
      </c>
    </row>
    <row r="450" spans="1:19" x14ac:dyDescent="0.25">
      <c r="A450" t="e">
        <f t="shared" si="53"/>
        <v>#VALUE!</v>
      </c>
      <c r="B450" t="e">
        <f t="shared" si="54"/>
        <v>#VALUE!</v>
      </c>
      <c r="D450" s="21" t="str" cm="1">
        <f t="array" ref="D450">IF(ROWS($D$7:D450)&gt;COUNTIF('[1]U$S'!$H$5:$H$1008,$L$5),"",INDEX(CuentaUS,_xlfn.AGGREGATE(15,6,ROW('[1]U$S'!$H$5:$H$1008)-ROW('[1]U$S'!$O$5)+1/--('[1]U$S'!$H$5:$H$1008=$L$5),ROWS($D$7:D450)),1))</f>
        <v/>
      </c>
      <c r="E450" s="22" t="str" cm="1">
        <f t="array" ref="E450">IF(ROWS($E$7:E450)&gt;COUNTIF('[1]U$S'!$H$5:$H$1008,$L$5),"",INDEX(CuentaUS,_xlfn.AGGREGATE(15,6,ROW('[1]U$S'!$H$5:$H$1008)-ROW('[1]U$S'!$O$5)+1/--('[1]U$S'!$H$5:$H$1008=$L$5),ROWS($E$7:E450)),6))</f>
        <v/>
      </c>
      <c r="F450" s="22" t="str">
        <f>IF(E450="","",IF(E450&gt;0,SUMIFS('[1]UY$'!$L$5:$L$993,'[1]UY$'!$O$5:$O$993,"Cambio",'[1]UY$'!$E$5:$E$993,'Efecto TC'!D450),""))</f>
        <v/>
      </c>
      <c r="G450" s="23" t="str">
        <f t="shared" si="57"/>
        <v/>
      </c>
      <c r="H450" s="22" t="str">
        <f t="shared" si="58"/>
        <v/>
      </c>
      <c r="I450" s="54" t="str">
        <f t="shared" si="55"/>
        <v/>
      </c>
      <c r="R450" s="24" t="e">
        <f t="shared" si="59"/>
        <v>#VALUE!</v>
      </c>
      <c r="S450" s="25" t="e">
        <f t="shared" si="56"/>
        <v>#VALUE!</v>
      </c>
    </row>
    <row r="451" spans="1:19" x14ac:dyDescent="0.25">
      <c r="A451" t="e">
        <f t="shared" si="53"/>
        <v>#VALUE!</v>
      </c>
      <c r="B451" t="e">
        <f t="shared" si="54"/>
        <v>#VALUE!</v>
      </c>
      <c r="D451" s="21" t="str" cm="1">
        <f t="array" ref="D451">IF(ROWS($D$7:D451)&gt;COUNTIF('[1]U$S'!$H$5:$H$1008,$L$5),"",INDEX(CuentaUS,_xlfn.AGGREGATE(15,6,ROW('[1]U$S'!$H$5:$H$1008)-ROW('[1]U$S'!$O$5)+1/--('[1]U$S'!$H$5:$H$1008=$L$5),ROWS($D$7:D451)),1))</f>
        <v/>
      </c>
      <c r="E451" s="22" t="str" cm="1">
        <f t="array" ref="E451">IF(ROWS($E$7:E451)&gt;COUNTIF('[1]U$S'!$H$5:$H$1008,$L$5),"",INDEX(CuentaUS,_xlfn.AGGREGATE(15,6,ROW('[1]U$S'!$H$5:$H$1008)-ROW('[1]U$S'!$O$5)+1/--('[1]U$S'!$H$5:$H$1008=$L$5),ROWS($E$7:E451)),6))</f>
        <v/>
      </c>
      <c r="F451" s="22" t="str">
        <f>IF(E451="","",IF(E451&gt;0,SUMIFS('[1]UY$'!$L$5:$L$993,'[1]UY$'!$O$5:$O$993,"Cambio",'[1]UY$'!$E$5:$E$993,'Efecto TC'!D451),""))</f>
        <v/>
      </c>
      <c r="G451" s="23" t="str">
        <f t="shared" si="57"/>
        <v/>
      </c>
      <c r="H451" s="22" t="str">
        <f t="shared" si="58"/>
        <v/>
      </c>
      <c r="I451" s="54" t="str">
        <f t="shared" si="55"/>
        <v/>
      </c>
      <c r="R451" s="24" t="e">
        <f t="shared" si="59"/>
        <v>#VALUE!</v>
      </c>
      <c r="S451" s="25" t="e">
        <f t="shared" si="56"/>
        <v>#VALUE!</v>
      </c>
    </row>
    <row r="452" spans="1:19" x14ac:dyDescent="0.25">
      <c r="A452" t="e">
        <f t="shared" si="53"/>
        <v>#VALUE!</v>
      </c>
      <c r="B452" t="e">
        <f t="shared" si="54"/>
        <v>#VALUE!</v>
      </c>
      <c r="D452" s="21" t="str" cm="1">
        <f t="array" ref="D452">IF(ROWS($D$7:D452)&gt;COUNTIF('[1]U$S'!$H$5:$H$1008,$L$5),"",INDEX(CuentaUS,_xlfn.AGGREGATE(15,6,ROW('[1]U$S'!$H$5:$H$1008)-ROW('[1]U$S'!$O$5)+1/--('[1]U$S'!$H$5:$H$1008=$L$5),ROWS($D$7:D452)),1))</f>
        <v/>
      </c>
      <c r="E452" s="22" t="str" cm="1">
        <f t="array" ref="E452">IF(ROWS($E$7:E452)&gt;COUNTIF('[1]U$S'!$H$5:$H$1008,$L$5),"",INDEX(CuentaUS,_xlfn.AGGREGATE(15,6,ROW('[1]U$S'!$H$5:$H$1008)-ROW('[1]U$S'!$O$5)+1/--('[1]U$S'!$H$5:$H$1008=$L$5),ROWS($E$7:E452)),6))</f>
        <v/>
      </c>
      <c r="F452" s="22" t="str">
        <f>IF(E452="","",IF(E452&gt;0,SUMIFS('[1]UY$'!$L$5:$L$993,'[1]UY$'!$O$5:$O$993,"Cambio",'[1]UY$'!$E$5:$E$993,'Efecto TC'!D452),""))</f>
        <v/>
      </c>
      <c r="G452" s="23" t="str">
        <f t="shared" si="57"/>
        <v/>
      </c>
      <c r="H452" s="22" t="str">
        <f t="shared" si="58"/>
        <v/>
      </c>
      <c r="I452" s="54" t="str">
        <f t="shared" si="55"/>
        <v/>
      </c>
      <c r="R452" s="24" t="e">
        <f t="shared" si="59"/>
        <v>#VALUE!</v>
      </c>
      <c r="S452" s="25" t="e">
        <f t="shared" si="56"/>
        <v>#VALUE!</v>
      </c>
    </row>
    <row r="453" spans="1:19" x14ac:dyDescent="0.25">
      <c r="A453" t="e">
        <f t="shared" si="53"/>
        <v>#VALUE!</v>
      </c>
      <c r="B453" t="e">
        <f t="shared" si="54"/>
        <v>#VALUE!</v>
      </c>
      <c r="D453" s="21" t="str" cm="1">
        <f t="array" ref="D453">IF(ROWS($D$7:D453)&gt;COUNTIF('[1]U$S'!$H$5:$H$1008,$L$5),"",INDEX(CuentaUS,_xlfn.AGGREGATE(15,6,ROW('[1]U$S'!$H$5:$H$1008)-ROW('[1]U$S'!$O$5)+1/--('[1]U$S'!$H$5:$H$1008=$L$5),ROWS($D$7:D453)),1))</f>
        <v/>
      </c>
      <c r="E453" s="22" t="str" cm="1">
        <f t="array" ref="E453">IF(ROWS($E$7:E453)&gt;COUNTIF('[1]U$S'!$H$5:$H$1008,$L$5),"",INDEX(CuentaUS,_xlfn.AGGREGATE(15,6,ROW('[1]U$S'!$H$5:$H$1008)-ROW('[1]U$S'!$O$5)+1/--('[1]U$S'!$H$5:$H$1008=$L$5),ROWS($E$7:E453)),6))</f>
        <v/>
      </c>
      <c r="F453" s="22" t="str">
        <f>IF(E453="","",IF(E453&gt;0,SUMIFS('[1]UY$'!$L$5:$L$993,'[1]UY$'!$O$5:$O$993,"Cambio",'[1]UY$'!$E$5:$E$993,'Efecto TC'!D453),""))</f>
        <v/>
      </c>
      <c r="G453" s="23" t="str">
        <f t="shared" si="57"/>
        <v/>
      </c>
      <c r="H453" s="22" t="str">
        <f t="shared" si="58"/>
        <v/>
      </c>
      <c r="I453" s="54" t="str">
        <f t="shared" si="55"/>
        <v/>
      </c>
      <c r="R453" s="24" t="e">
        <f t="shared" si="59"/>
        <v>#VALUE!</v>
      </c>
      <c r="S453" s="25" t="e">
        <f t="shared" si="56"/>
        <v>#VALUE!</v>
      </c>
    </row>
    <row r="454" spans="1:19" x14ac:dyDescent="0.25">
      <c r="A454" t="e">
        <f t="shared" si="53"/>
        <v>#VALUE!</v>
      </c>
      <c r="B454" t="e">
        <f t="shared" si="54"/>
        <v>#VALUE!</v>
      </c>
      <c r="D454" s="21" t="str" cm="1">
        <f t="array" ref="D454">IF(ROWS($D$7:D454)&gt;COUNTIF('[1]U$S'!$H$5:$H$1008,$L$5),"",INDEX(CuentaUS,_xlfn.AGGREGATE(15,6,ROW('[1]U$S'!$H$5:$H$1008)-ROW('[1]U$S'!$O$5)+1/--('[1]U$S'!$H$5:$H$1008=$L$5),ROWS($D$7:D454)),1))</f>
        <v/>
      </c>
      <c r="E454" s="22" t="str" cm="1">
        <f t="array" ref="E454">IF(ROWS($E$7:E454)&gt;COUNTIF('[1]U$S'!$H$5:$H$1008,$L$5),"",INDEX(CuentaUS,_xlfn.AGGREGATE(15,6,ROW('[1]U$S'!$H$5:$H$1008)-ROW('[1]U$S'!$O$5)+1/--('[1]U$S'!$H$5:$H$1008=$L$5),ROWS($E$7:E454)),6))</f>
        <v/>
      </c>
      <c r="F454" s="22" t="str">
        <f>IF(E454="","",IF(E454&gt;0,SUMIFS('[1]UY$'!$L$5:$L$993,'[1]UY$'!$O$5:$O$993,"Cambio",'[1]UY$'!$E$5:$E$993,'Efecto TC'!D454),""))</f>
        <v/>
      </c>
      <c r="G454" s="23" t="str">
        <f t="shared" si="57"/>
        <v/>
      </c>
      <c r="H454" s="22" t="str">
        <f t="shared" si="58"/>
        <v/>
      </c>
      <c r="I454" s="54" t="str">
        <f t="shared" si="55"/>
        <v/>
      </c>
      <c r="R454" s="24" t="e">
        <f t="shared" si="59"/>
        <v>#VALUE!</v>
      </c>
      <c r="S454" s="25" t="e">
        <f t="shared" si="56"/>
        <v>#VALUE!</v>
      </c>
    </row>
    <row r="455" spans="1:19" x14ac:dyDescent="0.25">
      <c r="A455" t="e">
        <f t="shared" ref="A455:A518" si="60">MONTH(D455)</f>
        <v>#VALUE!</v>
      </c>
      <c r="B455" t="e">
        <f t="shared" ref="B455:B518" si="61">YEAR(D455)</f>
        <v>#VALUE!</v>
      </c>
      <c r="D455" s="21" t="str" cm="1">
        <f t="array" ref="D455">IF(ROWS($D$7:D455)&gt;COUNTIF('[1]U$S'!$H$5:$H$1008,$L$5),"",INDEX(CuentaUS,_xlfn.AGGREGATE(15,6,ROW('[1]U$S'!$H$5:$H$1008)-ROW('[1]U$S'!$O$5)+1/--('[1]U$S'!$H$5:$H$1008=$L$5),ROWS($D$7:D455)),1))</f>
        <v/>
      </c>
      <c r="E455" s="22" t="str" cm="1">
        <f t="array" ref="E455">IF(ROWS($E$7:E455)&gt;COUNTIF('[1]U$S'!$H$5:$H$1008,$L$5),"",INDEX(CuentaUS,_xlfn.AGGREGATE(15,6,ROW('[1]U$S'!$H$5:$H$1008)-ROW('[1]U$S'!$O$5)+1/--('[1]U$S'!$H$5:$H$1008=$L$5),ROWS($E$7:E455)),6))</f>
        <v/>
      </c>
      <c r="F455" s="22" t="str">
        <f>IF(E455="","",IF(E455&gt;0,SUMIFS('[1]UY$'!$L$5:$L$993,'[1]UY$'!$O$5:$O$993,"Cambio",'[1]UY$'!$E$5:$E$993,'Efecto TC'!D455),""))</f>
        <v/>
      </c>
      <c r="G455" s="23" t="str">
        <f t="shared" si="57"/>
        <v/>
      </c>
      <c r="H455" s="22" t="str">
        <f t="shared" si="58"/>
        <v/>
      </c>
      <c r="I455" s="54" t="str">
        <f t="shared" si="55"/>
        <v/>
      </c>
      <c r="R455" s="24" t="e">
        <f t="shared" si="59"/>
        <v>#VALUE!</v>
      </c>
      <c r="S455" s="25" t="e">
        <f t="shared" si="56"/>
        <v>#VALUE!</v>
      </c>
    </row>
    <row r="456" spans="1:19" x14ac:dyDescent="0.25">
      <c r="A456" t="e">
        <f t="shared" si="60"/>
        <v>#VALUE!</v>
      </c>
      <c r="B456" t="e">
        <f t="shared" si="61"/>
        <v>#VALUE!</v>
      </c>
      <c r="D456" s="21" t="str" cm="1">
        <f t="array" ref="D456">IF(ROWS($D$7:D456)&gt;COUNTIF('[1]U$S'!$H$5:$H$1008,$L$5),"",INDEX(CuentaUS,_xlfn.AGGREGATE(15,6,ROW('[1]U$S'!$H$5:$H$1008)-ROW('[1]U$S'!$O$5)+1/--('[1]U$S'!$H$5:$H$1008=$L$5),ROWS($D$7:D456)),1))</f>
        <v/>
      </c>
      <c r="E456" s="22" t="str" cm="1">
        <f t="array" ref="E456">IF(ROWS($E$7:E456)&gt;COUNTIF('[1]U$S'!$H$5:$H$1008,$L$5),"",INDEX(CuentaUS,_xlfn.AGGREGATE(15,6,ROW('[1]U$S'!$H$5:$H$1008)-ROW('[1]U$S'!$O$5)+1/--('[1]U$S'!$H$5:$H$1008=$L$5),ROWS($E$7:E456)),6))</f>
        <v/>
      </c>
      <c r="F456" s="22" t="str">
        <f>IF(E456="","",IF(E456&gt;0,SUMIFS('[1]UY$'!$L$5:$L$993,'[1]UY$'!$O$5:$O$993,"Cambio",'[1]UY$'!$E$5:$E$993,'Efecto TC'!D456),""))</f>
        <v/>
      </c>
      <c r="G456" s="23" t="str">
        <f t="shared" si="57"/>
        <v/>
      </c>
      <c r="H456" s="22" t="str">
        <f t="shared" si="58"/>
        <v/>
      </c>
      <c r="I456" s="54" t="str">
        <f t="shared" si="55"/>
        <v/>
      </c>
      <c r="R456" s="24" t="e">
        <f t="shared" si="59"/>
        <v>#VALUE!</v>
      </c>
      <c r="S456" s="25" t="e">
        <f t="shared" si="56"/>
        <v>#VALUE!</v>
      </c>
    </row>
    <row r="457" spans="1:19" x14ac:dyDescent="0.25">
      <c r="A457" t="e">
        <f t="shared" si="60"/>
        <v>#VALUE!</v>
      </c>
      <c r="B457" t="e">
        <f t="shared" si="61"/>
        <v>#VALUE!</v>
      </c>
      <c r="D457" s="21" t="str" cm="1">
        <f t="array" ref="D457">IF(ROWS($D$7:D457)&gt;COUNTIF('[1]U$S'!$H$5:$H$1008,$L$5),"",INDEX(CuentaUS,_xlfn.AGGREGATE(15,6,ROW('[1]U$S'!$H$5:$H$1008)-ROW('[1]U$S'!$O$5)+1/--('[1]U$S'!$H$5:$H$1008=$L$5),ROWS($D$7:D457)),1))</f>
        <v/>
      </c>
      <c r="E457" s="22" t="str" cm="1">
        <f t="array" ref="E457">IF(ROWS($E$7:E457)&gt;COUNTIF('[1]U$S'!$H$5:$H$1008,$L$5),"",INDEX(CuentaUS,_xlfn.AGGREGATE(15,6,ROW('[1]U$S'!$H$5:$H$1008)-ROW('[1]U$S'!$O$5)+1/--('[1]U$S'!$H$5:$H$1008=$L$5),ROWS($E$7:E457)),6))</f>
        <v/>
      </c>
      <c r="F457" s="22" t="str">
        <f>IF(E457="","",IF(E457&gt;0,SUMIFS('[1]UY$'!$L$5:$L$993,'[1]UY$'!$O$5:$O$993,"Cambio",'[1]UY$'!$E$5:$E$993,'Efecto TC'!D457),""))</f>
        <v/>
      </c>
      <c r="G457" s="23" t="str">
        <f t="shared" si="57"/>
        <v/>
      </c>
      <c r="H457" s="22" t="str">
        <f t="shared" si="58"/>
        <v/>
      </c>
      <c r="I457" s="54" t="str">
        <f t="shared" si="55"/>
        <v/>
      </c>
      <c r="R457" s="24" t="e">
        <f t="shared" si="59"/>
        <v>#VALUE!</v>
      </c>
      <c r="S457" s="25" t="e">
        <f t="shared" si="56"/>
        <v>#VALUE!</v>
      </c>
    </row>
    <row r="458" spans="1:19" x14ac:dyDescent="0.25">
      <c r="A458" t="e">
        <f t="shared" si="60"/>
        <v>#VALUE!</v>
      </c>
      <c r="B458" t="e">
        <f t="shared" si="61"/>
        <v>#VALUE!</v>
      </c>
      <c r="D458" s="21" t="str" cm="1">
        <f t="array" ref="D458">IF(ROWS($D$7:D458)&gt;COUNTIF('[1]U$S'!$H$5:$H$1008,$L$5),"",INDEX(CuentaUS,_xlfn.AGGREGATE(15,6,ROW('[1]U$S'!$H$5:$H$1008)-ROW('[1]U$S'!$O$5)+1/--('[1]U$S'!$H$5:$H$1008=$L$5),ROWS($D$7:D458)),1))</f>
        <v/>
      </c>
      <c r="E458" s="22" t="str" cm="1">
        <f t="array" ref="E458">IF(ROWS($E$7:E458)&gt;COUNTIF('[1]U$S'!$H$5:$H$1008,$L$5),"",INDEX(CuentaUS,_xlfn.AGGREGATE(15,6,ROW('[1]U$S'!$H$5:$H$1008)-ROW('[1]U$S'!$O$5)+1/--('[1]U$S'!$H$5:$H$1008=$L$5),ROWS($E$7:E458)),6))</f>
        <v/>
      </c>
      <c r="F458" s="22" t="str">
        <f>IF(E458="","",IF(E458&gt;0,SUMIFS('[1]UY$'!$L$5:$L$993,'[1]UY$'!$O$5:$O$993,"Cambio",'[1]UY$'!$E$5:$E$993,'Efecto TC'!D458),""))</f>
        <v/>
      </c>
      <c r="G458" s="23" t="str">
        <f t="shared" si="57"/>
        <v/>
      </c>
      <c r="H458" s="22" t="str">
        <f t="shared" si="58"/>
        <v/>
      </c>
      <c r="I458" s="54" t="str">
        <f t="shared" ref="I458:I521" si="62">IF(H458="","",+H458+I457)</f>
        <v/>
      </c>
      <c r="R458" s="24" t="e">
        <f t="shared" si="59"/>
        <v>#VALUE!</v>
      </c>
      <c r="S458" s="25" t="e">
        <f t="shared" si="56"/>
        <v>#VALUE!</v>
      </c>
    </row>
    <row r="459" spans="1:19" x14ac:dyDescent="0.25">
      <c r="A459" t="e">
        <f t="shared" si="60"/>
        <v>#VALUE!</v>
      </c>
      <c r="B459" t="e">
        <f t="shared" si="61"/>
        <v>#VALUE!</v>
      </c>
      <c r="D459" s="21" t="str" cm="1">
        <f t="array" ref="D459">IF(ROWS($D$7:D459)&gt;COUNTIF('[1]U$S'!$H$5:$H$1008,$L$5),"",INDEX(CuentaUS,_xlfn.AGGREGATE(15,6,ROW('[1]U$S'!$H$5:$H$1008)-ROW('[1]U$S'!$O$5)+1/--('[1]U$S'!$H$5:$H$1008=$L$5),ROWS($D$7:D459)),1))</f>
        <v/>
      </c>
      <c r="E459" s="22" t="str" cm="1">
        <f t="array" ref="E459">IF(ROWS($E$7:E459)&gt;COUNTIF('[1]U$S'!$H$5:$H$1008,$L$5),"",INDEX(CuentaUS,_xlfn.AGGREGATE(15,6,ROW('[1]U$S'!$H$5:$H$1008)-ROW('[1]U$S'!$O$5)+1/--('[1]U$S'!$H$5:$H$1008=$L$5),ROWS($E$7:E459)),6))</f>
        <v/>
      </c>
      <c r="F459" s="22" t="str">
        <f>IF(E459="","",IF(E459&gt;0,SUMIFS('[1]UY$'!$L$5:$L$993,'[1]UY$'!$O$5:$O$993,"Cambio",'[1]UY$'!$E$5:$E$993,'Efecto TC'!D459),""))</f>
        <v/>
      </c>
      <c r="G459" s="23" t="str">
        <f t="shared" si="57"/>
        <v/>
      </c>
      <c r="H459" s="22" t="str">
        <f t="shared" si="58"/>
        <v/>
      </c>
      <c r="I459" s="54" t="str">
        <f t="shared" si="62"/>
        <v/>
      </c>
      <c r="R459" s="24" t="e">
        <f t="shared" si="59"/>
        <v>#VALUE!</v>
      </c>
      <c r="S459" s="25" t="e">
        <f t="shared" si="56"/>
        <v>#VALUE!</v>
      </c>
    </row>
    <row r="460" spans="1:19" x14ac:dyDescent="0.25">
      <c r="A460" t="e">
        <f t="shared" si="60"/>
        <v>#VALUE!</v>
      </c>
      <c r="B460" t="e">
        <f t="shared" si="61"/>
        <v>#VALUE!</v>
      </c>
      <c r="D460" s="21" t="str" cm="1">
        <f t="array" ref="D460">IF(ROWS($D$7:D460)&gt;COUNTIF('[1]U$S'!$H$5:$H$1008,$L$5),"",INDEX(CuentaUS,_xlfn.AGGREGATE(15,6,ROW('[1]U$S'!$H$5:$H$1008)-ROW('[1]U$S'!$O$5)+1/--('[1]U$S'!$H$5:$H$1008=$L$5),ROWS($D$7:D460)),1))</f>
        <v/>
      </c>
      <c r="E460" s="22" t="str" cm="1">
        <f t="array" ref="E460">IF(ROWS($E$7:E460)&gt;COUNTIF('[1]U$S'!$H$5:$H$1008,$L$5),"",INDEX(CuentaUS,_xlfn.AGGREGATE(15,6,ROW('[1]U$S'!$H$5:$H$1008)-ROW('[1]U$S'!$O$5)+1/--('[1]U$S'!$H$5:$H$1008=$L$5),ROWS($E$7:E460)),6))</f>
        <v/>
      </c>
      <c r="F460" s="22" t="str">
        <f>IF(E460="","",IF(E460&gt;0,SUMIFS('[1]UY$'!$L$5:$L$993,'[1]UY$'!$O$5:$O$993,"Cambio",'[1]UY$'!$E$5:$E$993,'Efecto TC'!D460),""))</f>
        <v/>
      </c>
      <c r="G460" s="23" t="str">
        <f t="shared" si="57"/>
        <v/>
      </c>
      <c r="H460" s="22" t="str">
        <f t="shared" si="58"/>
        <v/>
      </c>
      <c r="I460" s="54" t="str">
        <f t="shared" si="62"/>
        <v/>
      </c>
      <c r="R460" s="24" t="e">
        <f t="shared" si="59"/>
        <v>#VALUE!</v>
      </c>
      <c r="S460" s="25" t="e">
        <f t="shared" si="56"/>
        <v>#VALUE!</v>
      </c>
    </row>
    <row r="461" spans="1:19" x14ac:dyDescent="0.25">
      <c r="A461" t="e">
        <f t="shared" si="60"/>
        <v>#VALUE!</v>
      </c>
      <c r="B461" t="e">
        <f t="shared" si="61"/>
        <v>#VALUE!</v>
      </c>
      <c r="D461" s="21" t="str" cm="1">
        <f t="array" ref="D461">IF(ROWS($D$7:D461)&gt;COUNTIF('[1]U$S'!$H$5:$H$1008,$L$5),"",INDEX(CuentaUS,_xlfn.AGGREGATE(15,6,ROW('[1]U$S'!$H$5:$H$1008)-ROW('[1]U$S'!$O$5)+1/--('[1]U$S'!$H$5:$H$1008=$L$5),ROWS($D$7:D461)),1))</f>
        <v/>
      </c>
      <c r="E461" s="22" t="str" cm="1">
        <f t="array" ref="E461">IF(ROWS($E$7:E461)&gt;COUNTIF('[1]U$S'!$H$5:$H$1008,$L$5),"",INDEX(CuentaUS,_xlfn.AGGREGATE(15,6,ROW('[1]U$S'!$H$5:$H$1008)-ROW('[1]U$S'!$O$5)+1/--('[1]U$S'!$H$5:$H$1008=$L$5),ROWS($E$7:E461)),6))</f>
        <v/>
      </c>
      <c r="F461" s="22" t="str">
        <f>IF(E461="","",IF(E461&gt;0,SUMIFS('[1]UY$'!$L$5:$L$993,'[1]UY$'!$O$5:$O$993,"Cambio",'[1]UY$'!$E$5:$E$993,'Efecto TC'!D461),""))</f>
        <v/>
      </c>
      <c r="G461" s="23" t="str">
        <f t="shared" si="57"/>
        <v/>
      </c>
      <c r="H461" s="22" t="str">
        <f t="shared" si="58"/>
        <v/>
      </c>
      <c r="I461" s="54" t="str">
        <f t="shared" si="62"/>
        <v/>
      </c>
      <c r="R461" s="24" t="e">
        <f t="shared" si="59"/>
        <v>#VALUE!</v>
      </c>
      <c r="S461" s="25" t="e">
        <f t="shared" si="56"/>
        <v>#VALUE!</v>
      </c>
    </row>
    <row r="462" spans="1:19" x14ac:dyDescent="0.25">
      <c r="A462" t="e">
        <f t="shared" si="60"/>
        <v>#VALUE!</v>
      </c>
      <c r="B462" t="e">
        <f t="shared" si="61"/>
        <v>#VALUE!</v>
      </c>
      <c r="D462" s="21" t="str" cm="1">
        <f t="array" ref="D462">IF(ROWS($D$7:D462)&gt;COUNTIF('[1]U$S'!$H$5:$H$1008,$L$5),"",INDEX(CuentaUS,_xlfn.AGGREGATE(15,6,ROW('[1]U$S'!$H$5:$H$1008)-ROW('[1]U$S'!$O$5)+1/--('[1]U$S'!$H$5:$H$1008=$L$5),ROWS($D$7:D462)),1))</f>
        <v/>
      </c>
      <c r="E462" s="22" t="str" cm="1">
        <f t="array" ref="E462">IF(ROWS($E$7:E462)&gt;COUNTIF('[1]U$S'!$H$5:$H$1008,$L$5),"",INDEX(CuentaUS,_xlfn.AGGREGATE(15,6,ROW('[1]U$S'!$H$5:$H$1008)-ROW('[1]U$S'!$O$5)+1/--('[1]U$S'!$H$5:$H$1008=$L$5),ROWS($E$7:E462)),6))</f>
        <v/>
      </c>
      <c r="F462" s="22" t="str">
        <f>IF(E462="","",IF(E462&gt;0,SUMIFS('[1]UY$'!$L$5:$L$993,'[1]UY$'!$O$5:$O$993,"Cambio",'[1]UY$'!$E$5:$E$993,'Efecto TC'!D462),""))</f>
        <v/>
      </c>
      <c r="G462" s="23" t="str">
        <f t="shared" si="57"/>
        <v/>
      </c>
      <c r="H462" s="22" t="str">
        <f t="shared" si="58"/>
        <v/>
      </c>
      <c r="I462" s="54" t="str">
        <f t="shared" si="62"/>
        <v/>
      </c>
      <c r="R462" s="24" t="e">
        <f t="shared" si="59"/>
        <v>#VALUE!</v>
      </c>
      <c r="S462" s="25" t="e">
        <f t="shared" si="56"/>
        <v>#VALUE!</v>
      </c>
    </row>
    <row r="463" spans="1:19" x14ac:dyDescent="0.25">
      <c r="A463" t="e">
        <f t="shared" si="60"/>
        <v>#VALUE!</v>
      </c>
      <c r="B463" t="e">
        <f t="shared" si="61"/>
        <v>#VALUE!</v>
      </c>
      <c r="D463" s="21" t="str" cm="1">
        <f t="array" ref="D463">IF(ROWS($D$7:D463)&gt;COUNTIF('[1]U$S'!$H$5:$H$1008,$L$5),"",INDEX(CuentaUS,_xlfn.AGGREGATE(15,6,ROW('[1]U$S'!$H$5:$H$1008)-ROW('[1]U$S'!$O$5)+1/--('[1]U$S'!$H$5:$H$1008=$L$5),ROWS($D$7:D463)),1))</f>
        <v/>
      </c>
      <c r="E463" s="22" t="str" cm="1">
        <f t="array" ref="E463">IF(ROWS($E$7:E463)&gt;COUNTIF('[1]U$S'!$H$5:$H$1008,$L$5),"",INDEX(CuentaUS,_xlfn.AGGREGATE(15,6,ROW('[1]U$S'!$H$5:$H$1008)-ROW('[1]U$S'!$O$5)+1/--('[1]U$S'!$H$5:$H$1008=$L$5),ROWS($E$7:E463)),6))</f>
        <v/>
      </c>
      <c r="F463" s="22" t="str">
        <f>IF(E463="","",IF(E463&gt;0,SUMIFS('[1]UY$'!$L$5:$L$993,'[1]UY$'!$O$5:$O$993,"Cambio",'[1]UY$'!$E$5:$E$993,'Efecto TC'!D463),""))</f>
        <v/>
      </c>
      <c r="G463" s="23" t="str">
        <f t="shared" si="57"/>
        <v/>
      </c>
      <c r="H463" s="22" t="str">
        <f t="shared" si="58"/>
        <v/>
      </c>
      <c r="I463" s="54" t="str">
        <f t="shared" si="62"/>
        <v/>
      </c>
      <c r="R463" s="24" t="e">
        <f t="shared" si="59"/>
        <v>#VALUE!</v>
      </c>
      <c r="S463" s="25" t="e">
        <f t="shared" si="56"/>
        <v>#VALUE!</v>
      </c>
    </row>
    <row r="464" spans="1:19" x14ac:dyDescent="0.25">
      <c r="A464" t="e">
        <f t="shared" si="60"/>
        <v>#VALUE!</v>
      </c>
      <c r="B464" t="e">
        <f t="shared" si="61"/>
        <v>#VALUE!</v>
      </c>
      <c r="D464" s="21" t="str" cm="1">
        <f t="array" ref="D464">IF(ROWS($D$7:D464)&gt;COUNTIF('[1]U$S'!$H$5:$H$1008,$L$5),"",INDEX(CuentaUS,_xlfn.AGGREGATE(15,6,ROW('[1]U$S'!$H$5:$H$1008)-ROW('[1]U$S'!$O$5)+1/--('[1]U$S'!$H$5:$H$1008=$L$5),ROWS($D$7:D464)),1))</f>
        <v/>
      </c>
      <c r="E464" s="22" t="str" cm="1">
        <f t="array" ref="E464">IF(ROWS($E$7:E464)&gt;COUNTIF('[1]U$S'!$H$5:$H$1008,$L$5),"",INDEX(CuentaUS,_xlfn.AGGREGATE(15,6,ROW('[1]U$S'!$H$5:$H$1008)-ROW('[1]U$S'!$O$5)+1/--('[1]U$S'!$H$5:$H$1008=$L$5),ROWS($E$7:E464)),6))</f>
        <v/>
      </c>
      <c r="F464" s="22" t="str">
        <f>IF(E464="","",IF(E464&gt;0,SUMIFS('[1]UY$'!$L$5:$L$993,'[1]UY$'!$O$5:$O$993,"Cambio",'[1]UY$'!$E$5:$E$993,'Efecto TC'!D464),""))</f>
        <v/>
      </c>
      <c r="G464" s="23" t="str">
        <f t="shared" si="57"/>
        <v/>
      </c>
      <c r="H464" s="22" t="str">
        <f t="shared" si="58"/>
        <v/>
      </c>
      <c r="I464" s="54" t="str">
        <f t="shared" si="62"/>
        <v/>
      </c>
      <c r="R464" s="24" t="e">
        <f t="shared" si="59"/>
        <v>#VALUE!</v>
      </c>
      <c r="S464" s="25" t="e">
        <f t="shared" si="56"/>
        <v>#VALUE!</v>
      </c>
    </row>
    <row r="465" spans="1:19" x14ac:dyDescent="0.25">
      <c r="A465" t="e">
        <f t="shared" si="60"/>
        <v>#VALUE!</v>
      </c>
      <c r="B465" t="e">
        <f t="shared" si="61"/>
        <v>#VALUE!</v>
      </c>
      <c r="D465" s="21" t="str" cm="1">
        <f t="array" ref="D465">IF(ROWS($D$7:D465)&gt;COUNTIF('[1]U$S'!$H$5:$H$1008,$L$5),"",INDEX(CuentaUS,_xlfn.AGGREGATE(15,6,ROW('[1]U$S'!$H$5:$H$1008)-ROW('[1]U$S'!$O$5)+1/--('[1]U$S'!$H$5:$H$1008=$L$5),ROWS($D$7:D465)),1))</f>
        <v/>
      </c>
      <c r="E465" s="22" t="str" cm="1">
        <f t="array" ref="E465">IF(ROWS($E$7:E465)&gt;COUNTIF('[1]U$S'!$H$5:$H$1008,$L$5),"",INDEX(CuentaUS,_xlfn.AGGREGATE(15,6,ROW('[1]U$S'!$H$5:$H$1008)-ROW('[1]U$S'!$O$5)+1/--('[1]U$S'!$H$5:$H$1008=$L$5),ROWS($E$7:E465)),6))</f>
        <v/>
      </c>
      <c r="F465" s="22" t="str">
        <f>IF(E465="","",IF(E465&gt;0,SUMIFS('[1]UY$'!$L$5:$L$993,'[1]UY$'!$O$5:$O$993,"Cambio",'[1]UY$'!$E$5:$E$993,'Efecto TC'!D465),""))</f>
        <v/>
      </c>
      <c r="G465" s="23" t="str">
        <f t="shared" si="57"/>
        <v/>
      </c>
      <c r="H465" s="22" t="str">
        <f t="shared" si="58"/>
        <v/>
      </c>
      <c r="I465" s="54" t="str">
        <f t="shared" si="62"/>
        <v/>
      </c>
      <c r="R465" s="24" t="e">
        <f t="shared" si="59"/>
        <v>#VALUE!</v>
      </c>
      <c r="S465" s="25" t="e">
        <f t="shared" si="56"/>
        <v>#VALUE!</v>
      </c>
    </row>
    <row r="466" spans="1:19" x14ac:dyDescent="0.25">
      <c r="A466" t="e">
        <f t="shared" si="60"/>
        <v>#VALUE!</v>
      </c>
      <c r="B466" t="e">
        <f t="shared" si="61"/>
        <v>#VALUE!</v>
      </c>
      <c r="D466" s="21" t="str" cm="1">
        <f t="array" ref="D466">IF(ROWS($D$7:D466)&gt;COUNTIF('[1]U$S'!$H$5:$H$1008,$L$5),"",INDEX(CuentaUS,_xlfn.AGGREGATE(15,6,ROW('[1]U$S'!$H$5:$H$1008)-ROW('[1]U$S'!$O$5)+1/--('[1]U$S'!$H$5:$H$1008=$L$5),ROWS($D$7:D466)),1))</f>
        <v/>
      </c>
      <c r="E466" s="22" t="str" cm="1">
        <f t="array" ref="E466">IF(ROWS($E$7:E466)&gt;COUNTIF('[1]U$S'!$H$5:$H$1008,$L$5),"",INDEX(CuentaUS,_xlfn.AGGREGATE(15,6,ROW('[1]U$S'!$H$5:$H$1008)-ROW('[1]U$S'!$O$5)+1/--('[1]U$S'!$H$5:$H$1008=$L$5),ROWS($E$7:E466)),6))</f>
        <v/>
      </c>
      <c r="F466" s="22" t="str">
        <f>IF(E466="","",IF(E466&gt;0,SUMIFS('[1]UY$'!$L$5:$L$993,'[1]UY$'!$O$5:$O$993,"Cambio",'[1]UY$'!$E$5:$E$993,'Efecto TC'!D466),""))</f>
        <v/>
      </c>
      <c r="G466" s="23" t="str">
        <f t="shared" si="57"/>
        <v/>
      </c>
      <c r="H466" s="22" t="str">
        <f t="shared" si="58"/>
        <v/>
      </c>
      <c r="I466" s="54" t="str">
        <f t="shared" si="62"/>
        <v/>
      </c>
      <c r="R466" s="24" t="e">
        <f t="shared" si="59"/>
        <v>#VALUE!</v>
      </c>
      <c r="S466" s="25" t="e">
        <f t="shared" si="56"/>
        <v>#VALUE!</v>
      </c>
    </row>
    <row r="467" spans="1:19" x14ac:dyDescent="0.25">
      <c r="A467" t="e">
        <f t="shared" si="60"/>
        <v>#VALUE!</v>
      </c>
      <c r="B467" t="e">
        <f t="shared" si="61"/>
        <v>#VALUE!</v>
      </c>
      <c r="D467" s="21" t="str" cm="1">
        <f t="array" ref="D467">IF(ROWS($D$7:D467)&gt;COUNTIF('[1]U$S'!$H$5:$H$1008,$L$5),"",INDEX(CuentaUS,_xlfn.AGGREGATE(15,6,ROW('[1]U$S'!$H$5:$H$1008)-ROW('[1]U$S'!$O$5)+1/--('[1]U$S'!$H$5:$H$1008=$L$5),ROWS($D$7:D467)),1))</f>
        <v/>
      </c>
      <c r="E467" s="22" t="str" cm="1">
        <f t="array" ref="E467">IF(ROWS($E$7:E467)&gt;COUNTIF('[1]U$S'!$H$5:$H$1008,$L$5),"",INDEX(CuentaUS,_xlfn.AGGREGATE(15,6,ROW('[1]U$S'!$H$5:$H$1008)-ROW('[1]U$S'!$O$5)+1/--('[1]U$S'!$H$5:$H$1008=$L$5),ROWS($E$7:E467)),6))</f>
        <v/>
      </c>
      <c r="F467" s="22" t="str">
        <f>IF(E467="","",IF(E467&gt;0,SUMIFS('[1]UY$'!$L$5:$L$993,'[1]UY$'!$O$5:$O$993,"Cambio",'[1]UY$'!$E$5:$E$993,'Efecto TC'!D467),""))</f>
        <v/>
      </c>
      <c r="G467" s="23" t="str">
        <f t="shared" si="57"/>
        <v/>
      </c>
      <c r="H467" s="22" t="str">
        <f t="shared" si="58"/>
        <v/>
      </c>
      <c r="I467" s="54" t="str">
        <f t="shared" si="62"/>
        <v/>
      </c>
      <c r="R467" s="24" t="e">
        <f t="shared" si="59"/>
        <v>#VALUE!</v>
      </c>
      <c r="S467" s="25" t="e">
        <f t="shared" si="56"/>
        <v>#VALUE!</v>
      </c>
    </row>
    <row r="468" spans="1:19" x14ac:dyDescent="0.25">
      <c r="A468" t="e">
        <f t="shared" si="60"/>
        <v>#VALUE!</v>
      </c>
      <c r="B468" t="e">
        <f t="shared" si="61"/>
        <v>#VALUE!</v>
      </c>
      <c r="D468" s="21" t="str" cm="1">
        <f t="array" ref="D468">IF(ROWS($D$7:D468)&gt;COUNTIF('[1]U$S'!$H$5:$H$1008,$L$5),"",INDEX(CuentaUS,_xlfn.AGGREGATE(15,6,ROW('[1]U$S'!$H$5:$H$1008)-ROW('[1]U$S'!$O$5)+1/--('[1]U$S'!$H$5:$H$1008=$L$5),ROWS($D$7:D468)),1))</f>
        <v/>
      </c>
      <c r="E468" s="22" t="str" cm="1">
        <f t="array" ref="E468">IF(ROWS($E$7:E468)&gt;COUNTIF('[1]U$S'!$H$5:$H$1008,$L$5),"",INDEX(CuentaUS,_xlfn.AGGREGATE(15,6,ROW('[1]U$S'!$H$5:$H$1008)-ROW('[1]U$S'!$O$5)+1/--('[1]U$S'!$H$5:$H$1008=$L$5),ROWS($E$7:E468)),6))</f>
        <v/>
      </c>
      <c r="F468" s="22" t="str">
        <f>IF(E468="","",IF(E468&gt;0,SUMIFS('[1]UY$'!$L$5:$L$993,'[1]UY$'!$O$5:$O$993,"Cambio",'[1]UY$'!$E$5:$E$993,'Efecto TC'!D468),""))</f>
        <v/>
      </c>
      <c r="G468" s="23" t="str">
        <f t="shared" si="57"/>
        <v/>
      </c>
      <c r="H468" s="22" t="str">
        <f t="shared" si="58"/>
        <v/>
      </c>
      <c r="I468" s="54" t="str">
        <f t="shared" si="62"/>
        <v/>
      </c>
      <c r="R468" s="24" t="e">
        <f t="shared" si="59"/>
        <v>#VALUE!</v>
      </c>
      <c r="S468" s="25" t="e">
        <f t="shared" si="56"/>
        <v>#VALUE!</v>
      </c>
    </row>
    <row r="469" spans="1:19" x14ac:dyDescent="0.25">
      <c r="A469" t="e">
        <f t="shared" si="60"/>
        <v>#VALUE!</v>
      </c>
      <c r="B469" t="e">
        <f t="shared" si="61"/>
        <v>#VALUE!</v>
      </c>
      <c r="D469" s="21" t="str" cm="1">
        <f t="array" ref="D469">IF(ROWS($D$7:D469)&gt;COUNTIF('[1]U$S'!$H$5:$H$1008,$L$5),"",INDEX(CuentaUS,_xlfn.AGGREGATE(15,6,ROW('[1]U$S'!$H$5:$H$1008)-ROW('[1]U$S'!$O$5)+1/--('[1]U$S'!$H$5:$H$1008=$L$5),ROWS($D$7:D469)),1))</f>
        <v/>
      </c>
      <c r="E469" s="22" t="str" cm="1">
        <f t="array" ref="E469">IF(ROWS($E$7:E469)&gt;COUNTIF('[1]U$S'!$H$5:$H$1008,$L$5),"",INDEX(CuentaUS,_xlfn.AGGREGATE(15,6,ROW('[1]U$S'!$H$5:$H$1008)-ROW('[1]U$S'!$O$5)+1/--('[1]U$S'!$H$5:$H$1008=$L$5),ROWS($E$7:E469)),6))</f>
        <v/>
      </c>
      <c r="F469" s="22" t="str">
        <f>IF(E469="","",IF(E469&gt;0,SUMIFS('[1]UY$'!$L$5:$L$993,'[1]UY$'!$O$5:$O$993,"Cambio",'[1]UY$'!$E$5:$E$993,'Efecto TC'!D469),""))</f>
        <v/>
      </c>
      <c r="G469" s="23" t="str">
        <f t="shared" si="57"/>
        <v/>
      </c>
      <c r="H469" s="22" t="str">
        <f t="shared" si="58"/>
        <v/>
      </c>
      <c r="I469" s="54" t="str">
        <f t="shared" si="62"/>
        <v/>
      </c>
      <c r="R469" s="24" t="e">
        <f t="shared" si="59"/>
        <v>#VALUE!</v>
      </c>
      <c r="S469" s="25" t="e">
        <f t="shared" si="56"/>
        <v>#VALUE!</v>
      </c>
    </row>
    <row r="470" spans="1:19" x14ac:dyDescent="0.25">
      <c r="A470" t="e">
        <f t="shared" si="60"/>
        <v>#VALUE!</v>
      </c>
      <c r="B470" t="e">
        <f t="shared" si="61"/>
        <v>#VALUE!</v>
      </c>
      <c r="D470" s="21" t="str" cm="1">
        <f t="array" ref="D470">IF(ROWS($D$7:D470)&gt;COUNTIF('[1]U$S'!$H$5:$H$1008,$L$5),"",INDEX(CuentaUS,_xlfn.AGGREGATE(15,6,ROW('[1]U$S'!$H$5:$H$1008)-ROW('[1]U$S'!$O$5)+1/--('[1]U$S'!$H$5:$H$1008=$L$5),ROWS($D$7:D470)),1))</f>
        <v/>
      </c>
      <c r="E470" s="22" t="str" cm="1">
        <f t="array" ref="E470">IF(ROWS($E$7:E470)&gt;COUNTIF('[1]U$S'!$H$5:$H$1008,$L$5),"",INDEX(CuentaUS,_xlfn.AGGREGATE(15,6,ROW('[1]U$S'!$H$5:$H$1008)-ROW('[1]U$S'!$O$5)+1/--('[1]U$S'!$H$5:$H$1008=$L$5),ROWS($E$7:E470)),6))</f>
        <v/>
      </c>
      <c r="F470" s="22" t="str">
        <f>IF(E470="","",IF(E470&gt;0,SUMIFS('[1]UY$'!$L$5:$L$993,'[1]UY$'!$O$5:$O$993,"Cambio",'[1]UY$'!$E$5:$E$993,'Efecto TC'!D470),""))</f>
        <v/>
      </c>
      <c r="G470" s="23" t="str">
        <f t="shared" si="57"/>
        <v/>
      </c>
      <c r="H470" s="22" t="str">
        <f t="shared" si="58"/>
        <v/>
      </c>
      <c r="I470" s="54" t="str">
        <f t="shared" si="62"/>
        <v/>
      </c>
      <c r="R470" s="24" t="e">
        <f t="shared" si="59"/>
        <v>#VALUE!</v>
      </c>
      <c r="S470" s="25" t="e">
        <f t="shared" si="56"/>
        <v>#VALUE!</v>
      </c>
    </row>
    <row r="471" spans="1:19" x14ac:dyDescent="0.25">
      <c r="A471" t="e">
        <f t="shared" si="60"/>
        <v>#VALUE!</v>
      </c>
      <c r="B471" t="e">
        <f t="shared" si="61"/>
        <v>#VALUE!</v>
      </c>
      <c r="D471" s="21" t="str" cm="1">
        <f t="array" ref="D471">IF(ROWS($D$7:D471)&gt;COUNTIF('[1]U$S'!$H$5:$H$1008,$L$5),"",INDEX(CuentaUS,_xlfn.AGGREGATE(15,6,ROW('[1]U$S'!$H$5:$H$1008)-ROW('[1]U$S'!$O$5)+1/--('[1]U$S'!$H$5:$H$1008=$L$5),ROWS($D$7:D471)),1))</f>
        <v/>
      </c>
      <c r="E471" s="22" t="str" cm="1">
        <f t="array" ref="E471">IF(ROWS($E$7:E471)&gt;COUNTIF('[1]U$S'!$H$5:$H$1008,$L$5),"",INDEX(CuentaUS,_xlfn.AGGREGATE(15,6,ROW('[1]U$S'!$H$5:$H$1008)-ROW('[1]U$S'!$O$5)+1/--('[1]U$S'!$H$5:$H$1008=$L$5),ROWS($E$7:E471)),6))</f>
        <v/>
      </c>
      <c r="F471" s="22" t="str">
        <f>IF(E471="","",IF(E471&gt;0,SUMIFS('[1]UY$'!$L$5:$L$993,'[1]UY$'!$O$5:$O$993,"Cambio",'[1]UY$'!$E$5:$E$993,'Efecto TC'!D471),""))</f>
        <v/>
      </c>
      <c r="G471" s="23" t="str">
        <f t="shared" si="57"/>
        <v/>
      </c>
      <c r="H471" s="22" t="str">
        <f t="shared" si="58"/>
        <v/>
      </c>
      <c r="I471" s="54" t="str">
        <f t="shared" si="62"/>
        <v/>
      </c>
      <c r="R471" s="24" t="e">
        <f t="shared" si="59"/>
        <v>#VALUE!</v>
      </c>
      <c r="S471" s="25" t="e">
        <f t="shared" si="56"/>
        <v>#VALUE!</v>
      </c>
    </row>
    <row r="472" spans="1:19" x14ac:dyDescent="0.25">
      <c r="A472" t="e">
        <f t="shared" si="60"/>
        <v>#VALUE!</v>
      </c>
      <c r="B472" t="e">
        <f t="shared" si="61"/>
        <v>#VALUE!</v>
      </c>
      <c r="D472" s="21" t="str" cm="1">
        <f t="array" ref="D472">IF(ROWS($D$7:D472)&gt;COUNTIF('[1]U$S'!$H$5:$H$1008,$L$5),"",INDEX(CuentaUS,_xlfn.AGGREGATE(15,6,ROW('[1]U$S'!$H$5:$H$1008)-ROW('[1]U$S'!$O$5)+1/--('[1]U$S'!$H$5:$H$1008=$L$5),ROWS($D$7:D472)),1))</f>
        <v/>
      </c>
      <c r="E472" s="22" t="str" cm="1">
        <f t="array" ref="E472">IF(ROWS($E$7:E472)&gt;COUNTIF('[1]U$S'!$H$5:$H$1008,$L$5),"",INDEX(CuentaUS,_xlfn.AGGREGATE(15,6,ROW('[1]U$S'!$H$5:$H$1008)-ROW('[1]U$S'!$O$5)+1/--('[1]U$S'!$H$5:$H$1008=$L$5),ROWS($E$7:E472)),6))</f>
        <v/>
      </c>
      <c r="F472" s="22" t="str">
        <f>IF(E472="","",IF(E472&gt;0,SUMIFS('[1]UY$'!$L$5:$L$993,'[1]UY$'!$O$5:$O$993,"Cambio",'[1]UY$'!$E$5:$E$993,'Efecto TC'!D472),""))</f>
        <v/>
      </c>
      <c r="G472" s="23" t="str">
        <f t="shared" si="57"/>
        <v/>
      </c>
      <c r="H472" s="22" t="str">
        <f t="shared" si="58"/>
        <v/>
      </c>
      <c r="I472" s="54" t="str">
        <f t="shared" si="62"/>
        <v/>
      </c>
      <c r="R472" s="24" t="e">
        <f t="shared" si="59"/>
        <v>#VALUE!</v>
      </c>
      <c r="S472" s="25" t="e">
        <f t="shared" si="56"/>
        <v>#VALUE!</v>
      </c>
    </row>
    <row r="473" spans="1:19" x14ac:dyDescent="0.25">
      <c r="A473" t="e">
        <f t="shared" si="60"/>
        <v>#VALUE!</v>
      </c>
      <c r="B473" t="e">
        <f t="shared" si="61"/>
        <v>#VALUE!</v>
      </c>
      <c r="D473" s="21" t="str" cm="1">
        <f t="array" ref="D473">IF(ROWS($D$7:D473)&gt;COUNTIF('[1]U$S'!$H$5:$H$1008,$L$5),"",INDEX(CuentaUS,_xlfn.AGGREGATE(15,6,ROW('[1]U$S'!$H$5:$H$1008)-ROW('[1]U$S'!$O$5)+1/--('[1]U$S'!$H$5:$H$1008=$L$5),ROWS($D$7:D473)),1))</f>
        <v/>
      </c>
      <c r="E473" s="22" t="str" cm="1">
        <f t="array" ref="E473">IF(ROWS($E$7:E473)&gt;COUNTIF('[1]U$S'!$H$5:$H$1008,$L$5),"",INDEX(CuentaUS,_xlfn.AGGREGATE(15,6,ROW('[1]U$S'!$H$5:$H$1008)-ROW('[1]U$S'!$O$5)+1/--('[1]U$S'!$H$5:$H$1008=$L$5),ROWS($E$7:E473)),6))</f>
        <v/>
      </c>
      <c r="F473" s="22" t="str">
        <f>IF(E473="","",IF(E473&gt;0,SUMIFS('[1]UY$'!$L$5:$L$993,'[1]UY$'!$O$5:$O$993,"Cambio",'[1]UY$'!$E$5:$E$993,'Efecto TC'!D473),""))</f>
        <v/>
      </c>
      <c r="G473" s="23" t="str">
        <f t="shared" si="57"/>
        <v/>
      </c>
      <c r="H473" s="22" t="str">
        <f t="shared" si="58"/>
        <v/>
      </c>
      <c r="I473" s="54" t="str">
        <f t="shared" si="62"/>
        <v/>
      </c>
      <c r="R473" s="24" t="e">
        <f t="shared" si="59"/>
        <v>#VALUE!</v>
      </c>
      <c r="S473" s="25" t="e">
        <f t="shared" si="56"/>
        <v>#VALUE!</v>
      </c>
    </row>
    <row r="474" spans="1:19" x14ac:dyDescent="0.25">
      <c r="A474" t="e">
        <f t="shared" si="60"/>
        <v>#VALUE!</v>
      </c>
      <c r="B474" t="e">
        <f t="shared" si="61"/>
        <v>#VALUE!</v>
      </c>
      <c r="D474" s="21" t="str" cm="1">
        <f t="array" ref="D474">IF(ROWS($D$7:D474)&gt;COUNTIF('[1]U$S'!$H$5:$H$1008,$L$5),"",INDEX(CuentaUS,_xlfn.AGGREGATE(15,6,ROW('[1]U$S'!$H$5:$H$1008)-ROW('[1]U$S'!$O$5)+1/--('[1]U$S'!$H$5:$H$1008=$L$5),ROWS($D$7:D474)),1))</f>
        <v/>
      </c>
      <c r="E474" s="22" t="str" cm="1">
        <f t="array" ref="E474">IF(ROWS($E$7:E474)&gt;COUNTIF('[1]U$S'!$H$5:$H$1008,$L$5),"",INDEX(CuentaUS,_xlfn.AGGREGATE(15,6,ROW('[1]U$S'!$H$5:$H$1008)-ROW('[1]U$S'!$O$5)+1/--('[1]U$S'!$H$5:$H$1008=$L$5),ROWS($E$7:E474)),6))</f>
        <v/>
      </c>
      <c r="F474" s="22" t="str">
        <f>IF(E474="","",IF(E474&gt;0,SUMIFS('[1]UY$'!$L$5:$L$993,'[1]UY$'!$O$5:$O$993,"Cambio",'[1]UY$'!$E$5:$E$993,'Efecto TC'!D474),""))</f>
        <v/>
      </c>
      <c r="G474" s="23" t="str">
        <f t="shared" si="57"/>
        <v/>
      </c>
      <c r="H474" s="22" t="str">
        <f t="shared" si="58"/>
        <v/>
      </c>
      <c r="I474" s="54" t="str">
        <f t="shared" si="62"/>
        <v/>
      </c>
      <c r="R474" s="24" t="e">
        <f t="shared" si="59"/>
        <v>#VALUE!</v>
      </c>
      <c r="S474" s="25" t="e">
        <f t="shared" si="56"/>
        <v>#VALUE!</v>
      </c>
    </row>
    <row r="475" spans="1:19" x14ac:dyDescent="0.25">
      <c r="A475" t="e">
        <f t="shared" si="60"/>
        <v>#VALUE!</v>
      </c>
      <c r="B475" t="e">
        <f t="shared" si="61"/>
        <v>#VALUE!</v>
      </c>
      <c r="D475" s="21" t="str" cm="1">
        <f t="array" ref="D475">IF(ROWS($D$7:D475)&gt;COUNTIF('[1]U$S'!$H$5:$H$1008,$L$5),"",INDEX(CuentaUS,_xlfn.AGGREGATE(15,6,ROW('[1]U$S'!$H$5:$H$1008)-ROW('[1]U$S'!$O$5)+1/--('[1]U$S'!$H$5:$H$1008=$L$5),ROWS($D$7:D475)),1))</f>
        <v/>
      </c>
      <c r="E475" s="22" t="str" cm="1">
        <f t="array" ref="E475">IF(ROWS($E$7:E475)&gt;COUNTIF('[1]U$S'!$H$5:$H$1008,$L$5),"",INDEX(CuentaUS,_xlfn.AGGREGATE(15,6,ROW('[1]U$S'!$H$5:$H$1008)-ROW('[1]U$S'!$O$5)+1/--('[1]U$S'!$H$5:$H$1008=$L$5),ROWS($E$7:E475)),6))</f>
        <v/>
      </c>
      <c r="F475" s="22" t="str">
        <f>IF(E475="","",IF(E475&gt;0,SUMIFS('[1]UY$'!$L$5:$L$993,'[1]UY$'!$O$5:$O$993,"Cambio",'[1]UY$'!$E$5:$E$993,'Efecto TC'!D475),""))</f>
        <v/>
      </c>
      <c r="G475" s="23" t="str">
        <f t="shared" si="57"/>
        <v/>
      </c>
      <c r="H475" s="22" t="str">
        <f t="shared" si="58"/>
        <v/>
      </c>
      <c r="I475" s="54" t="str">
        <f t="shared" si="62"/>
        <v/>
      </c>
      <c r="R475" s="24" t="e">
        <f t="shared" si="59"/>
        <v>#VALUE!</v>
      </c>
      <c r="S475" s="25" t="e">
        <f t="shared" ref="S475:S538" si="63">R475*G469</f>
        <v>#VALUE!</v>
      </c>
    </row>
    <row r="476" spans="1:19" x14ac:dyDescent="0.25">
      <c r="A476" t="e">
        <f t="shared" si="60"/>
        <v>#VALUE!</v>
      </c>
      <c r="B476" t="e">
        <f t="shared" si="61"/>
        <v>#VALUE!</v>
      </c>
      <c r="D476" s="21" t="str" cm="1">
        <f t="array" ref="D476">IF(ROWS($D$7:D476)&gt;COUNTIF('[1]U$S'!$H$5:$H$1008,$L$5),"",INDEX(CuentaUS,_xlfn.AGGREGATE(15,6,ROW('[1]U$S'!$H$5:$H$1008)-ROW('[1]U$S'!$O$5)+1/--('[1]U$S'!$H$5:$H$1008=$L$5),ROWS($D$7:D476)),1))</f>
        <v/>
      </c>
      <c r="E476" s="22" t="str" cm="1">
        <f t="array" ref="E476">IF(ROWS($E$7:E476)&gt;COUNTIF('[1]U$S'!$H$5:$H$1008,$L$5),"",INDEX(CuentaUS,_xlfn.AGGREGATE(15,6,ROW('[1]U$S'!$H$5:$H$1008)-ROW('[1]U$S'!$O$5)+1/--('[1]U$S'!$H$5:$H$1008=$L$5),ROWS($E$7:E476)),6))</f>
        <v/>
      </c>
      <c r="F476" s="22" t="str">
        <f>IF(E476="","",IF(E476&gt;0,SUMIFS('[1]UY$'!$L$5:$L$993,'[1]UY$'!$O$5:$O$993,"Cambio",'[1]UY$'!$E$5:$E$993,'Efecto TC'!D476),""))</f>
        <v/>
      </c>
      <c r="G476" s="23" t="str">
        <f t="shared" si="57"/>
        <v/>
      </c>
      <c r="H476" s="22" t="str">
        <f t="shared" si="58"/>
        <v/>
      </c>
      <c r="I476" s="54" t="str">
        <f t="shared" si="62"/>
        <v/>
      </c>
      <c r="R476" s="24" t="e">
        <f t="shared" si="59"/>
        <v>#VALUE!</v>
      </c>
      <c r="S476" s="25" t="e">
        <f t="shared" si="63"/>
        <v>#VALUE!</v>
      </c>
    </row>
    <row r="477" spans="1:19" x14ac:dyDescent="0.25">
      <c r="A477" t="e">
        <f t="shared" si="60"/>
        <v>#VALUE!</v>
      </c>
      <c r="B477" t="e">
        <f t="shared" si="61"/>
        <v>#VALUE!</v>
      </c>
      <c r="D477" s="21" t="str" cm="1">
        <f t="array" ref="D477">IF(ROWS($D$7:D477)&gt;COUNTIF('[1]U$S'!$H$5:$H$1008,$L$5),"",INDEX(CuentaUS,_xlfn.AGGREGATE(15,6,ROW('[1]U$S'!$H$5:$H$1008)-ROW('[1]U$S'!$O$5)+1/--('[1]U$S'!$H$5:$H$1008=$L$5),ROWS($D$7:D477)),1))</f>
        <v/>
      </c>
      <c r="E477" s="22" t="str" cm="1">
        <f t="array" ref="E477">IF(ROWS($E$7:E477)&gt;COUNTIF('[1]U$S'!$H$5:$H$1008,$L$5),"",INDEX(CuentaUS,_xlfn.AGGREGATE(15,6,ROW('[1]U$S'!$H$5:$H$1008)-ROW('[1]U$S'!$O$5)+1/--('[1]U$S'!$H$5:$H$1008=$L$5),ROWS($E$7:E477)),6))</f>
        <v/>
      </c>
      <c r="F477" s="22" t="str">
        <f>IF(E477="","",IF(E477&gt;0,SUMIFS('[1]UY$'!$L$5:$L$993,'[1]UY$'!$O$5:$O$993,"Cambio",'[1]UY$'!$E$5:$E$993,'Efecto TC'!D477),""))</f>
        <v/>
      </c>
      <c r="G477" s="23" t="str">
        <f t="shared" si="57"/>
        <v/>
      </c>
      <c r="H477" s="22" t="str">
        <f t="shared" si="58"/>
        <v/>
      </c>
      <c r="I477" s="54" t="str">
        <f t="shared" si="62"/>
        <v/>
      </c>
      <c r="R477" s="24" t="e">
        <f t="shared" si="59"/>
        <v>#VALUE!</v>
      </c>
      <c r="S477" s="25" t="e">
        <f t="shared" si="63"/>
        <v>#VALUE!</v>
      </c>
    </row>
    <row r="478" spans="1:19" x14ac:dyDescent="0.25">
      <c r="A478" t="e">
        <f t="shared" si="60"/>
        <v>#VALUE!</v>
      </c>
      <c r="B478" t="e">
        <f t="shared" si="61"/>
        <v>#VALUE!</v>
      </c>
      <c r="D478" s="21" t="str" cm="1">
        <f t="array" ref="D478">IF(ROWS($D$7:D478)&gt;COUNTIF('[1]U$S'!$H$5:$H$1008,$L$5),"",INDEX(CuentaUS,_xlfn.AGGREGATE(15,6,ROW('[1]U$S'!$H$5:$H$1008)-ROW('[1]U$S'!$O$5)+1/--('[1]U$S'!$H$5:$H$1008=$L$5),ROWS($D$7:D478)),1))</f>
        <v/>
      </c>
      <c r="E478" s="22" t="str" cm="1">
        <f t="array" ref="E478">IF(ROWS($E$7:E478)&gt;COUNTIF('[1]U$S'!$H$5:$H$1008,$L$5),"",INDEX(CuentaUS,_xlfn.AGGREGATE(15,6,ROW('[1]U$S'!$H$5:$H$1008)-ROW('[1]U$S'!$O$5)+1/--('[1]U$S'!$H$5:$H$1008=$L$5),ROWS($E$7:E478)),6))</f>
        <v/>
      </c>
      <c r="F478" s="22" t="str">
        <f>IF(E478="","",IF(E478&gt;0,SUMIFS('[1]UY$'!$L$5:$L$993,'[1]UY$'!$O$5:$O$993,"Cambio",'[1]UY$'!$E$5:$E$993,'Efecto TC'!D478),""))</f>
        <v/>
      </c>
      <c r="G478" s="23" t="str">
        <f t="shared" si="57"/>
        <v/>
      </c>
      <c r="H478" s="22" t="str">
        <f t="shared" si="58"/>
        <v/>
      </c>
      <c r="I478" s="54" t="str">
        <f t="shared" si="62"/>
        <v/>
      </c>
      <c r="R478" s="24" t="e">
        <f t="shared" si="59"/>
        <v>#VALUE!</v>
      </c>
      <c r="S478" s="25" t="e">
        <f t="shared" si="63"/>
        <v>#VALUE!</v>
      </c>
    </row>
    <row r="479" spans="1:19" x14ac:dyDescent="0.25">
      <c r="A479" t="e">
        <f t="shared" si="60"/>
        <v>#VALUE!</v>
      </c>
      <c r="B479" t="e">
        <f t="shared" si="61"/>
        <v>#VALUE!</v>
      </c>
      <c r="D479" s="21" t="str" cm="1">
        <f t="array" ref="D479">IF(ROWS($D$7:D479)&gt;COUNTIF('[1]U$S'!$H$5:$H$1008,$L$5),"",INDEX(CuentaUS,_xlfn.AGGREGATE(15,6,ROW('[1]U$S'!$H$5:$H$1008)-ROW('[1]U$S'!$O$5)+1/--('[1]U$S'!$H$5:$H$1008=$L$5),ROWS($D$7:D479)),1))</f>
        <v/>
      </c>
      <c r="E479" s="22" t="str" cm="1">
        <f t="array" ref="E479">IF(ROWS($E$7:E479)&gt;COUNTIF('[1]U$S'!$H$5:$H$1008,$L$5),"",INDEX(CuentaUS,_xlfn.AGGREGATE(15,6,ROW('[1]U$S'!$H$5:$H$1008)-ROW('[1]U$S'!$O$5)+1/--('[1]U$S'!$H$5:$H$1008=$L$5),ROWS($E$7:E479)),6))</f>
        <v/>
      </c>
      <c r="F479" s="22" t="str">
        <f>IF(E479="","",IF(E479&gt;0,SUMIFS('[1]UY$'!$L$5:$L$993,'[1]UY$'!$O$5:$O$993,"Cambio",'[1]UY$'!$E$5:$E$993,'Efecto TC'!D479),""))</f>
        <v/>
      </c>
      <c r="G479" s="23" t="str">
        <f t="shared" si="57"/>
        <v/>
      </c>
      <c r="H479" s="22" t="str">
        <f t="shared" si="58"/>
        <v/>
      </c>
      <c r="I479" s="54" t="str">
        <f t="shared" si="62"/>
        <v/>
      </c>
      <c r="R479" s="24" t="e">
        <f t="shared" si="59"/>
        <v>#VALUE!</v>
      </c>
      <c r="S479" s="25" t="e">
        <f t="shared" si="63"/>
        <v>#VALUE!</v>
      </c>
    </row>
    <row r="480" spans="1:19" x14ac:dyDescent="0.25">
      <c r="A480" t="e">
        <f t="shared" si="60"/>
        <v>#VALUE!</v>
      </c>
      <c r="B480" t="e">
        <f t="shared" si="61"/>
        <v>#VALUE!</v>
      </c>
      <c r="D480" s="21" t="str" cm="1">
        <f t="array" ref="D480">IF(ROWS($D$7:D480)&gt;COUNTIF('[1]U$S'!$H$5:$H$1008,$L$5),"",INDEX(CuentaUS,_xlfn.AGGREGATE(15,6,ROW('[1]U$S'!$H$5:$H$1008)-ROW('[1]U$S'!$O$5)+1/--('[1]U$S'!$H$5:$H$1008=$L$5),ROWS($D$7:D480)),1))</f>
        <v/>
      </c>
      <c r="E480" s="22" t="str" cm="1">
        <f t="array" ref="E480">IF(ROWS($E$7:E480)&gt;COUNTIF('[1]U$S'!$H$5:$H$1008,$L$5),"",INDEX(CuentaUS,_xlfn.AGGREGATE(15,6,ROW('[1]U$S'!$H$5:$H$1008)-ROW('[1]U$S'!$O$5)+1/--('[1]U$S'!$H$5:$H$1008=$L$5),ROWS($E$7:E480)),6))</f>
        <v/>
      </c>
      <c r="F480" s="22" t="str">
        <f>IF(E480="","",IF(E480&gt;0,SUMIFS('[1]UY$'!$L$5:$L$993,'[1]UY$'!$O$5:$O$993,"Cambio",'[1]UY$'!$E$5:$E$993,'Efecto TC'!D480),""))</f>
        <v/>
      </c>
      <c r="G480" s="23" t="str">
        <f t="shared" si="57"/>
        <v/>
      </c>
      <c r="H480" s="22" t="str">
        <f t="shared" si="58"/>
        <v/>
      </c>
      <c r="I480" s="54" t="str">
        <f t="shared" si="62"/>
        <v/>
      </c>
      <c r="R480" s="24" t="e">
        <f t="shared" si="59"/>
        <v>#VALUE!</v>
      </c>
      <c r="S480" s="25" t="e">
        <f t="shared" si="63"/>
        <v>#VALUE!</v>
      </c>
    </row>
    <row r="481" spans="1:19" x14ac:dyDescent="0.25">
      <c r="A481" t="e">
        <f t="shared" si="60"/>
        <v>#VALUE!</v>
      </c>
      <c r="B481" t="e">
        <f t="shared" si="61"/>
        <v>#VALUE!</v>
      </c>
      <c r="D481" s="21" t="str" cm="1">
        <f t="array" ref="D481">IF(ROWS($D$7:D481)&gt;COUNTIF('[1]U$S'!$H$5:$H$1008,$L$5),"",INDEX(CuentaUS,_xlfn.AGGREGATE(15,6,ROW('[1]U$S'!$H$5:$H$1008)-ROW('[1]U$S'!$O$5)+1/--('[1]U$S'!$H$5:$H$1008=$L$5),ROWS($D$7:D481)),1))</f>
        <v/>
      </c>
      <c r="E481" s="22" t="str" cm="1">
        <f t="array" ref="E481">IF(ROWS($E$7:E481)&gt;COUNTIF('[1]U$S'!$H$5:$H$1008,$L$5),"",INDEX(CuentaUS,_xlfn.AGGREGATE(15,6,ROW('[1]U$S'!$H$5:$H$1008)-ROW('[1]U$S'!$O$5)+1/--('[1]U$S'!$H$5:$H$1008=$L$5),ROWS($E$7:E481)),6))</f>
        <v/>
      </c>
      <c r="F481" s="22" t="str">
        <f>IF(E481="","",IF(E481&gt;0,SUMIFS('[1]UY$'!$L$5:$L$993,'[1]UY$'!$O$5:$O$993,"Cambio",'[1]UY$'!$E$5:$E$993,'Efecto TC'!D481),""))</f>
        <v/>
      </c>
      <c r="G481" s="23" t="str">
        <f t="shared" si="57"/>
        <v/>
      </c>
      <c r="H481" s="22" t="str">
        <f t="shared" si="58"/>
        <v/>
      </c>
      <c r="I481" s="54" t="str">
        <f t="shared" si="62"/>
        <v/>
      </c>
      <c r="R481" s="24" t="e">
        <f t="shared" si="59"/>
        <v>#VALUE!</v>
      </c>
      <c r="S481" s="25" t="e">
        <f t="shared" si="63"/>
        <v>#VALUE!</v>
      </c>
    </row>
    <row r="482" spans="1:19" x14ac:dyDescent="0.25">
      <c r="A482" t="e">
        <f t="shared" si="60"/>
        <v>#VALUE!</v>
      </c>
      <c r="B482" t="e">
        <f t="shared" si="61"/>
        <v>#VALUE!</v>
      </c>
      <c r="D482" s="21" t="str" cm="1">
        <f t="array" ref="D482">IF(ROWS($D$7:D482)&gt;COUNTIF('[1]U$S'!$H$5:$H$1008,$L$5),"",INDEX(CuentaUS,_xlfn.AGGREGATE(15,6,ROW('[1]U$S'!$H$5:$H$1008)-ROW('[1]U$S'!$O$5)+1/--('[1]U$S'!$H$5:$H$1008=$L$5),ROWS($D$7:D482)),1))</f>
        <v/>
      </c>
      <c r="E482" s="22" t="str" cm="1">
        <f t="array" ref="E482">IF(ROWS($E$7:E482)&gt;COUNTIF('[1]U$S'!$H$5:$H$1008,$L$5),"",INDEX(CuentaUS,_xlfn.AGGREGATE(15,6,ROW('[1]U$S'!$H$5:$H$1008)-ROW('[1]U$S'!$O$5)+1/--('[1]U$S'!$H$5:$H$1008=$L$5),ROWS($E$7:E482)),6))</f>
        <v/>
      </c>
      <c r="F482" s="22" t="str">
        <f>IF(E482="","",IF(E482&gt;0,SUMIFS('[1]UY$'!$L$5:$L$993,'[1]UY$'!$O$5:$O$993,"Cambio",'[1]UY$'!$E$5:$E$993,'Efecto TC'!D482),""))</f>
        <v/>
      </c>
      <c r="G482" s="23" t="str">
        <f t="shared" ref="G482:G545" si="64">IF(F482="","",F482/E482)</f>
        <v/>
      </c>
      <c r="H482" s="22" t="str">
        <f t="shared" ref="H482:H545" si="65">IF(E482="","",F482/$F$2-F482/G482)</f>
        <v/>
      </c>
      <c r="I482" s="54" t="str">
        <f t="shared" si="62"/>
        <v/>
      </c>
      <c r="R482" s="24" t="e">
        <f t="shared" ref="R482:R545" si="66">E482/$E$1001</f>
        <v>#VALUE!</v>
      </c>
      <c r="S482" s="25" t="e">
        <f t="shared" si="63"/>
        <v>#VALUE!</v>
      </c>
    </row>
    <row r="483" spans="1:19" x14ac:dyDescent="0.25">
      <c r="A483" t="e">
        <f t="shared" si="60"/>
        <v>#VALUE!</v>
      </c>
      <c r="B483" t="e">
        <f t="shared" si="61"/>
        <v>#VALUE!</v>
      </c>
      <c r="D483" s="21" t="str" cm="1">
        <f t="array" ref="D483">IF(ROWS($D$7:D483)&gt;COUNTIF('[1]U$S'!$H$5:$H$1008,$L$5),"",INDEX(CuentaUS,_xlfn.AGGREGATE(15,6,ROW('[1]U$S'!$H$5:$H$1008)-ROW('[1]U$S'!$O$5)+1/--('[1]U$S'!$H$5:$H$1008=$L$5),ROWS($D$7:D483)),1))</f>
        <v/>
      </c>
      <c r="E483" s="22" t="str" cm="1">
        <f t="array" ref="E483">IF(ROWS($E$7:E483)&gt;COUNTIF('[1]U$S'!$H$5:$H$1008,$L$5),"",INDEX(CuentaUS,_xlfn.AGGREGATE(15,6,ROW('[1]U$S'!$H$5:$H$1008)-ROW('[1]U$S'!$O$5)+1/--('[1]U$S'!$H$5:$H$1008=$L$5),ROWS($E$7:E483)),6))</f>
        <v/>
      </c>
      <c r="F483" s="22" t="str">
        <f>IF(E483="","",IF(E483&gt;0,SUMIFS('[1]UY$'!$L$5:$L$993,'[1]UY$'!$O$5:$O$993,"Cambio",'[1]UY$'!$E$5:$E$993,'Efecto TC'!D483),""))</f>
        <v/>
      </c>
      <c r="G483" s="23" t="str">
        <f t="shared" si="64"/>
        <v/>
      </c>
      <c r="H483" s="22" t="str">
        <f t="shared" si="65"/>
        <v/>
      </c>
      <c r="I483" s="54" t="str">
        <f t="shared" si="62"/>
        <v/>
      </c>
      <c r="R483" s="24" t="e">
        <f t="shared" si="66"/>
        <v>#VALUE!</v>
      </c>
      <c r="S483" s="25" t="e">
        <f t="shared" si="63"/>
        <v>#VALUE!</v>
      </c>
    </row>
    <row r="484" spans="1:19" x14ac:dyDescent="0.25">
      <c r="A484" t="e">
        <f t="shared" si="60"/>
        <v>#VALUE!</v>
      </c>
      <c r="B484" t="e">
        <f t="shared" si="61"/>
        <v>#VALUE!</v>
      </c>
      <c r="D484" s="21" t="str" cm="1">
        <f t="array" ref="D484">IF(ROWS($D$7:D484)&gt;COUNTIF('[1]U$S'!$H$5:$H$1008,$L$5),"",INDEX(CuentaUS,_xlfn.AGGREGATE(15,6,ROW('[1]U$S'!$H$5:$H$1008)-ROW('[1]U$S'!$O$5)+1/--('[1]U$S'!$H$5:$H$1008=$L$5),ROWS($D$7:D484)),1))</f>
        <v/>
      </c>
      <c r="E484" s="22" t="str" cm="1">
        <f t="array" ref="E484">IF(ROWS($E$7:E484)&gt;COUNTIF('[1]U$S'!$H$5:$H$1008,$L$5),"",INDEX(CuentaUS,_xlfn.AGGREGATE(15,6,ROW('[1]U$S'!$H$5:$H$1008)-ROW('[1]U$S'!$O$5)+1/--('[1]U$S'!$H$5:$H$1008=$L$5),ROWS($E$7:E484)),6))</f>
        <v/>
      </c>
      <c r="F484" s="22" t="str">
        <f>IF(E484="","",IF(E484&gt;0,SUMIFS('[1]UY$'!$L$5:$L$993,'[1]UY$'!$O$5:$O$993,"Cambio",'[1]UY$'!$E$5:$E$993,'Efecto TC'!D484),""))</f>
        <v/>
      </c>
      <c r="G484" s="23" t="str">
        <f t="shared" si="64"/>
        <v/>
      </c>
      <c r="H484" s="22" t="str">
        <f t="shared" si="65"/>
        <v/>
      </c>
      <c r="I484" s="54" t="str">
        <f t="shared" si="62"/>
        <v/>
      </c>
      <c r="R484" s="24" t="e">
        <f t="shared" si="66"/>
        <v>#VALUE!</v>
      </c>
      <c r="S484" s="25" t="e">
        <f t="shared" si="63"/>
        <v>#VALUE!</v>
      </c>
    </row>
    <row r="485" spans="1:19" x14ac:dyDescent="0.25">
      <c r="A485" t="e">
        <f t="shared" si="60"/>
        <v>#VALUE!</v>
      </c>
      <c r="B485" t="e">
        <f t="shared" si="61"/>
        <v>#VALUE!</v>
      </c>
      <c r="D485" s="21" t="str" cm="1">
        <f t="array" ref="D485">IF(ROWS($D$7:D485)&gt;COUNTIF('[1]U$S'!$H$5:$H$1008,$L$5),"",INDEX(CuentaUS,_xlfn.AGGREGATE(15,6,ROW('[1]U$S'!$H$5:$H$1008)-ROW('[1]U$S'!$O$5)+1/--('[1]U$S'!$H$5:$H$1008=$L$5),ROWS($D$7:D485)),1))</f>
        <v/>
      </c>
      <c r="E485" s="22" t="str" cm="1">
        <f t="array" ref="E485">IF(ROWS($E$7:E485)&gt;COUNTIF('[1]U$S'!$H$5:$H$1008,$L$5),"",INDEX(CuentaUS,_xlfn.AGGREGATE(15,6,ROW('[1]U$S'!$H$5:$H$1008)-ROW('[1]U$S'!$O$5)+1/--('[1]U$S'!$H$5:$H$1008=$L$5),ROWS($E$7:E485)),6))</f>
        <v/>
      </c>
      <c r="F485" s="22" t="str">
        <f>IF(E485="","",IF(E485&gt;0,SUMIFS('[1]UY$'!$L$5:$L$993,'[1]UY$'!$O$5:$O$993,"Cambio",'[1]UY$'!$E$5:$E$993,'Efecto TC'!D485),""))</f>
        <v/>
      </c>
      <c r="G485" s="23" t="str">
        <f t="shared" si="64"/>
        <v/>
      </c>
      <c r="H485" s="22" t="str">
        <f t="shared" si="65"/>
        <v/>
      </c>
      <c r="I485" s="54" t="str">
        <f t="shared" si="62"/>
        <v/>
      </c>
      <c r="R485" s="24" t="e">
        <f t="shared" si="66"/>
        <v>#VALUE!</v>
      </c>
      <c r="S485" s="25" t="e">
        <f t="shared" si="63"/>
        <v>#VALUE!</v>
      </c>
    </row>
    <row r="486" spans="1:19" x14ac:dyDescent="0.25">
      <c r="A486" t="e">
        <f t="shared" si="60"/>
        <v>#VALUE!</v>
      </c>
      <c r="B486" t="e">
        <f t="shared" si="61"/>
        <v>#VALUE!</v>
      </c>
      <c r="D486" s="21" t="str" cm="1">
        <f t="array" ref="D486">IF(ROWS($D$7:D486)&gt;COUNTIF('[1]U$S'!$H$5:$H$1008,$L$5),"",INDEX(CuentaUS,_xlfn.AGGREGATE(15,6,ROW('[1]U$S'!$H$5:$H$1008)-ROW('[1]U$S'!$O$5)+1/--('[1]U$S'!$H$5:$H$1008=$L$5),ROWS($D$7:D486)),1))</f>
        <v/>
      </c>
      <c r="E486" s="22" t="str" cm="1">
        <f t="array" ref="E486">IF(ROWS($E$7:E486)&gt;COUNTIF('[1]U$S'!$H$5:$H$1008,$L$5),"",INDEX(CuentaUS,_xlfn.AGGREGATE(15,6,ROW('[1]U$S'!$H$5:$H$1008)-ROW('[1]U$S'!$O$5)+1/--('[1]U$S'!$H$5:$H$1008=$L$5),ROWS($E$7:E486)),6))</f>
        <v/>
      </c>
      <c r="F486" s="22" t="str">
        <f>IF(E486="","",IF(E486&gt;0,SUMIFS('[1]UY$'!$L$5:$L$993,'[1]UY$'!$O$5:$O$993,"Cambio",'[1]UY$'!$E$5:$E$993,'Efecto TC'!D486),""))</f>
        <v/>
      </c>
      <c r="G486" s="23" t="str">
        <f t="shared" si="64"/>
        <v/>
      </c>
      <c r="H486" s="22" t="str">
        <f t="shared" si="65"/>
        <v/>
      </c>
      <c r="I486" s="54" t="str">
        <f t="shared" si="62"/>
        <v/>
      </c>
      <c r="R486" s="24" t="e">
        <f t="shared" si="66"/>
        <v>#VALUE!</v>
      </c>
      <c r="S486" s="25" t="e">
        <f t="shared" si="63"/>
        <v>#VALUE!</v>
      </c>
    </row>
    <row r="487" spans="1:19" x14ac:dyDescent="0.25">
      <c r="A487" t="e">
        <f t="shared" si="60"/>
        <v>#VALUE!</v>
      </c>
      <c r="B487" t="e">
        <f t="shared" si="61"/>
        <v>#VALUE!</v>
      </c>
      <c r="D487" s="21" t="str" cm="1">
        <f t="array" ref="D487">IF(ROWS($D$7:D487)&gt;COUNTIF('[1]U$S'!$H$5:$H$1008,$L$5),"",INDEX(CuentaUS,_xlfn.AGGREGATE(15,6,ROW('[1]U$S'!$H$5:$H$1008)-ROW('[1]U$S'!$O$5)+1/--('[1]U$S'!$H$5:$H$1008=$L$5),ROWS($D$7:D487)),1))</f>
        <v/>
      </c>
      <c r="E487" s="22" t="str" cm="1">
        <f t="array" ref="E487">IF(ROWS($E$7:E487)&gt;COUNTIF('[1]U$S'!$H$5:$H$1008,$L$5),"",INDEX(CuentaUS,_xlfn.AGGREGATE(15,6,ROW('[1]U$S'!$H$5:$H$1008)-ROW('[1]U$S'!$O$5)+1/--('[1]U$S'!$H$5:$H$1008=$L$5),ROWS($E$7:E487)),6))</f>
        <v/>
      </c>
      <c r="F487" s="22" t="str">
        <f>IF(E487="","",IF(E487&gt;0,SUMIFS('[1]UY$'!$L$5:$L$993,'[1]UY$'!$O$5:$O$993,"Cambio",'[1]UY$'!$E$5:$E$993,'Efecto TC'!D487),""))</f>
        <v/>
      </c>
      <c r="G487" s="23" t="str">
        <f t="shared" si="64"/>
        <v/>
      </c>
      <c r="H487" s="22" t="str">
        <f t="shared" si="65"/>
        <v/>
      </c>
      <c r="I487" s="54" t="str">
        <f t="shared" si="62"/>
        <v/>
      </c>
      <c r="R487" s="24" t="e">
        <f t="shared" si="66"/>
        <v>#VALUE!</v>
      </c>
      <c r="S487" s="25" t="e">
        <f t="shared" si="63"/>
        <v>#VALUE!</v>
      </c>
    </row>
    <row r="488" spans="1:19" x14ac:dyDescent="0.25">
      <c r="A488" t="e">
        <f t="shared" si="60"/>
        <v>#VALUE!</v>
      </c>
      <c r="B488" t="e">
        <f t="shared" si="61"/>
        <v>#VALUE!</v>
      </c>
      <c r="D488" s="21" t="str" cm="1">
        <f t="array" ref="D488">IF(ROWS($D$7:D488)&gt;COUNTIF('[1]U$S'!$H$5:$H$1008,$L$5),"",INDEX(CuentaUS,_xlfn.AGGREGATE(15,6,ROW('[1]U$S'!$H$5:$H$1008)-ROW('[1]U$S'!$O$5)+1/--('[1]U$S'!$H$5:$H$1008=$L$5),ROWS($D$7:D488)),1))</f>
        <v/>
      </c>
      <c r="E488" s="22" t="str" cm="1">
        <f t="array" ref="E488">IF(ROWS($E$7:E488)&gt;COUNTIF('[1]U$S'!$H$5:$H$1008,$L$5),"",INDEX(CuentaUS,_xlfn.AGGREGATE(15,6,ROW('[1]U$S'!$H$5:$H$1008)-ROW('[1]U$S'!$O$5)+1/--('[1]U$S'!$H$5:$H$1008=$L$5),ROWS($E$7:E488)),6))</f>
        <v/>
      </c>
      <c r="F488" s="22" t="str">
        <f>IF(E488="","",IF(E488&gt;0,SUMIFS('[1]UY$'!$L$5:$L$993,'[1]UY$'!$O$5:$O$993,"Cambio",'[1]UY$'!$E$5:$E$993,'Efecto TC'!D488),""))</f>
        <v/>
      </c>
      <c r="G488" s="23" t="str">
        <f t="shared" si="64"/>
        <v/>
      </c>
      <c r="H488" s="22" t="str">
        <f t="shared" si="65"/>
        <v/>
      </c>
      <c r="I488" s="54" t="str">
        <f t="shared" si="62"/>
        <v/>
      </c>
      <c r="R488" s="24" t="e">
        <f t="shared" si="66"/>
        <v>#VALUE!</v>
      </c>
      <c r="S488" s="25" t="e">
        <f t="shared" si="63"/>
        <v>#VALUE!</v>
      </c>
    </row>
    <row r="489" spans="1:19" x14ac:dyDescent="0.25">
      <c r="A489" t="e">
        <f t="shared" si="60"/>
        <v>#VALUE!</v>
      </c>
      <c r="B489" t="e">
        <f t="shared" si="61"/>
        <v>#VALUE!</v>
      </c>
      <c r="D489" s="21" t="str" cm="1">
        <f t="array" ref="D489">IF(ROWS($D$7:D489)&gt;COUNTIF('[1]U$S'!$H$5:$H$1008,$L$5),"",INDEX(CuentaUS,_xlfn.AGGREGATE(15,6,ROW('[1]U$S'!$H$5:$H$1008)-ROW('[1]U$S'!$O$5)+1/--('[1]U$S'!$H$5:$H$1008=$L$5),ROWS($D$7:D489)),1))</f>
        <v/>
      </c>
      <c r="E489" s="22" t="str" cm="1">
        <f t="array" ref="E489">IF(ROWS($E$7:E489)&gt;COUNTIF('[1]U$S'!$H$5:$H$1008,$L$5),"",INDEX(CuentaUS,_xlfn.AGGREGATE(15,6,ROW('[1]U$S'!$H$5:$H$1008)-ROW('[1]U$S'!$O$5)+1/--('[1]U$S'!$H$5:$H$1008=$L$5),ROWS($E$7:E489)),6))</f>
        <v/>
      </c>
      <c r="F489" s="22" t="str">
        <f>IF(E489="","",IF(E489&gt;0,SUMIFS('[1]UY$'!$L$5:$L$993,'[1]UY$'!$O$5:$O$993,"Cambio",'[1]UY$'!$E$5:$E$993,'Efecto TC'!D489),""))</f>
        <v/>
      </c>
      <c r="G489" s="23" t="str">
        <f t="shared" si="64"/>
        <v/>
      </c>
      <c r="H489" s="22" t="str">
        <f t="shared" si="65"/>
        <v/>
      </c>
      <c r="I489" s="54" t="str">
        <f t="shared" si="62"/>
        <v/>
      </c>
      <c r="R489" s="24" t="e">
        <f t="shared" si="66"/>
        <v>#VALUE!</v>
      </c>
      <c r="S489" s="25" t="e">
        <f t="shared" si="63"/>
        <v>#VALUE!</v>
      </c>
    </row>
    <row r="490" spans="1:19" x14ac:dyDescent="0.25">
      <c r="A490" t="e">
        <f t="shared" si="60"/>
        <v>#VALUE!</v>
      </c>
      <c r="B490" t="e">
        <f t="shared" si="61"/>
        <v>#VALUE!</v>
      </c>
      <c r="D490" s="21" t="str" cm="1">
        <f t="array" ref="D490">IF(ROWS($D$7:D490)&gt;COUNTIF('[1]U$S'!$H$5:$H$1008,$L$5),"",INDEX(CuentaUS,_xlfn.AGGREGATE(15,6,ROW('[1]U$S'!$H$5:$H$1008)-ROW('[1]U$S'!$O$5)+1/--('[1]U$S'!$H$5:$H$1008=$L$5),ROWS($D$7:D490)),1))</f>
        <v/>
      </c>
      <c r="E490" s="22" t="str" cm="1">
        <f t="array" ref="E490">IF(ROWS($E$7:E490)&gt;COUNTIF('[1]U$S'!$H$5:$H$1008,$L$5),"",INDEX(CuentaUS,_xlfn.AGGREGATE(15,6,ROW('[1]U$S'!$H$5:$H$1008)-ROW('[1]U$S'!$O$5)+1/--('[1]U$S'!$H$5:$H$1008=$L$5),ROWS($E$7:E490)),6))</f>
        <v/>
      </c>
      <c r="F490" s="22" t="str">
        <f>IF(E490="","",IF(E490&gt;0,SUMIFS('[1]UY$'!$L$5:$L$993,'[1]UY$'!$O$5:$O$993,"Cambio",'[1]UY$'!$E$5:$E$993,'Efecto TC'!D490),""))</f>
        <v/>
      </c>
      <c r="G490" s="23" t="str">
        <f t="shared" si="64"/>
        <v/>
      </c>
      <c r="H490" s="22" t="str">
        <f t="shared" si="65"/>
        <v/>
      </c>
      <c r="I490" s="54" t="str">
        <f t="shared" si="62"/>
        <v/>
      </c>
      <c r="R490" s="24" t="e">
        <f t="shared" si="66"/>
        <v>#VALUE!</v>
      </c>
      <c r="S490" s="25" t="e">
        <f t="shared" si="63"/>
        <v>#VALUE!</v>
      </c>
    </row>
    <row r="491" spans="1:19" x14ac:dyDescent="0.25">
      <c r="A491" t="e">
        <f t="shared" si="60"/>
        <v>#VALUE!</v>
      </c>
      <c r="B491" t="e">
        <f t="shared" si="61"/>
        <v>#VALUE!</v>
      </c>
      <c r="D491" s="21" t="str" cm="1">
        <f t="array" ref="D491">IF(ROWS($D$7:D491)&gt;COUNTIF('[1]U$S'!$H$5:$H$1008,$L$5),"",INDEX(CuentaUS,_xlfn.AGGREGATE(15,6,ROW('[1]U$S'!$H$5:$H$1008)-ROW('[1]U$S'!$O$5)+1/--('[1]U$S'!$H$5:$H$1008=$L$5),ROWS($D$7:D491)),1))</f>
        <v/>
      </c>
      <c r="E491" s="22" t="str" cm="1">
        <f t="array" ref="E491">IF(ROWS($E$7:E491)&gt;COUNTIF('[1]U$S'!$H$5:$H$1008,$L$5),"",INDEX(CuentaUS,_xlfn.AGGREGATE(15,6,ROW('[1]U$S'!$H$5:$H$1008)-ROW('[1]U$S'!$O$5)+1/--('[1]U$S'!$H$5:$H$1008=$L$5),ROWS($E$7:E491)),6))</f>
        <v/>
      </c>
      <c r="F491" s="22" t="str">
        <f>IF(E491="","",IF(E491&gt;0,SUMIFS('[1]UY$'!$L$5:$L$993,'[1]UY$'!$O$5:$O$993,"Cambio",'[1]UY$'!$E$5:$E$993,'Efecto TC'!D491),""))</f>
        <v/>
      </c>
      <c r="G491" s="23" t="str">
        <f t="shared" si="64"/>
        <v/>
      </c>
      <c r="H491" s="22" t="str">
        <f t="shared" si="65"/>
        <v/>
      </c>
      <c r="I491" s="54" t="str">
        <f t="shared" si="62"/>
        <v/>
      </c>
      <c r="R491" s="24" t="e">
        <f t="shared" si="66"/>
        <v>#VALUE!</v>
      </c>
      <c r="S491" s="25" t="e">
        <f t="shared" si="63"/>
        <v>#VALUE!</v>
      </c>
    </row>
    <row r="492" spans="1:19" x14ac:dyDescent="0.25">
      <c r="A492" t="e">
        <f t="shared" si="60"/>
        <v>#VALUE!</v>
      </c>
      <c r="B492" t="e">
        <f t="shared" si="61"/>
        <v>#VALUE!</v>
      </c>
      <c r="D492" s="21" t="str" cm="1">
        <f t="array" ref="D492">IF(ROWS($D$7:D492)&gt;COUNTIF('[1]U$S'!$H$5:$H$1008,$L$5),"",INDEX(CuentaUS,_xlfn.AGGREGATE(15,6,ROW('[1]U$S'!$H$5:$H$1008)-ROW('[1]U$S'!$O$5)+1/--('[1]U$S'!$H$5:$H$1008=$L$5),ROWS($D$7:D492)),1))</f>
        <v/>
      </c>
      <c r="E492" s="22" t="str" cm="1">
        <f t="array" ref="E492">IF(ROWS($E$7:E492)&gt;COUNTIF('[1]U$S'!$H$5:$H$1008,$L$5),"",INDEX(CuentaUS,_xlfn.AGGREGATE(15,6,ROW('[1]U$S'!$H$5:$H$1008)-ROW('[1]U$S'!$O$5)+1/--('[1]U$S'!$H$5:$H$1008=$L$5),ROWS($E$7:E492)),6))</f>
        <v/>
      </c>
      <c r="F492" s="22" t="str">
        <f>IF(E492="","",IF(E492&gt;0,SUMIFS('[1]UY$'!$L$5:$L$993,'[1]UY$'!$O$5:$O$993,"Cambio",'[1]UY$'!$E$5:$E$993,'Efecto TC'!D492),""))</f>
        <v/>
      </c>
      <c r="G492" s="23" t="str">
        <f t="shared" si="64"/>
        <v/>
      </c>
      <c r="H492" s="22" t="str">
        <f t="shared" si="65"/>
        <v/>
      </c>
      <c r="I492" s="54" t="str">
        <f t="shared" si="62"/>
        <v/>
      </c>
      <c r="R492" s="24" t="e">
        <f t="shared" si="66"/>
        <v>#VALUE!</v>
      </c>
      <c r="S492" s="25" t="e">
        <f t="shared" si="63"/>
        <v>#VALUE!</v>
      </c>
    </row>
    <row r="493" spans="1:19" x14ac:dyDescent="0.25">
      <c r="A493" t="e">
        <f t="shared" si="60"/>
        <v>#VALUE!</v>
      </c>
      <c r="B493" t="e">
        <f t="shared" si="61"/>
        <v>#VALUE!</v>
      </c>
      <c r="D493" s="21" t="str" cm="1">
        <f t="array" ref="D493">IF(ROWS($D$7:D493)&gt;COUNTIF('[1]U$S'!$H$5:$H$1008,$L$5),"",INDEX(CuentaUS,_xlfn.AGGREGATE(15,6,ROW('[1]U$S'!$H$5:$H$1008)-ROW('[1]U$S'!$O$5)+1/--('[1]U$S'!$H$5:$H$1008=$L$5),ROWS($D$7:D493)),1))</f>
        <v/>
      </c>
      <c r="E493" s="22" t="str" cm="1">
        <f t="array" ref="E493">IF(ROWS($E$7:E493)&gt;COUNTIF('[1]U$S'!$H$5:$H$1008,$L$5),"",INDEX(CuentaUS,_xlfn.AGGREGATE(15,6,ROW('[1]U$S'!$H$5:$H$1008)-ROW('[1]U$S'!$O$5)+1/--('[1]U$S'!$H$5:$H$1008=$L$5),ROWS($E$7:E493)),6))</f>
        <v/>
      </c>
      <c r="F493" s="22" t="str">
        <f>IF(E493="","",IF(E493&gt;0,SUMIFS('[1]UY$'!$L$5:$L$993,'[1]UY$'!$O$5:$O$993,"Cambio",'[1]UY$'!$E$5:$E$993,'Efecto TC'!D493),""))</f>
        <v/>
      </c>
      <c r="G493" s="23" t="str">
        <f t="shared" si="64"/>
        <v/>
      </c>
      <c r="H493" s="22" t="str">
        <f t="shared" si="65"/>
        <v/>
      </c>
      <c r="I493" s="54" t="str">
        <f t="shared" si="62"/>
        <v/>
      </c>
      <c r="R493" s="24" t="e">
        <f t="shared" si="66"/>
        <v>#VALUE!</v>
      </c>
      <c r="S493" s="25" t="e">
        <f t="shared" si="63"/>
        <v>#VALUE!</v>
      </c>
    </row>
    <row r="494" spans="1:19" x14ac:dyDescent="0.25">
      <c r="A494" t="e">
        <f t="shared" si="60"/>
        <v>#VALUE!</v>
      </c>
      <c r="B494" t="e">
        <f t="shared" si="61"/>
        <v>#VALUE!</v>
      </c>
      <c r="D494" s="21" t="str" cm="1">
        <f t="array" ref="D494">IF(ROWS($D$7:D494)&gt;COUNTIF('[1]U$S'!$H$5:$H$1008,$L$5),"",INDEX(CuentaUS,_xlfn.AGGREGATE(15,6,ROW('[1]U$S'!$H$5:$H$1008)-ROW('[1]U$S'!$O$5)+1/--('[1]U$S'!$H$5:$H$1008=$L$5),ROWS($D$7:D494)),1))</f>
        <v/>
      </c>
      <c r="E494" s="22" t="str" cm="1">
        <f t="array" ref="E494">IF(ROWS($E$7:E494)&gt;COUNTIF('[1]U$S'!$H$5:$H$1008,$L$5),"",INDEX(CuentaUS,_xlfn.AGGREGATE(15,6,ROW('[1]U$S'!$H$5:$H$1008)-ROW('[1]U$S'!$O$5)+1/--('[1]U$S'!$H$5:$H$1008=$L$5),ROWS($E$7:E494)),6))</f>
        <v/>
      </c>
      <c r="F494" s="22" t="str">
        <f>IF(E494="","",IF(E494&gt;0,SUMIFS('[1]UY$'!$L$5:$L$993,'[1]UY$'!$O$5:$O$993,"Cambio",'[1]UY$'!$E$5:$E$993,'Efecto TC'!D494),""))</f>
        <v/>
      </c>
      <c r="G494" s="23" t="str">
        <f t="shared" si="64"/>
        <v/>
      </c>
      <c r="H494" s="22" t="str">
        <f t="shared" si="65"/>
        <v/>
      </c>
      <c r="I494" s="54" t="str">
        <f t="shared" si="62"/>
        <v/>
      </c>
      <c r="R494" s="24" t="e">
        <f t="shared" si="66"/>
        <v>#VALUE!</v>
      </c>
      <c r="S494" s="25" t="e">
        <f t="shared" si="63"/>
        <v>#VALUE!</v>
      </c>
    </row>
    <row r="495" spans="1:19" x14ac:dyDescent="0.25">
      <c r="A495" t="e">
        <f t="shared" si="60"/>
        <v>#VALUE!</v>
      </c>
      <c r="B495" t="e">
        <f t="shared" si="61"/>
        <v>#VALUE!</v>
      </c>
      <c r="D495" s="21" t="str" cm="1">
        <f t="array" ref="D495">IF(ROWS($D$7:D495)&gt;COUNTIF('[1]U$S'!$H$5:$H$1008,$L$5),"",INDEX(CuentaUS,_xlfn.AGGREGATE(15,6,ROW('[1]U$S'!$H$5:$H$1008)-ROW('[1]U$S'!$O$5)+1/--('[1]U$S'!$H$5:$H$1008=$L$5),ROWS($D$7:D495)),1))</f>
        <v/>
      </c>
      <c r="E495" s="22" t="str" cm="1">
        <f t="array" ref="E495">IF(ROWS($E$7:E495)&gt;COUNTIF('[1]U$S'!$H$5:$H$1008,$L$5),"",INDEX(CuentaUS,_xlfn.AGGREGATE(15,6,ROW('[1]U$S'!$H$5:$H$1008)-ROW('[1]U$S'!$O$5)+1/--('[1]U$S'!$H$5:$H$1008=$L$5),ROWS($E$7:E495)),6))</f>
        <v/>
      </c>
      <c r="F495" s="22" t="str">
        <f>IF(E495="","",IF(E495&gt;0,SUMIFS('[1]UY$'!$L$5:$L$993,'[1]UY$'!$O$5:$O$993,"Cambio",'[1]UY$'!$E$5:$E$993,'Efecto TC'!D495),""))</f>
        <v/>
      </c>
      <c r="G495" s="23" t="str">
        <f t="shared" si="64"/>
        <v/>
      </c>
      <c r="H495" s="22" t="str">
        <f t="shared" si="65"/>
        <v/>
      </c>
      <c r="I495" s="54" t="str">
        <f t="shared" si="62"/>
        <v/>
      </c>
      <c r="R495" s="24" t="e">
        <f t="shared" si="66"/>
        <v>#VALUE!</v>
      </c>
      <c r="S495" s="25" t="e">
        <f t="shared" si="63"/>
        <v>#VALUE!</v>
      </c>
    </row>
    <row r="496" spans="1:19" x14ac:dyDescent="0.25">
      <c r="A496" t="e">
        <f t="shared" si="60"/>
        <v>#VALUE!</v>
      </c>
      <c r="B496" t="e">
        <f t="shared" si="61"/>
        <v>#VALUE!</v>
      </c>
      <c r="D496" s="21" t="str" cm="1">
        <f t="array" ref="D496">IF(ROWS($D$7:D496)&gt;COUNTIF('[1]U$S'!$H$5:$H$1008,$L$5),"",INDEX(CuentaUS,_xlfn.AGGREGATE(15,6,ROW('[1]U$S'!$H$5:$H$1008)-ROW('[1]U$S'!$O$5)+1/--('[1]U$S'!$H$5:$H$1008=$L$5),ROWS($D$7:D496)),1))</f>
        <v/>
      </c>
      <c r="E496" s="22" t="str" cm="1">
        <f t="array" ref="E496">IF(ROWS($E$7:E496)&gt;COUNTIF('[1]U$S'!$H$5:$H$1008,$L$5),"",INDEX(CuentaUS,_xlfn.AGGREGATE(15,6,ROW('[1]U$S'!$H$5:$H$1008)-ROW('[1]U$S'!$O$5)+1/--('[1]U$S'!$H$5:$H$1008=$L$5),ROWS($E$7:E496)),6))</f>
        <v/>
      </c>
      <c r="F496" s="22" t="str">
        <f>IF(E496="","",IF(E496&gt;0,SUMIFS('[1]UY$'!$L$5:$L$993,'[1]UY$'!$O$5:$O$993,"Cambio",'[1]UY$'!$E$5:$E$993,'Efecto TC'!D496),""))</f>
        <v/>
      </c>
      <c r="G496" s="23" t="str">
        <f t="shared" si="64"/>
        <v/>
      </c>
      <c r="H496" s="22" t="str">
        <f t="shared" si="65"/>
        <v/>
      </c>
      <c r="I496" s="54" t="str">
        <f t="shared" si="62"/>
        <v/>
      </c>
      <c r="R496" s="24" t="e">
        <f t="shared" si="66"/>
        <v>#VALUE!</v>
      </c>
      <c r="S496" s="25" t="e">
        <f t="shared" si="63"/>
        <v>#VALUE!</v>
      </c>
    </row>
    <row r="497" spans="1:19" x14ac:dyDescent="0.25">
      <c r="A497" t="e">
        <f t="shared" si="60"/>
        <v>#VALUE!</v>
      </c>
      <c r="B497" t="e">
        <f t="shared" si="61"/>
        <v>#VALUE!</v>
      </c>
      <c r="D497" s="21" t="str" cm="1">
        <f t="array" ref="D497">IF(ROWS($D$7:D497)&gt;COUNTIF('[1]U$S'!$H$5:$H$1008,$L$5),"",INDEX(CuentaUS,_xlfn.AGGREGATE(15,6,ROW('[1]U$S'!$H$5:$H$1008)-ROW('[1]U$S'!$O$5)+1/--('[1]U$S'!$H$5:$H$1008=$L$5),ROWS($D$7:D497)),1))</f>
        <v/>
      </c>
      <c r="E497" s="22" t="str" cm="1">
        <f t="array" ref="E497">IF(ROWS($E$7:E497)&gt;COUNTIF('[1]U$S'!$H$5:$H$1008,$L$5),"",INDEX(CuentaUS,_xlfn.AGGREGATE(15,6,ROW('[1]U$S'!$H$5:$H$1008)-ROW('[1]U$S'!$O$5)+1/--('[1]U$S'!$H$5:$H$1008=$L$5),ROWS($E$7:E497)),6))</f>
        <v/>
      </c>
      <c r="F497" s="22" t="str">
        <f>IF(E497="","",IF(E497&gt;0,SUMIFS('[1]UY$'!$L$5:$L$993,'[1]UY$'!$O$5:$O$993,"Cambio",'[1]UY$'!$E$5:$E$993,'Efecto TC'!D497),""))</f>
        <v/>
      </c>
      <c r="G497" s="23" t="str">
        <f t="shared" si="64"/>
        <v/>
      </c>
      <c r="H497" s="22" t="str">
        <f t="shared" si="65"/>
        <v/>
      </c>
      <c r="I497" s="54" t="str">
        <f t="shared" si="62"/>
        <v/>
      </c>
      <c r="R497" s="24" t="e">
        <f t="shared" si="66"/>
        <v>#VALUE!</v>
      </c>
      <c r="S497" s="25" t="e">
        <f t="shared" si="63"/>
        <v>#VALUE!</v>
      </c>
    </row>
    <row r="498" spans="1:19" x14ac:dyDescent="0.25">
      <c r="A498" t="e">
        <f t="shared" si="60"/>
        <v>#VALUE!</v>
      </c>
      <c r="B498" t="e">
        <f t="shared" si="61"/>
        <v>#VALUE!</v>
      </c>
      <c r="D498" s="21" t="str" cm="1">
        <f t="array" ref="D498">IF(ROWS($D$7:D498)&gt;COUNTIF('[1]U$S'!$H$5:$H$1008,$L$5),"",INDEX(CuentaUS,_xlfn.AGGREGATE(15,6,ROW('[1]U$S'!$H$5:$H$1008)-ROW('[1]U$S'!$O$5)+1/--('[1]U$S'!$H$5:$H$1008=$L$5),ROWS($D$7:D498)),1))</f>
        <v/>
      </c>
      <c r="E498" s="22" t="str" cm="1">
        <f t="array" ref="E498">IF(ROWS($E$7:E498)&gt;COUNTIF('[1]U$S'!$H$5:$H$1008,$L$5),"",INDEX(CuentaUS,_xlfn.AGGREGATE(15,6,ROW('[1]U$S'!$H$5:$H$1008)-ROW('[1]U$S'!$O$5)+1/--('[1]U$S'!$H$5:$H$1008=$L$5),ROWS($E$7:E498)),6))</f>
        <v/>
      </c>
      <c r="F498" s="22" t="str">
        <f>IF(E498="","",IF(E498&gt;0,SUMIFS('[1]UY$'!$L$5:$L$993,'[1]UY$'!$O$5:$O$993,"Cambio",'[1]UY$'!$E$5:$E$993,'Efecto TC'!D498),""))</f>
        <v/>
      </c>
      <c r="G498" s="23" t="str">
        <f t="shared" si="64"/>
        <v/>
      </c>
      <c r="H498" s="22" t="str">
        <f t="shared" si="65"/>
        <v/>
      </c>
      <c r="I498" s="54" t="str">
        <f t="shared" si="62"/>
        <v/>
      </c>
      <c r="R498" s="24" t="e">
        <f t="shared" si="66"/>
        <v>#VALUE!</v>
      </c>
      <c r="S498" s="25" t="e">
        <f t="shared" si="63"/>
        <v>#VALUE!</v>
      </c>
    </row>
    <row r="499" spans="1:19" x14ac:dyDescent="0.25">
      <c r="A499" t="e">
        <f t="shared" si="60"/>
        <v>#VALUE!</v>
      </c>
      <c r="B499" t="e">
        <f t="shared" si="61"/>
        <v>#VALUE!</v>
      </c>
      <c r="D499" s="21" t="str" cm="1">
        <f t="array" ref="D499">IF(ROWS($D$7:D499)&gt;COUNTIF('[1]U$S'!$H$5:$H$1008,$L$5),"",INDEX(CuentaUS,_xlfn.AGGREGATE(15,6,ROW('[1]U$S'!$H$5:$H$1008)-ROW('[1]U$S'!$O$5)+1/--('[1]U$S'!$H$5:$H$1008=$L$5),ROWS($D$7:D499)),1))</f>
        <v/>
      </c>
      <c r="E499" s="22" t="str" cm="1">
        <f t="array" ref="E499">IF(ROWS($E$7:E499)&gt;COUNTIF('[1]U$S'!$H$5:$H$1008,$L$5),"",INDEX(CuentaUS,_xlfn.AGGREGATE(15,6,ROW('[1]U$S'!$H$5:$H$1008)-ROW('[1]U$S'!$O$5)+1/--('[1]U$S'!$H$5:$H$1008=$L$5),ROWS($E$7:E499)),6))</f>
        <v/>
      </c>
      <c r="F499" s="22" t="str">
        <f>IF(E499="","",IF(E499&gt;0,SUMIFS('[1]UY$'!$L$5:$L$993,'[1]UY$'!$O$5:$O$993,"Cambio",'[1]UY$'!$E$5:$E$993,'Efecto TC'!D499),""))</f>
        <v/>
      </c>
      <c r="G499" s="23" t="str">
        <f t="shared" si="64"/>
        <v/>
      </c>
      <c r="H499" s="22" t="str">
        <f t="shared" si="65"/>
        <v/>
      </c>
      <c r="I499" s="54" t="str">
        <f t="shared" si="62"/>
        <v/>
      </c>
      <c r="R499" s="24" t="e">
        <f t="shared" si="66"/>
        <v>#VALUE!</v>
      </c>
      <c r="S499" s="25" t="e">
        <f t="shared" si="63"/>
        <v>#VALUE!</v>
      </c>
    </row>
    <row r="500" spans="1:19" x14ac:dyDescent="0.25">
      <c r="A500" t="e">
        <f t="shared" si="60"/>
        <v>#VALUE!</v>
      </c>
      <c r="B500" t="e">
        <f t="shared" si="61"/>
        <v>#VALUE!</v>
      </c>
      <c r="D500" s="21" t="str" cm="1">
        <f t="array" ref="D500">IF(ROWS($D$7:D500)&gt;COUNTIF('[1]U$S'!$H$5:$H$1008,$L$5),"",INDEX(CuentaUS,_xlfn.AGGREGATE(15,6,ROW('[1]U$S'!$H$5:$H$1008)-ROW('[1]U$S'!$O$5)+1/--('[1]U$S'!$H$5:$H$1008=$L$5),ROWS($D$7:D500)),1))</f>
        <v/>
      </c>
      <c r="E500" s="22" t="str" cm="1">
        <f t="array" ref="E500">IF(ROWS($E$7:E500)&gt;COUNTIF('[1]U$S'!$H$5:$H$1008,$L$5),"",INDEX(CuentaUS,_xlfn.AGGREGATE(15,6,ROW('[1]U$S'!$H$5:$H$1008)-ROW('[1]U$S'!$O$5)+1/--('[1]U$S'!$H$5:$H$1008=$L$5),ROWS($E$7:E500)),6))</f>
        <v/>
      </c>
      <c r="F500" s="22" t="str">
        <f>IF(E500="","",IF(E500&gt;0,SUMIFS('[1]UY$'!$L$5:$L$993,'[1]UY$'!$O$5:$O$993,"Cambio",'[1]UY$'!$E$5:$E$993,'Efecto TC'!D500),""))</f>
        <v/>
      </c>
      <c r="G500" s="23" t="str">
        <f t="shared" si="64"/>
        <v/>
      </c>
      <c r="H500" s="22" t="str">
        <f t="shared" si="65"/>
        <v/>
      </c>
      <c r="I500" s="54" t="str">
        <f t="shared" si="62"/>
        <v/>
      </c>
      <c r="R500" s="24" t="e">
        <f t="shared" si="66"/>
        <v>#VALUE!</v>
      </c>
      <c r="S500" s="25" t="e">
        <f t="shared" si="63"/>
        <v>#VALUE!</v>
      </c>
    </row>
    <row r="501" spans="1:19" x14ac:dyDescent="0.25">
      <c r="A501" t="e">
        <f t="shared" si="60"/>
        <v>#VALUE!</v>
      </c>
      <c r="B501" t="e">
        <f t="shared" si="61"/>
        <v>#VALUE!</v>
      </c>
      <c r="D501" s="21" t="str" cm="1">
        <f t="array" ref="D501">IF(ROWS($D$7:D501)&gt;COUNTIF('[1]U$S'!$H$5:$H$1008,$L$5),"",INDEX(CuentaUS,_xlfn.AGGREGATE(15,6,ROW('[1]U$S'!$H$5:$H$1008)-ROW('[1]U$S'!$O$5)+1/--('[1]U$S'!$H$5:$H$1008=$L$5),ROWS($D$7:D501)),1))</f>
        <v/>
      </c>
      <c r="E501" s="22" t="str" cm="1">
        <f t="array" ref="E501">IF(ROWS($E$7:E501)&gt;COUNTIF('[1]U$S'!$H$5:$H$1008,$L$5),"",INDEX(CuentaUS,_xlfn.AGGREGATE(15,6,ROW('[1]U$S'!$H$5:$H$1008)-ROW('[1]U$S'!$O$5)+1/--('[1]U$S'!$H$5:$H$1008=$L$5),ROWS($E$7:E501)),6))</f>
        <v/>
      </c>
      <c r="F501" s="22" t="str">
        <f>IF(E501="","",IF(E501&gt;0,SUMIFS('[1]UY$'!$L$5:$L$993,'[1]UY$'!$O$5:$O$993,"Cambio",'[1]UY$'!$E$5:$E$993,'Efecto TC'!D501),""))</f>
        <v/>
      </c>
      <c r="G501" s="23" t="str">
        <f t="shared" si="64"/>
        <v/>
      </c>
      <c r="H501" s="22" t="str">
        <f t="shared" si="65"/>
        <v/>
      </c>
      <c r="I501" s="54" t="str">
        <f t="shared" si="62"/>
        <v/>
      </c>
      <c r="R501" s="24" t="e">
        <f t="shared" si="66"/>
        <v>#VALUE!</v>
      </c>
      <c r="S501" s="25" t="e">
        <f t="shared" si="63"/>
        <v>#VALUE!</v>
      </c>
    </row>
    <row r="502" spans="1:19" x14ac:dyDescent="0.25">
      <c r="A502" t="e">
        <f t="shared" si="60"/>
        <v>#VALUE!</v>
      </c>
      <c r="B502" t="e">
        <f t="shared" si="61"/>
        <v>#VALUE!</v>
      </c>
      <c r="D502" s="21" t="str" cm="1">
        <f t="array" ref="D502">IF(ROWS($D$7:D502)&gt;COUNTIF('[1]U$S'!$H$5:$H$1008,$L$5),"",INDEX(CuentaUS,_xlfn.AGGREGATE(15,6,ROW('[1]U$S'!$H$5:$H$1008)-ROW('[1]U$S'!$O$5)+1/--('[1]U$S'!$H$5:$H$1008=$L$5),ROWS($D$7:D502)),1))</f>
        <v/>
      </c>
      <c r="E502" s="22" t="str" cm="1">
        <f t="array" ref="E502">IF(ROWS($E$7:E502)&gt;COUNTIF('[1]U$S'!$H$5:$H$1008,$L$5),"",INDEX(CuentaUS,_xlfn.AGGREGATE(15,6,ROW('[1]U$S'!$H$5:$H$1008)-ROW('[1]U$S'!$O$5)+1/--('[1]U$S'!$H$5:$H$1008=$L$5),ROWS($E$7:E502)),6))</f>
        <v/>
      </c>
      <c r="F502" s="22" t="str">
        <f>IF(E502="","",IF(E502&gt;0,SUMIFS('[1]UY$'!$L$5:$L$993,'[1]UY$'!$O$5:$O$993,"Cambio",'[1]UY$'!$E$5:$E$993,'Efecto TC'!D502),""))</f>
        <v/>
      </c>
      <c r="G502" s="23" t="str">
        <f t="shared" si="64"/>
        <v/>
      </c>
      <c r="H502" s="22" t="str">
        <f t="shared" si="65"/>
        <v/>
      </c>
      <c r="I502" s="54" t="str">
        <f t="shared" si="62"/>
        <v/>
      </c>
      <c r="R502" s="24" t="e">
        <f t="shared" si="66"/>
        <v>#VALUE!</v>
      </c>
      <c r="S502" s="25" t="e">
        <f t="shared" si="63"/>
        <v>#VALUE!</v>
      </c>
    </row>
    <row r="503" spans="1:19" x14ac:dyDescent="0.25">
      <c r="A503" t="e">
        <f t="shared" si="60"/>
        <v>#VALUE!</v>
      </c>
      <c r="B503" t="e">
        <f t="shared" si="61"/>
        <v>#VALUE!</v>
      </c>
      <c r="D503" s="21" t="str" cm="1">
        <f t="array" ref="D503">IF(ROWS($D$7:D503)&gt;COUNTIF('[1]U$S'!$H$5:$H$1008,$L$5),"",INDEX(CuentaUS,_xlfn.AGGREGATE(15,6,ROW('[1]U$S'!$H$5:$H$1008)-ROW('[1]U$S'!$O$5)+1/--('[1]U$S'!$H$5:$H$1008=$L$5),ROWS($D$7:D503)),1))</f>
        <v/>
      </c>
      <c r="E503" s="22" t="str" cm="1">
        <f t="array" ref="E503">IF(ROWS($E$7:E503)&gt;COUNTIF('[1]U$S'!$H$5:$H$1008,$L$5),"",INDEX(CuentaUS,_xlfn.AGGREGATE(15,6,ROW('[1]U$S'!$H$5:$H$1008)-ROW('[1]U$S'!$O$5)+1/--('[1]U$S'!$H$5:$H$1008=$L$5),ROWS($E$7:E503)),6))</f>
        <v/>
      </c>
      <c r="F503" s="22" t="str">
        <f>IF(E503="","",IF(E503&gt;0,SUMIFS('[1]UY$'!$L$5:$L$993,'[1]UY$'!$O$5:$O$993,"Cambio",'[1]UY$'!$E$5:$E$993,'Efecto TC'!D503),""))</f>
        <v/>
      </c>
      <c r="G503" s="23" t="str">
        <f t="shared" si="64"/>
        <v/>
      </c>
      <c r="H503" s="22" t="str">
        <f t="shared" si="65"/>
        <v/>
      </c>
      <c r="I503" s="54" t="str">
        <f t="shared" si="62"/>
        <v/>
      </c>
      <c r="R503" s="24" t="e">
        <f t="shared" si="66"/>
        <v>#VALUE!</v>
      </c>
      <c r="S503" s="25" t="e">
        <f t="shared" si="63"/>
        <v>#VALUE!</v>
      </c>
    </row>
    <row r="504" spans="1:19" x14ac:dyDescent="0.25">
      <c r="A504" t="e">
        <f t="shared" si="60"/>
        <v>#VALUE!</v>
      </c>
      <c r="B504" t="e">
        <f t="shared" si="61"/>
        <v>#VALUE!</v>
      </c>
      <c r="D504" s="21" t="str" cm="1">
        <f t="array" ref="D504">IF(ROWS($D$7:D504)&gt;COUNTIF('[1]U$S'!$H$5:$H$1008,$L$5),"",INDEX(CuentaUS,_xlfn.AGGREGATE(15,6,ROW('[1]U$S'!$H$5:$H$1008)-ROW('[1]U$S'!$O$5)+1/--('[1]U$S'!$H$5:$H$1008=$L$5),ROWS($D$7:D504)),1))</f>
        <v/>
      </c>
      <c r="E504" s="22" t="str" cm="1">
        <f t="array" ref="E504">IF(ROWS($E$7:E504)&gt;COUNTIF('[1]U$S'!$H$5:$H$1008,$L$5),"",INDEX(CuentaUS,_xlfn.AGGREGATE(15,6,ROW('[1]U$S'!$H$5:$H$1008)-ROW('[1]U$S'!$O$5)+1/--('[1]U$S'!$H$5:$H$1008=$L$5),ROWS($E$7:E504)),6))</f>
        <v/>
      </c>
      <c r="F504" s="22" t="str">
        <f>IF(E504="","",IF(E504&gt;0,SUMIFS('[1]UY$'!$L$5:$L$993,'[1]UY$'!$O$5:$O$993,"Cambio",'[1]UY$'!$E$5:$E$993,'Efecto TC'!D504),""))</f>
        <v/>
      </c>
      <c r="G504" s="23" t="str">
        <f t="shared" si="64"/>
        <v/>
      </c>
      <c r="H504" s="22" t="str">
        <f t="shared" si="65"/>
        <v/>
      </c>
      <c r="I504" s="54" t="str">
        <f t="shared" si="62"/>
        <v/>
      </c>
      <c r="R504" s="24" t="e">
        <f t="shared" si="66"/>
        <v>#VALUE!</v>
      </c>
      <c r="S504" s="25" t="e">
        <f t="shared" si="63"/>
        <v>#VALUE!</v>
      </c>
    </row>
    <row r="505" spans="1:19" x14ac:dyDescent="0.25">
      <c r="A505" t="e">
        <f t="shared" si="60"/>
        <v>#VALUE!</v>
      </c>
      <c r="B505" t="e">
        <f t="shared" si="61"/>
        <v>#VALUE!</v>
      </c>
      <c r="D505" s="21" t="str" cm="1">
        <f t="array" ref="D505">IF(ROWS($D$7:D505)&gt;COUNTIF('[1]U$S'!$H$5:$H$1008,$L$5),"",INDEX(CuentaUS,_xlfn.AGGREGATE(15,6,ROW('[1]U$S'!$H$5:$H$1008)-ROW('[1]U$S'!$O$5)+1/--('[1]U$S'!$H$5:$H$1008=$L$5),ROWS($D$7:D505)),1))</f>
        <v/>
      </c>
      <c r="E505" s="22" t="str" cm="1">
        <f t="array" ref="E505">IF(ROWS($E$7:E505)&gt;COUNTIF('[1]U$S'!$H$5:$H$1008,$L$5),"",INDEX(CuentaUS,_xlfn.AGGREGATE(15,6,ROW('[1]U$S'!$H$5:$H$1008)-ROW('[1]U$S'!$O$5)+1/--('[1]U$S'!$H$5:$H$1008=$L$5),ROWS($E$7:E505)),6))</f>
        <v/>
      </c>
      <c r="F505" s="22" t="str">
        <f>IF(E505="","",IF(E505&gt;0,SUMIFS('[1]UY$'!$L$5:$L$993,'[1]UY$'!$O$5:$O$993,"Cambio",'[1]UY$'!$E$5:$E$993,'Efecto TC'!D505),""))</f>
        <v/>
      </c>
      <c r="G505" s="23" t="str">
        <f t="shared" si="64"/>
        <v/>
      </c>
      <c r="H505" s="22" t="str">
        <f t="shared" si="65"/>
        <v/>
      </c>
      <c r="I505" s="54" t="str">
        <f t="shared" si="62"/>
        <v/>
      </c>
      <c r="R505" s="24" t="e">
        <f t="shared" si="66"/>
        <v>#VALUE!</v>
      </c>
      <c r="S505" s="25" t="e">
        <f t="shared" si="63"/>
        <v>#VALUE!</v>
      </c>
    </row>
    <row r="506" spans="1:19" x14ac:dyDescent="0.25">
      <c r="A506" t="e">
        <f t="shared" si="60"/>
        <v>#VALUE!</v>
      </c>
      <c r="B506" t="e">
        <f t="shared" si="61"/>
        <v>#VALUE!</v>
      </c>
      <c r="D506" s="21" t="str" cm="1">
        <f t="array" ref="D506">IF(ROWS($D$7:D506)&gt;COUNTIF('[1]U$S'!$H$5:$H$1008,$L$5),"",INDEX(CuentaUS,_xlfn.AGGREGATE(15,6,ROW('[1]U$S'!$H$5:$H$1008)-ROW('[1]U$S'!$O$5)+1/--('[1]U$S'!$H$5:$H$1008=$L$5),ROWS($D$7:D506)),1))</f>
        <v/>
      </c>
      <c r="E506" s="22" t="str" cm="1">
        <f t="array" ref="E506">IF(ROWS($E$7:E506)&gt;COUNTIF('[1]U$S'!$H$5:$H$1008,$L$5),"",INDEX(CuentaUS,_xlfn.AGGREGATE(15,6,ROW('[1]U$S'!$H$5:$H$1008)-ROW('[1]U$S'!$O$5)+1/--('[1]U$S'!$H$5:$H$1008=$L$5),ROWS($E$7:E506)),6))</f>
        <v/>
      </c>
      <c r="F506" s="22" t="str">
        <f>IF(E506="","",IF(E506&gt;0,SUMIFS('[1]UY$'!$L$5:$L$993,'[1]UY$'!$O$5:$O$993,"Cambio",'[1]UY$'!$E$5:$E$993,'Efecto TC'!D506),""))</f>
        <v/>
      </c>
      <c r="G506" s="23" t="str">
        <f t="shared" si="64"/>
        <v/>
      </c>
      <c r="H506" s="22" t="str">
        <f t="shared" si="65"/>
        <v/>
      </c>
      <c r="I506" s="54" t="str">
        <f t="shared" si="62"/>
        <v/>
      </c>
      <c r="R506" s="24" t="e">
        <f t="shared" si="66"/>
        <v>#VALUE!</v>
      </c>
      <c r="S506" s="25" t="e">
        <f t="shared" si="63"/>
        <v>#VALUE!</v>
      </c>
    </row>
    <row r="507" spans="1:19" x14ac:dyDescent="0.25">
      <c r="A507" t="e">
        <f t="shared" si="60"/>
        <v>#VALUE!</v>
      </c>
      <c r="B507" t="e">
        <f t="shared" si="61"/>
        <v>#VALUE!</v>
      </c>
      <c r="D507" s="21" t="str" cm="1">
        <f t="array" ref="D507">IF(ROWS($D$7:D507)&gt;COUNTIF('[1]U$S'!$H$5:$H$1008,$L$5),"",INDEX(CuentaUS,_xlfn.AGGREGATE(15,6,ROW('[1]U$S'!$H$5:$H$1008)-ROW('[1]U$S'!$O$5)+1/--('[1]U$S'!$H$5:$H$1008=$L$5),ROWS($D$7:D507)),1))</f>
        <v/>
      </c>
      <c r="E507" s="22" t="str" cm="1">
        <f t="array" ref="E507">IF(ROWS($E$7:E507)&gt;COUNTIF('[1]U$S'!$H$5:$H$1008,$L$5),"",INDEX(CuentaUS,_xlfn.AGGREGATE(15,6,ROW('[1]U$S'!$H$5:$H$1008)-ROW('[1]U$S'!$O$5)+1/--('[1]U$S'!$H$5:$H$1008=$L$5),ROWS($E$7:E507)),6))</f>
        <v/>
      </c>
      <c r="F507" s="22" t="str">
        <f>IF(E507="","",IF(E507&gt;0,SUMIFS('[1]UY$'!$L$5:$L$993,'[1]UY$'!$O$5:$O$993,"Cambio",'[1]UY$'!$E$5:$E$993,'Efecto TC'!D507),""))</f>
        <v/>
      </c>
      <c r="G507" s="23" t="str">
        <f t="shared" si="64"/>
        <v/>
      </c>
      <c r="H507" s="22" t="str">
        <f t="shared" si="65"/>
        <v/>
      </c>
      <c r="I507" s="54" t="str">
        <f t="shared" si="62"/>
        <v/>
      </c>
      <c r="R507" s="24" t="e">
        <f t="shared" si="66"/>
        <v>#VALUE!</v>
      </c>
      <c r="S507" s="25" t="e">
        <f t="shared" si="63"/>
        <v>#VALUE!</v>
      </c>
    </row>
    <row r="508" spans="1:19" x14ac:dyDescent="0.25">
      <c r="A508" t="e">
        <f t="shared" si="60"/>
        <v>#VALUE!</v>
      </c>
      <c r="B508" t="e">
        <f t="shared" si="61"/>
        <v>#VALUE!</v>
      </c>
      <c r="D508" s="21" t="str" cm="1">
        <f t="array" ref="D508">IF(ROWS($D$7:D508)&gt;COUNTIF('[1]U$S'!$H$5:$H$1008,$L$5),"",INDEX(CuentaUS,_xlfn.AGGREGATE(15,6,ROW('[1]U$S'!$H$5:$H$1008)-ROW('[1]U$S'!$O$5)+1/--('[1]U$S'!$H$5:$H$1008=$L$5),ROWS($D$7:D508)),1))</f>
        <v/>
      </c>
      <c r="E508" s="22" t="str" cm="1">
        <f t="array" ref="E508">IF(ROWS($E$7:E508)&gt;COUNTIF('[1]U$S'!$H$5:$H$1008,$L$5),"",INDEX(CuentaUS,_xlfn.AGGREGATE(15,6,ROW('[1]U$S'!$H$5:$H$1008)-ROW('[1]U$S'!$O$5)+1/--('[1]U$S'!$H$5:$H$1008=$L$5),ROWS($E$7:E508)),6))</f>
        <v/>
      </c>
      <c r="F508" s="22" t="str">
        <f>IF(E508="","",IF(E508&gt;0,SUMIFS('[1]UY$'!$L$5:$L$993,'[1]UY$'!$O$5:$O$993,"Cambio",'[1]UY$'!$E$5:$E$993,'Efecto TC'!D508),""))</f>
        <v/>
      </c>
      <c r="G508" s="23" t="str">
        <f t="shared" si="64"/>
        <v/>
      </c>
      <c r="H508" s="22" t="str">
        <f t="shared" si="65"/>
        <v/>
      </c>
      <c r="I508" s="54" t="str">
        <f t="shared" si="62"/>
        <v/>
      </c>
      <c r="R508" s="24" t="e">
        <f t="shared" si="66"/>
        <v>#VALUE!</v>
      </c>
      <c r="S508" s="25" t="e">
        <f t="shared" si="63"/>
        <v>#VALUE!</v>
      </c>
    </row>
    <row r="509" spans="1:19" x14ac:dyDescent="0.25">
      <c r="A509" t="e">
        <f t="shared" si="60"/>
        <v>#VALUE!</v>
      </c>
      <c r="B509" t="e">
        <f t="shared" si="61"/>
        <v>#VALUE!</v>
      </c>
      <c r="D509" s="21" t="str" cm="1">
        <f t="array" ref="D509">IF(ROWS($D$7:D509)&gt;COUNTIF('[1]U$S'!$H$5:$H$1008,$L$5),"",INDEX(CuentaUS,_xlfn.AGGREGATE(15,6,ROW('[1]U$S'!$H$5:$H$1008)-ROW('[1]U$S'!$O$5)+1/--('[1]U$S'!$H$5:$H$1008=$L$5),ROWS($D$7:D509)),1))</f>
        <v/>
      </c>
      <c r="E509" s="22" t="str" cm="1">
        <f t="array" ref="E509">IF(ROWS($E$7:E509)&gt;COUNTIF('[1]U$S'!$H$5:$H$1008,$L$5),"",INDEX(CuentaUS,_xlfn.AGGREGATE(15,6,ROW('[1]U$S'!$H$5:$H$1008)-ROW('[1]U$S'!$O$5)+1/--('[1]U$S'!$H$5:$H$1008=$L$5),ROWS($E$7:E509)),6))</f>
        <v/>
      </c>
      <c r="F509" s="22" t="str">
        <f>IF(E509="","",IF(E509&gt;0,SUMIFS('[1]UY$'!$L$5:$L$993,'[1]UY$'!$O$5:$O$993,"Cambio",'[1]UY$'!$E$5:$E$993,'Efecto TC'!D509),""))</f>
        <v/>
      </c>
      <c r="G509" s="23" t="str">
        <f t="shared" si="64"/>
        <v/>
      </c>
      <c r="H509" s="22" t="str">
        <f t="shared" si="65"/>
        <v/>
      </c>
      <c r="I509" s="54" t="str">
        <f t="shared" si="62"/>
        <v/>
      </c>
      <c r="R509" s="24" t="e">
        <f t="shared" si="66"/>
        <v>#VALUE!</v>
      </c>
      <c r="S509" s="25" t="e">
        <f t="shared" si="63"/>
        <v>#VALUE!</v>
      </c>
    </row>
    <row r="510" spans="1:19" x14ac:dyDescent="0.25">
      <c r="A510" t="e">
        <f t="shared" si="60"/>
        <v>#VALUE!</v>
      </c>
      <c r="B510" t="e">
        <f t="shared" si="61"/>
        <v>#VALUE!</v>
      </c>
      <c r="D510" s="21" t="str" cm="1">
        <f t="array" ref="D510">IF(ROWS($D$7:D510)&gt;COUNTIF('[1]U$S'!$H$5:$H$1008,$L$5),"",INDEX(CuentaUS,_xlfn.AGGREGATE(15,6,ROW('[1]U$S'!$H$5:$H$1008)-ROW('[1]U$S'!$O$5)+1/--('[1]U$S'!$H$5:$H$1008=$L$5),ROWS($D$7:D510)),1))</f>
        <v/>
      </c>
      <c r="E510" s="22" t="str" cm="1">
        <f t="array" ref="E510">IF(ROWS($E$7:E510)&gt;COUNTIF('[1]U$S'!$H$5:$H$1008,$L$5),"",INDEX(CuentaUS,_xlfn.AGGREGATE(15,6,ROW('[1]U$S'!$H$5:$H$1008)-ROW('[1]U$S'!$O$5)+1/--('[1]U$S'!$H$5:$H$1008=$L$5),ROWS($E$7:E510)),6))</f>
        <v/>
      </c>
      <c r="F510" s="22" t="str">
        <f>IF(E510="","",IF(E510&gt;0,SUMIFS('[1]UY$'!$L$5:$L$993,'[1]UY$'!$O$5:$O$993,"Cambio",'[1]UY$'!$E$5:$E$993,'Efecto TC'!D510),""))</f>
        <v/>
      </c>
      <c r="G510" s="23" t="str">
        <f t="shared" si="64"/>
        <v/>
      </c>
      <c r="H510" s="22" t="str">
        <f t="shared" si="65"/>
        <v/>
      </c>
      <c r="I510" s="54" t="str">
        <f t="shared" si="62"/>
        <v/>
      </c>
      <c r="R510" s="24" t="e">
        <f t="shared" si="66"/>
        <v>#VALUE!</v>
      </c>
      <c r="S510" s="25" t="e">
        <f t="shared" si="63"/>
        <v>#VALUE!</v>
      </c>
    </row>
    <row r="511" spans="1:19" x14ac:dyDescent="0.25">
      <c r="A511" t="e">
        <f t="shared" si="60"/>
        <v>#VALUE!</v>
      </c>
      <c r="B511" t="e">
        <f t="shared" si="61"/>
        <v>#VALUE!</v>
      </c>
      <c r="D511" s="21" t="str" cm="1">
        <f t="array" ref="D511">IF(ROWS($D$7:D511)&gt;COUNTIF('[1]U$S'!$H$5:$H$1008,$L$5),"",INDEX(CuentaUS,_xlfn.AGGREGATE(15,6,ROW('[1]U$S'!$H$5:$H$1008)-ROW('[1]U$S'!$O$5)+1/--('[1]U$S'!$H$5:$H$1008=$L$5),ROWS($D$7:D511)),1))</f>
        <v/>
      </c>
      <c r="E511" s="22" t="str" cm="1">
        <f t="array" ref="E511">IF(ROWS($E$7:E511)&gt;COUNTIF('[1]U$S'!$H$5:$H$1008,$L$5),"",INDEX(CuentaUS,_xlfn.AGGREGATE(15,6,ROW('[1]U$S'!$H$5:$H$1008)-ROW('[1]U$S'!$O$5)+1/--('[1]U$S'!$H$5:$H$1008=$L$5),ROWS($E$7:E511)),6))</f>
        <v/>
      </c>
      <c r="F511" s="22" t="str">
        <f>IF(E511="","",IF(E511&gt;0,SUMIFS('[1]UY$'!$L$5:$L$993,'[1]UY$'!$O$5:$O$993,"Cambio",'[1]UY$'!$E$5:$E$993,'Efecto TC'!D511),""))</f>
        <v/>
      </c>
      <c r="G511" s="23" t="str">
        <f t="shared" si="64"/>
        <v/>
      </c>
      <c r="H511" s="22" t="str">
        <f t="shared" si="65"/>
        <v/>
      </c>
      <c r="I511" s="54" t="str">
        <f t="shared" si="62"/>
        <v/>
      </c>
      <c r="R511" s="24" t="e">
        <f t="shared" si="66"/>
        <v>#VALUE!</v>
      </c>
      <c r="S511" s="25" t="e">
        <f t="shared" si="63"/>
        <v>#VALUE!</v>
      </c>
    </row>
    <row r="512" spans="1:19" x14ac:dyDescent="0.25">
      <c r="A512" t="e">
        <f t="shared" si="60"/>
        <v>#VALUE!</v>
      </c>
      <c r="B512" t="e">
        <f t="shared" si="61"/>
        <v>#VALUE!</v>
      </c>
      <c r="D512" s="21" t="str" cm="1">
        <f t="array" ref="D512">IF(ROWS($D$7:D512)&gt;COUNTIF('[1]U$S'!$H$5:$H$1008,$L$5),"",INDEX(CuentaUS,_xlfn.AGGREGATE(15,6,ROW('[1]U$S'!$H$5:$H$1008)-ROW('[1]U$S'!$O$5)+1/--('[1]U$S'!$H$5:$H$1008=$L$5),ROWS($D$7:D512)),1))</f>
        <v/>
      </c>
      <c r="E512" s="22" t="str" cm="1">
        <f t="array" ref="E512">IF(ROWS($E$7:E512)&gt;COUNTIF('[1]U$S'!$H$5:$H$1008,$L$5),"",INDEX(CuentaUS,_xlfn.AGGREGATE(15,6,ROW('[1]U$S'!$H$5:$H$1008)-ROW('[1]U$S'!$O$5)+1/--('[1]U$S'!$H$5:$H$1008=$L$5),ROWS($E$7:E512)),6))</f>
        <v/>
      </c>
      <c r="F512" s="22" t="str">
        <f>IF(E512="","",IF(E512&gt;0,SUMIFS('[1]UY$'!$L$5:$L$993,'[1]UY$'!$O$5:$O$993,"Cambio",'[1]UY$'!$E$5:$E$993,'Efecto TC'!D512),""))</f>
        <v/>
      </c>
      <c r="G512" s="23" t="str">
        <f t="shared" si="64"/>
        <v/>
      </c>
      <c r="H512" s="22" t="str">
        <f t="shared" si="65"/>
        <v/>
      </c>
      <c r="I512" s="54" t="str">
        <f t="shared" si="62"/>
        <v/>
      </c>
      <c r="R512" s="24" t="e">
        <f t="shared" si="66"/>
        <v>#VALUE!</v>
      </c>
      <c r="S512" s="25" t="e">
        <f t="shared" si="63"/>
        <v>#VALUE!</v>
      </c>
    </row>
    <row r="513" spans="1:19" x14ac:dyDescent="0.25">
      <c r="A513" t="e">
        <f t="shared" si="60"/>
        <v>#VALUE!</v>
      </c>
      <c r="B513" t="e">
        <f t="shared" si="61"/>
        <v>#VALUE!</v>
      </c>
      <c r="D513" s="21" t="str" cm="1">
        <f t="array" ref="D513">IF(ROWS($D$7:D513)&gt;COUNTIF('[1]U$S'!$H$5:$H$1008,$L$5),"",INDEX(CuentaUS,_xlfn.AGGREGATE(15,6,ROW('[1]U$S'!$H$5:$H$1008)-ROW('[1]U$S'!$O$5)+1/--('[1]U$S'!$H$5:$H$1008=$L$5),ROWS($D$7:D513)),1))</f>
        <v/>
      </c>
      <c r="E513" s="22" t="str" cm="1">
        <f t="array" ref="E513">IF(ROWS($E$7:E513)&gt;COUNTIF('[1]U$S'!$H$5:$H$1008,$L$5),"",INDEX(CuentaUS,_xlfn.AGGREGATE(15,6,ROW('[1]U$S'!$H$5:$H$1008)-ROW('[1]U$S'!$O$5)+1/--('[1]U$S'!$H$5:$H$1008=$L$5),ROWS($E$7:E513)),6))</f>
        <v/>
      </c>
      <c r="F513" s="22" t="str">
        <f>IF(E513="","",IF(E513&gt;0,SUMIFS('[1]UY$'!$L$5:$L$993,'[1]UY$'!$O$5:$O$993,"Cambio",'[1]UY$'!$E$5:$E$993,'Efecto TC'!D513),""))</f>
        <v/>
      </c>
      <c r="G513" s="23" t="str">
        <f t="shared" si="64"/>
        <v/>
      </c>
      <c r="H513" s="22" t="str">
        <f t="shared" si="65"/>
        <v/>
      </c>
      <c r="I513" s="54" t="str">
        <f t="shared" si="62"/>
        <v/>
      </c>
      <c r="R513" s="24" t="e">
        <f t="shared" si="66"/>
        <v>#VALUE!</v>
      </c>
      <c r="S513" s="25" t="e">
        <f t="shared" si="63"/>
        <v>#VALUE!</v>
      </c>
    </row>
    <row r="514" spans="1:19" x14ac:dyDescent="0.25">
      <c r="A514" t="e">
        <f t="shared" si="60"/>
        <v>#VALUE!</v>
      </c>
      <c r="B514" t="e">
        <f t="shared" si="61"/>
        <v>#VALUE!</v>
      </c>
      <c r="D514" s="21" t="str" cm="1">
        <f t="array" ref="D514">IF(ROWS($D$7:D514)&gt;COUNTIF('[1]U$S'!$H$5:$H$1008,$L$5),"",INDEX(CuentaUS,_xlfn.AGGREGATE(15,6,ROW('[1]U$S'!$H$5:$H$1008)-ROW('[1]U$S'!$O$5)+1/--('[1]U$S'!$H$5:$H$1008=$L$5),ROWS($D$7:D514)),1))</f>
        <v/>
      </c>
      <c r="E514" s="22" t="str" cm="1">
        <f t="array" ref="E514">IF(ROWS($E$7:E514)&gt;COUNTIF('[1]U$S'!$H$5:$H$1008,$L$5),"",INDEX(CuentaUS,_xlfn.AGGREGATE(15,6,ROW('[1]U$S'!$H$5:$H$1008)-ROW('[1]U$S'!$O$5)+1/--('[1]U$S'!$H$5:$H$1008=$L$5),ROWS($E$7:E514)),6))</f>
        <v/>
      </c>
      <c r="F514" s="22" t="str">
        <f>IF(E514="","",IF(E514&gt;0,SUMIFS('[1]UY$'!$L$5:$L$993,'[1]UY$'!$O$5:$O$993,"Cambio",'[1]UY$'!$E$5:$E$993,'Efecto TC'!D514),""))</f>
        <v/>
      </c>
      <c r="G514" s="23" t="str">
        <f t="shared" si="64"/>
        <v/>
      </c>
      <c r="H514" s="22" t="str">
        <f t="shared" si="65"/>
        <v/>
      </c>
      <c r="I514" s="54" t="str">
        <f t="shared" si="62"/>
        <v/>
      </c>
      <c r="R514" s="24" t="e">
        <f t="shared" si="66"/>
        <v>#VALUE!</v>
      </c>
      <c r="S514" s="25" t="e">
        <f t="shared" si="63"/>
        <v>#VALUE!</v>
      </c>
    </row>
    <row r="515" spans="1:19" x14ac:dyDescent="0.25">
      <c r="A515" t="e">
        <f t="shared" si="60"/>
        <v>#VALUE!</v>
      </c>
      <c r="B515" t="e">
        <f t="shared" si="61"/>
        <v>#VALUE!</v>
      </c>
      <c r="D515" s="21" t="str" cm="1">
        <f t="array" ref="D515">IF(ROWS($D$7:D515)&gt;COUNTIF('[1]U$S'!$H$5:$H$1008,$L$5),"",INDEX(CuentaUS,_xlfn.AGGREGATE(15,6,ROW('[1]U$S'!$H$5:$H$1008)-ROW('[1]U$S'!$O$5)+1/--('[1]U$S'!$H$5:$H$1008=$L$5),ROWS($D$7:D515)),1))</f>
        <v/>
      </c>
      <c r="E515" s="22" t="str" cm="1">
        <f t="array" ref="E515">IF(ROWS($E$7:E515)&gt;COUNTIF('[1]U$S'!$H$5:$H$1008,$L$5),"",INDEX(CuentaUS,_xlfn.AGGREGATE(15,6,ROW('[1]U$S'!$H$5:$H$1008)-ROW('[1]U$S'!$O$5)+1/--('[1]U$S'!$H$5:$H$1008=$L$5),ROWS($E$7:E515)),6))</f>
        <v/>
      </c>
      <c r="F515" s="22" t="str">
        <f>IF(E515="","",IF(E515&gt;0,SUMIFS('[1]UY$'!$L$5:$L$993,'[1]UY$'!$O$5:$O$993,"Cambio",'[1]UY$'!$E$5:$E$993,'Efecto TC'!D515),""))</f>
        <v/>
      </c>
      <c r="G515" s="23" t="str">
        <f t="shared" si="64"/>
        <v/>
      </c>
      <c r="H515" s="22" t="str">
        <f t="shared" si="65"/>
        <v/>
      </c>
      <c r="I515" s="54" t="str">
        <f t="shared" si="62"/>
        <v/>
      </c>
      <c r="R515" s="24" t="e">
        <f t="shared" si="66"/>
        <v>#VALUE!</v>
      </c>
      <c r="S515" s="25" t="e">
        <f t="shared" si="63"/>
        <v>#VALUE!</v>
      </c>
    </row>
    <row r="516" spans="1:19" x14ac:dyDescent="0.25">
      <c r="A516" t="e">
        <f t="shared" si="60"/>
        <v>#VALUE!</v>
      </c>
      <c r="B516" t="e">
        <f t="shared" si="61"/>
        <v>#VALUE!</v>
      </c>
      <c r="D516" s="21" t="str" cm="1">
        <f t="array" ref="D516">IF(ROWS($D$7:D516)&gt;COUNTIF('[1]U$S'!$H$5:$H$1008,$L$5),"",INDEX(CuentaUS,_xlfn.AGGREGATE(15,6,ROW('[1]U$S'!$H$5:$H$1008)-ROW('[1]U$S'!$O$5)+1/--('[1]U$S'!$H$5:$H$1008=$L$5),ROWS($D$7:D516)),1))</f>
        <v/>
      </c>
      <c r="E516" s="22" t="str" cm="1">
        <f t="array" ref="E516">IF(ROWS($E$7:E516)&gt;COUNTIF('[1]U$S'!$H$5:$H$1008,$L$5),"",INDEX(CuentaUS,_xlfn.AGGREGATE(15,6,ROW('[1]U$S'!$H$5:$H$1008)-ROW('[1]U$S'!$O$5)+1/--('[1]U$S'!$H$5:$H$1008=$L$5),ROWS($E$7:E516)),6))</f>
        <v/>
      </c>
      <c r="F516" s="22" t="str">
        <f>IF(E516="","",IF(E516&gt;0,SUMIFS('[1]UY$'!$L$5:$L$993,'[1]UY$'!$O$5:$O$993,"Cambio",'[1]UY$'!$E$5:$E$993,'Efecto TC'!D516),""))</f>
        <v/>
      </c>
      <c r="G516" s="23" t="str">
        <f t="shared" si="64"/>
        <v/>
      </c>
      <c r="H516" s="22" t="str">
        <f t="shared" si="65"/>
        <v/>
      </c>
      <c r="I516" s="54" t="str">
        <f t="shared" si="62"/>
        <v/>
      </c>
      <c r="R516" s="24" t="e">
        <f t="shared" si="66"/>
        <v>#VALUE!</v>
      </c>
      <c r="S516" s="25" t="e">
        <f t="shared" si="63"/>
        <v>#VALUE!</v>
      </c>
    </row>
    <row r="517" spans="1:19" x14ac:dyDescent="0.25">
      <c r="A517" t="e">
        <f t="shared" si="60"/>
        <v>#VALUE!</v>
      </c>
      <c r="B517" t="e">
        <f t="shared" si="61"/>
        <v>#VALUE!</v>
      </c>
      <c r="D517" s="21" t="str" cm="1">
        <f t="array" ref="D517">IF(ROWS($D$7:D517)&gt;COUNTIF('[1]U$S'!$H$5:$H$1008,$L$5),"",INDEX(CuentaUS,_xlfn.AGGREGATE(15,6,ROW('[1]U$S'!$H$5:$H$1008)-ROW('[1]U$S'!$O$5)+1/--('[1]U$S'!$H$5:$H$1008=$L$5),ROWS($D$7:D517)),1))</f>
        <v/>
      </c>
      <c r="E517" s="22" t="str" cm="1">
        <f t="array" ref="E517">IF(ROWS($E$7:E517)&gt;COUNTIF('[1]U$S'!$H$5:$H$1008,$L$5),"",INDEX(CuentaUS,_xlfn.AGGREGATE(15,6,ROW('[1]U$S'!$H$5:$H$1008)-ROW('[1]U$S'!$O$5)+1/--('[1]U$S'!$H$5:$H$1008=$L$5),ROWS($E$7:E517)),6))</f>
        <v/>
      </c>
      <c r="F517" s="22" t="str">
        <f>IF(E517="","",IF(E517&gt;0,SUMIFS('[1]UY$'!$L$5:$L$993,'[1]UY$'!$O$5:$O$993,"Cambio",'[1]UY$'!$E$5:$E$993,'Efecto TC'!D517),""))</f>
        <v/>
      </c>
      <c r="G517" s="23" t="str">
        <f t="shared" si="64"/>
        <v/>
      </c>
      <c r="H517" s="22" t="str">
        <f t="shared" si="65"/>
        <v/>
      </c>
      <c r="I517" s="54" t="str">
        <f t="shared" si="62"/>
        <v/>
      </c>
      <c r="R517" s="24" t="e">
        <f t="shared" si="66"/>
        <v>#VALUE!</v>
      </c>
      <c r="S517" s="25" t="e">
        <f t="shared" si="63"/>
        <v>#VALUE!</v>
      </c>
    </row>
    <row r="518" spans="1:19" x14ac:dyDescent="0.25">
      <c r="A518" t="e">
        <f t="shared" si="60"/>
        <v>#VALUE!</v>
      </c>
      <c r="B518" t="e">
        <f t="shared" si="61"/>
        <v>#VALUE!</v>
      </c>
      <c r="D518" s="21" t="str" cm="1">
        <f t="array" ref="D518">IF(ROWS($D$7:D518)&gt;COUNTIF('[1]U$S'!$H$5:$H$1008,$L$5),"",INDEX(CuentaUS,_xlfn.AGGREGATE(15,6,ROW('[1]U$S'!$H$5:$H$1008)-ROW('[1]U$S'!$O$5)+1/--('[1]U$S'!$H$5:$H$1008=$L$5),ROWS($D$7:D518)),1))</f>
        <v/>
      </c>
      <c r="E518" s="22" t="str" cm="1">
        <f t="array" ref="E518">IF(ROWS($E$7:E518)&gt;COUNTIF('[1]U$S'!$H$5:$H$1008,$L$5),"",INDEX(CuentaUS,_xlfn.AGGREGATE(15,6,ROW('[1]U$S'!$H$5:$H$1008)-ROW('[1]U$S'!$O$5)+1/--('[1]U$S'!$H$5:$H$1008=$L$5),ROWS($E$7:E518)),6))</f>
        <v/>
      </c>
      <c r="F518" s="22" t="str">
        <f>IF(E518="","",IF(E518&gt;0,SUMIFS('[1]UY$'!$L$5:$L$993,'[1]UY$'!$O$5:$O$993,"Cambio",'[1]UY$'!$E$5:$E$993,'Efecto TC'!D518),""))</f>
        <v/>
      </c>
      <c r="G518" s="23" t="str">
        <f t="shared" si="64"/>
        <v/>
      </c>
      <c r="H518" s="22" t="str">
        <f t="shared" si="65"/>
        <v/>
      </c>
      <c r="I518" s="54" t="str">
        <f t="shared" si="62"/>
        <v/>
      </c>
      <c r="R518" s="24" t="e">
        <f t="shared" si="66"/>
        <v>#VALUE!</v>
      </c>
      <c r="S518" s="25" t="e">
        <f t="shared" si="63"/>
        <v>#VALUE!</v>
      </c>
    </row>
    <row r="519" spans="1:19" x14ac:dyDescent="0.25">
      <c r="A519" t="e">
        <f t="shared" ref="A519:A582" si="67">MONTH(D519)</f>
        <v>#VALUE!</v>
      </c>
      <c r="B519" t="e">
        <f t="shared" ref="B519:B582" si="68">YEAR(D519)</f>
        <v>#VALUE!</v>
      </c>
      <c r="D519" s="21" t="str" cm="1">
        <f t="array" ref="D519">IF(ROWS($D$7:D519)&gt;COUNTIF('[1]U$S'!$H$5:$H$1008,$L$5),"",INDEX(CuentaUS,_xlfn.AGGREGATE(15,6,ROW('[1]U$S'!$H$5:$H$1008)-ROW('[1]U$S'!$O$5)+1/--('[1]U$S'!$H$5:$H$1008=$L$5),ROWS($D$7:D519)),1))</f>
        <v/>
      </c>
      <c r="E519" s="22" t="str" cm="1">
        <f t="array" ref="E519">IF(ROWS($E$7:E519)&gt;COUNTIF('[1]U$S'!$H$5:$H$1008,$L$5),"",INDEX(CuentaUS,_xlfn.AGGREGATE(15,6,ROW('[1]U$S'!$H$5:$H$1008)-ROW('[1]U$S'!$O$5)+1/--('[1]U$S'!$H$5:$H$1008=$L$5),ROWS($E$7:E519)),6))</f>
        <v/>
      </c>
      <c r="F519" s="22" t="str">
        <f>IF(E519="","",IF(E519&gt;0,SUMIFS('[1]UY$'!$L$5:$L$993,'[1]UY$'!$O$5:$O$993,"Cambio",'[1]UY$'!$E$5:$E$993,'Efecto TC'!D519),""))</f>
        <v/>
      </c>
      <c r="G519" s="23" t="str">
        <f t="shared" si="64"/>
        <v/>
      </c>
      <c r="H519" s="22" t="str">
        <f t="shared" si="65"/>
        <v/>
      </c>
      <c r="I519" s="54" t="str">
        <f t="shared" si="62"/>
        <v/>
      </c>
      <c r="R519" s="24" t="e">
        <f t="shared" si="66"/>
        <v>#VALUE!</v>
      </c>
      <c r="S519" s="25" t="e">
        <f t="shared" si="63"/>
        <v>#VALUE!</v>
      </c>
    </row>
    <row r="520" spans="1:19" x14ac:dyDescent="0.25">
      <c r="A520" t="e">
        <f t="shared" si="67"/>
        <v>#VALUE!</v>
      </c>
      <c r="B520" t="e">
        <f t="shared" si="68"/>
        <v>#VALUE!</v>
      </c>
      <c r="D520" s="21" t="str" cm="1">
        <f t="array" ref="D520">IF(ROWS($D$7:D520)&gt;COUNTIF('[1]U$S'!$H$5:$H$1008,$L$5),"",INDEX(CuentaUS,_xlfn.AGGREGATE(15,6,ROW('[1]U$S'!$H$5:$H$1008)-ROW('[1]U$S'!$O$5)+1/--('[1]U$S'!$H$5:$H$1008=$L$5),ROWS($D$7:D520)),1))</f>
        <v/>
      </c>
      <c r="E520" s="22" t="str" cm="1">
        <f t="array" ref="E520">IF(ROWS($E$7:E520)&gt;COUNTIF('[1]U$S'!$H$5:$H$1008,$L$5),"",INDEX(CuentaUS,_xlfn.AGGREGATE(15,6,ROW('[1]U$S'!$H$5:$H$1008)-ROW('[1]U$S'!$O$5)+1/--('[1]U$S'!$H$5:$H$1008=$L$5),ROWS($E$7:E520)),6))</f>
        <v/>
      </c>
      <c r="F520" s="22" t="str">
        <f>IF(E520="","",IF(E520&gt;0,SUMIFS('[1]UY$'!$L$5:$L$993,'[1]UY$'!$O$5:$O$993,"Cambio",'[1]UY$'!$E$5:$E$993,'Efecto TC'!D520),""))</f>
        <v/>
      </c>
      <c r="G520" s="23" t="str">
        <f t="shared" si="64"/>
        <v/>
      </c>
      <c r="H520" s="22" t="str">
        <f t="shared" si="65"/>
        <v/>
      </c>
      <c r="I520" s="54" t="str">
        <f t="shared" si="62"/>
        <v/>
      </c>
      <c r="R520" s="24" t="e">
        <f t="shared" si="66"/>
        <v>#VALUE!</v>
      </c>
      <c r="S520" s="25" t="e">
        <f t="shared" si="63"/>
        <v>#VALUE!</v>
      </c>
    </row>
    <row r="521" spans="1:19" x14ac:dyDescent="0.25">
      <c r="A521" t="e">
        <f t="shared" si="67"/>
        <v>#VALUE!</v>
      </c>
      <c r="B521" t="e">
        <f t="shared" si="68"/>
        <v>#VALUE!</v>
      </c>
      <c r="D521" s="21" t="str" cm="1">
        <f t="array" ref="D521">IF(ROWS($D$7:D521)&gt;COUNTIF('[1]U$S'!$H$5:$H$1008,$L$5),"",INDEX(CuentaUS,_xlfn.AGGREGATE(15,6,ROW('[1]U$S'!$H$5:$H$1008)-ROW('[1]U$S'!$O$5)+1/--('[1]U$S'!$H$5:$H$1008=$L$5),ROWS($D$7:D521)),1))</f>
        <v/>
      </c>
      <c r="E521" s="22" t="str" cm="1">
        <f t="array" ref="E521">IF(ROWS($E$7:E521)&gt;COUNTIF('[1]U$S'!$H$5:$H$1008,$L$5),"",INDEX(CuentaUS,_xlfn.AGGREGATE(15,6,ROW('[1]U$S'!$H$5:$H$1008)-ROW('[1]U$S'!$O$5)+1/--('[1]U$S'!$H$5:$H$1008=$L$5),ROWS($E$7:E521)),6))</f>
        <v/>
      </c>
      <c r="F521" s="22" t="str">
        <f>IF(E521="","",IF(E521&gt;0,SUMIFS('[1]UY$'!$L$5:$L$993,'[1]UY$'!$O$5:$O$993,"Cambio",'[1]UY$'!$E$5:$E$993,'Efecto TC'!D521),""))</f>
        <v/>
      </c>
      <c r="G521" s="23" t="str">
        <f t="shared" si="64"/>
        <v/>
      </c>
      <c r="H521" s="22" t="str">
        <f t="shared" si="65"/>
        <v/>
      </c>
      <c r="I521" s="54" t="str">
        <f t="shared" si="62"/>
        <v/>
      </c>
      <c r="R521" s="24" t="e">
        <f t="shared" si="66"/>
        <v>#VALUE!</v>
      </c>
      <c r="S521" s="25" t="e">
        <f t="shared" si="63"/>
        <v>#VALUE!</v>
      </c>
    </row>
    <row r="522" spans="1:19" x14ac:dyDescent="0.25">
      <c r="A522" t="e">
        <f t="shared" si="67"/>
        <v>#VALUE!</v>
      </c>
      <c r="B522" t="e">
        <f t="shared" si="68"/>
        <v>#VALUE!</v>
      </c>
      <c r="D522" s="21" t="str" cm="1">
        <f t="array" ref="D522">IF(ROWS($D$7:D522)&gt;COUNTIF('[1]U$S'!$H$5:$H$1008,$L$5),"",INDEX(CuentaUS,_xlfn.AGGREGATE(15,6,ROW('[1]U$S'!$H$5:$H$1008)-ROW('[1]U$S'!$O$5)+1/--('[1]U$S'!$H$5:$H$1008=$L$5),ROWS($D$7:D522)),1))</f>
        <v/>
      </c>
      <c r="E522" s="22" t="str" cm="1">
        <f t="array" ref="E522">IF(ROWS($E$7:E522)&gt;COUNTIF('[1]U$S'!$H$5:$H$1008,$L$5),"",INDEX(CuentaUS,_xlfn.AGGREGATE(15,6,ROW('[1]U$S'!$H$5:$H$1008)-ROW('[1]U$S'!$O$5)+1/--('[1]U$S'!$H$5:$H$1008=$L$5),ROWS($E$7:E522)),6))</f>
        <v/>
      </c>
      <c r="F522" s="22" t="str">
        <f>IF(E522="","",IF(E522&gt;0,SUMIFS('[1]UY$'!$L$5:$L$993,'[1]UY$'!$O$5:$O$993,"Cambio",'[1]UY$'!$E$5:$E$993,'Efecto TC'!D522),""))</f>
        <v/>
      </c>
      <c r="G522" s="23" t="str">
        <f t="shared" si="64"/>
        <v/>
      </c>
      <c r="H522" s="22" t="str">
        <f t="shared" si="65"/>
        <v/>
      </c>
      <c r="I522" s="54" t="str">
        <f t="shared" ref="I522:I585" si="69">IF(H522="","",+H522+I521)</f>
        <v/>
      </c>
      <c r="R522" s="24" t="e">
        <f t="shared" si="66"/>
        <v>#VALUE!</v>
      </c>
      <c r="S522" s="25" t="e">
        <f t="shared" si="63"/>
        <v>#VALUE!</v>
      </c>
    </row>
    <row r="523" spans="1:19" x14ac:dyDescent="0.25">
      <c r="A523" t="e">
        <f t="shared" si="67"/>
        <v>#VALUE!</v>
      </c>
      <c r="B523" t="e">
        <f t="shared" si="68"/>
        <v>#VALUE!</v>
      </c>
      <c r="D523" s="21" t="str" cm="1">
        <f t="array" ref="D523">IF(ROWS($D$7:D523)&gt;COUNTIF('[1]U$S'!$H$5:$H$1008,$L$5),"",INDEX(CuentaUS,_xlfn.AGGREGATE(15,6,ROW('[1]U$S'!$H$5:$H$1008)-ROW('[1]U$S'!$O$5)+1/--('[1]U$S'!$H$5:$H$1008=$L$5),ROWS($D$7:D523)),1))</f>
        <v/>
      </c>
      <c r="E523" s="22" t="str" cm="1">
        <f t="array" ref="E523">IF(ROWS($E$7:E523)&gt;COUNTIF('[1]U$S'!$H$5:$H$1008,$L$5),"",INDEX(CuentaUS,_xlfn.AGGREGATE(15,6,ROW('[1]U$S'!$H$5:$H$1008)-ROW('[1]U$S'!$O$5)+1/--('[1]U$S'!$H$5:$H$1008=$L$5),ROWS($E$7:E523)),6))</f>
        <v/>
      </c>
      <c r="F523" s="22" t="str">
        <f>IF(E523="","",IF(E523&gt;0,SUMIFS('[1]UY$'!$L$5:$L$993,'[1]UY$'!$O$5:$O$993,"Cambio",'[1]UY$'!$E$5:$E$993,'Efecto TC'!D523),""))</f>
        <v/>
      </c>
      <c r="G523" s="23" t="str">
        <f t="shared" si="64"/>
        <v/>
      </c>
      <c r="H523" s="22" t="str">
        <f t="shared" si="65"/>
        <v/>
      </c>
      <c r="I523" s="54" t="str">
        <f t="shared" si="69"/>
        <v/>
      </c>
      <c r="R523" s="24" t="e">
        <f t="shared" si="66"/>
        <v>#VALUE!</v>
      </c>
      <c r="S523" s="25" t="e">
        <f t="shared" si="63"/>
        <v>#VALUE!</v>
      </c>
    </row>
    <row r="524" spans="1:19" x14ac:dyDescent="0.25">
      <c r="A524" t="e">
        <f t="shared" si="67"/>
        <v>#VALUE!</v>
      </c>
      <c r="B524" t="e">
        <f t="shared" si="68"/>
        <v>#VALUE!</v>
      </c>
      <c r="D524" s="21" t="str" cm="1">
        <f t="array" ref="D524">IF(ROWS($D$7:D524)&gt;COUNTIF('[1]U$S'!$H$5:$H$1008,$L$5),"",INDEX(CuentaUS,_xlfn.AGGREGATE(15,6,ROW('[1]U$S'!$H$5:$H$1008)-ROW('[1]U$S'!$O$5)+1/--('[1]U$S'!$H$5:$H$1008=$L$5),ROWS($D$7:D524)),1))</f>
        <v/>
      </c>
      <c r="E524" s="22" t="str" cm="1">
        <f t="array" ref="E524">IF(ROWS($E$7:E524)&gt;COUNTIF('[1]U$S'!$H$5:$H$1008,$L$5),"",INDEX(CuentaUS,_xlfn.AGGREGATE(15,6,ROW('[1]U$S'!$H$5:$H$1008)-ROW('[1]U$S'!$O$5)+1/--('[1]U$S'!$H$5:$H$1008=$L$5),ROWS($E$7:E524)),6))</f>
        <v/>
      </c>
      <c r="F524" s="22" t="str">
        <f>IF(E524="","",IF(E524&gt;0,SUMIFS('[1]UY$'!$L$5:$L$993,'[1]UY$'!$O$5:$O$993,"Cambio",'[1]UY$'!$E$5:$E$993,'Efecto TC'!D524),""))</f>
        <v/>
      </c>
      <c r="G524" s="23" t="str">
        <f t="shared" si="64"/>
        <v/>
      </c>
      <c r="H524" s="22" t="str">
        <f t="shared" si="65"/>
        <v/>
      </c>
      <c r="I524" s="54" t="str">
        <f t="shared" si="69"/>
        <v/>
      </c>
      <c r="R524" s="24" t="e">
        <f t="shared" si="66"/>
        <v>#VALUE!</v>
      </c>
      <c r="S524" s="25" t="e">
        <f t="shared" si="63"/>
        <v>#VALUE!</v>
      </c>
    </row>
    <row r="525" spans="1:19" x14ac:dyDescent="0.25">
      <c r="A525" t="e">
        <f t="shared" si="67"/>
        <v>#VALUE!</v>
      </c>
      <c r="B525" t="e">
        <f t="shared" si="68"/>
        <v>#VALUE!</v>
      </c>
      <c r="D525" s="21" t="str" cm="1">
        <f t="array" ref="D525">IF(ROWS($D$7:D525)&gt;COUNTIF('[1]U$S'!$H$5:$H$1008,$L$5),"",INDEX(CuentaUS,_xlfn.AGGREGATE(15,6,ROW('[1]U$S'!$H$5:$H$1008)-ROW('[1]U$S'!$O$5)+1/--('[1]U$S'!$H$5:$H$1008=$L$5),ROWS($D$7:D525)),1))</f>
        <v/>
      </c>
      <c r="E525" s="22" t="str" cm="1">
        <f t="array" ref="E525">IF(ROWS($E$7:E525)&gt;COUNTIF('[1]U$S'!$H$5:$H$1008,$L$5),"",INDEX(CuentaUS,_xlfn.AGGREGATE(15,6,ROW('[1]U$S'!$H$5:$H$1008)-ROW('[1]U$S'!$O$5)+1/--('[1]U$S'!$H$5:$H$1008=$L$5),ROWS($E$7:E525)),6))</f>
        <v/>
      </c>
      <c r="F525" s="22" t="str">
        <f>IF(E525="","",IF(E525&gt;0,SUMIFS('[1]UY$'!$L$5:$L$993,'[1]UY$'!$O$5:$O$993,"Cambio",'[1]UY$'!$E$5:$E$993,'Efecto TC'!D525),""))</f>
        <v/>
      </c>
      <c r="G525" s="23" t="str">
        <f t="shared" si="64"/>
        <v/>
      </c>
      <c r="H525" s="22" t="str">
        <f t="shared" si="65"/>
        <v/>
      </c>
      <c r="I525" s="54" t="str">
        <f t="shared" si="69"/>
        <v/>
      </c>
      <c r="R525" s="24" t="e">
        <f t="shared" si="66"/>
        <v>#VALUE!</v>
      </c>
      <c r="S525" s="25" t="e">
        <f t="shared" si="63"/>
        <v>#VALUE!</v>
      </c>
    </row>
    <row r="526" spans="1:19" x14ac:dyDescent="0.25">
      <c r="A526" t="e">
        <f t="shared" si="67"/>
        <v>#VALUE!</v>
      </c>
      <c r="B526" t="e">
        <f t="shared" si="68"/>
        <v>#VALUE!</v>
      </c>
      <c r="D526" s="21" t="str" cm="1">
        <f t="array" ref="D526">IF(ROWS($D$7:D526)&gt;COUNTIF('[1]U$S'!$H$5:$H$1008,$L$5),"",INDEX(CuentaUS,_xlfn.AGGREGATE(15,6,ROW('[1]U$S'!$H$5:$H$1008)-ROW('[1]U$S'!$O$5)+1/--('[1]U$S'!$H$5:$H$1008=$L$5),ROWS($D$7:D526)),1))</f>
        <v/>
      </c>
      <c r="E526" s="22" t="str" cm="1">
        <f t="array" ref="E526">IF(ROWS($E$7:E526)&gt;COUNTIF('[1]U$S'!$H$5:$H$1008,$L$5),"",INDEX(CuentaUS,_xlfn.AGGREGATE(15,6,ROW('[1]U$S'!$H$5:$H$1008)-ROW('[1]U$S'!$O$5)+1/--('[1]U$S'!$H$5:$H$1008=$L$5),ROWS($E$7:E526)),6))</f>
        <v/>
      </c>
      <c r="F526" s="22" t="str">
        <f>IF(E526="","",IF(E526&gt;0,SUMIFS('[1]UY$'!$L$5:$L$993,'[1]UY$'!$O$5:$O$993,"Cambio",'[1]UY$'!$E$5:$E$993,'Efecto TC'!D526),""))</f>
        <v/>
      </c>
      <c r="G526" s="23" t="str">
        <f t="shared" si="64"/>
        <v/>
      </c>
      <c r="H526" s="22" t="str">
        <f t="shared" si="65"/>
        <v/>
      </c>
      <c r="I526" s="54" t="str">
        <f t="shared" si="69"/>
        <v/>
      </c>
      <c r="R526" s="24" t="e">
        <f t="shared" si="66"/>
        <v>#VALUE!</v>
      </c>
      <c r="S526" s="25" t="e">
        <f t="shared" si="63"/>
        <v>#VALUE!</v>
      </c>
    </row>
    <row r="527" spans="1:19" x14ac:dyDescent="0.25">
      <c r="A527" t="e">
        <f t="shared" si="67"/>
        <v>#VALUE!</v>
      </c>
      <c r="B527" t="e">
        <f t="shared" si="68"/>
        <v>#VALUE!</v>
      </c>
      <c r="D527" s="21" t="str" cm="1">
        <f t="array" ref="D527">IF(ROWS($D$7:D527)&gt;COUNTIF('[1]U$S'!$H$5:$H$1008,$L$5),"",INDEX(CuentaUS,_xlfn.AGGREGATE(15,6,ROW('[1]U$S'!$H$5:$H$1008)-ROW('[1]U$S'!$O$5)+1/--('[1]U$S'!$H$5:$H$1008=$L$5),ROWS($D$7:D527)),1))</f>
        <v/>
      </c>
      <c r="E527" s="22" t="str" cm="1">
        <f t="array" ref="E527">IF(ROWS($E$7:E527)&gt;COUNTIF('[1]U$S'!$H$5:$H$1008,$L$5),"",INDEX(CuentaUS,_xlfn.AGGREGATE(15,6,ROW('[1]U$S'!$H$5:$H$1008)-ROW('[1]U$S'!$O$5)+1/--('[1]U$S'!$H$5:$H$1008=$L$5),ROWS($E$7:E527)),6))</f>
        <v/>
      </c>
      <c r="F527" s="22" t="str">
        <f>IF(E527="","",IF(E527&gt;0,SUMIFS('[1]UY$'!$L$5:$L$993,'[1]UY$'!$O$5:$O$993,"Cambio",'[1]UY$'!$E$5:$E$993,'Efecto TC'!D527),""))</f>
        <v/>
      </c>
      <c r="G527" s="23" t="str">
        <f t="shared" si="64"/>
        <v/>
      </c>
      <c r="H527" s="22" t="str">
        <f t="shared" si="65"/>
        <v/>
      </c>
      <c r="I527" s="54" t="str">
        <f t="shared" si="69"/>
        <v/>
      </c>
      <c r="R527" s="24" t="e">
        <f t="shared" si="66"/>
        <v>#VALUE!</v>
      </c>
      <c r="S527" s="25" t="e">
        <f t="shared" si="63"/>
        <v>#VALUE!</v>
      </c>
    </row>
    <row r="528" spans="1:19" x14ac:dyDescent="0.25">
      <c r="A528" t="e">
        <f t="shared" si="67"/>
        <v>#VALUE!</v>
      </c>
      <c r="B528" t="e">
        <f t="shared" si="68"/>
        <v>#VALUE!</v>
      </c>
      <c r="D528" s="21" t="str" cm="1">
        <f t="array" ref="D528">IF(ROWS($D$7:D528)&gt;COUNTIF('[1]U$S'!$H$5:$H$1008,$L$5),"",INDEX(CuentaUS,_xlfn.AGGREGATE(15,6,ROW('[1]U$S'!$H$5:$H$1008)-ROW('[1]U$S'!$O$5)+1/--('[1]U$S'!$H$5:$H$1008=$L$5),ROWS($D$7:D528)),1))</f>
        <v/>
      </c>
      <c r="E528" s="22" t="str" cm="1">
        <f t="array" ref="E528">IF(ROWS($E$7:E528)&gt;COUNTIF('[1]U$S'!$H$5:$H$1008,$L$5),"",INDEX(CuentaUS,_xlfn.AGGREGATE(15,6,ROW('[1]U$S'!$H$5:$H$1008)-ROW('[1]U$S'!$O$5)+1/--('[1]U$S'!$H$5:$H$1008=$L$5),ROWS($E$7:E528)),6))</f>
        <v/>
      </c>
      <c r="F528" s="22" t="str">
        <f>IF(E528="","",IF(E528&gt;0,SUMIFS('[1]UY$'!$L$5:$L$993,'[1]UY$'!$O$5:$O$993,"Cambio",'[1]UY$'!$E$5:$E$993,'Efecto TC'!D528),""))</f>
        <v/>
      </c>
      <c r="G528" s="23" t="str">
        <f t="shared" si="64"/>
        <v/>
      </c>
      <c r="H528" s="22" t="str">
        <f t="shared" si="65"/>
        <v/>
      </c>
      <c r="I528" s="54" t="str">
        <f t="shared" si="69"/>
        <v/>
      </c>
      <c r="R528" s="24" t="e">
        <f t="shared" si="66"/>
        <v>#VALUE!</v>
      </c>
      <c r="S528" s="25" t="e">
        <f t="shared" si="63"/>
        <v>#VALUE!</v>
      </c>
    </row>
    <row r="529" spans="1:19" x14ac:dyDescent="0.25">
      <c r="A529" t="e">
        <f t="shared" si="67"/>
        <v>#VALUE!</v>
      </c>
      <c r="B529" t="e">
        <f t="shared" si="68"/>
        <v>#VALUE!</v>
      </c>
      <c r="D529" s="21" t="str" cm="1">
        <f t="array" ref="D529">IF(ROWS($D$7:D529)&gt;COUNTIF('[1]U$S'!$H$5:$H$1008,$L$5),"",INDEX(CuentaUS,_xlfn.AGGREGATE(15,6,ROW('[1]U$S'!$H$5:$H$1008)-ROW('[1]U$S'!$O$5)+1/--('[1]U$S'!$H$5:$H$1008=$L$5),ROWS($D$7:D529)),1))</f>
        <v/>
      </c>
      <c r="E529" s="22" t="str" cm="1">
        <f t="array" ref="E529">IF(ROWS($E$7:E529)&gt;COUNTIF('[1]U$S'!$H$5:$H$1008,$L$5),"",INDEX(CuentaUS,_xlfn.AGGREGATE(15,6,ROW('[1]U$S'!$H$5:$H$1008)-ROW('[1]U$S'!$O$5)+1/--('[1]U$S'!$H$5:$H$1008=$L$5),ROWS($E$7:E529)),6))</f>
        <v/>
      </c>
      <c r="F529" s="22" t="str">
        <f>IF(E529="","",IF(E529&gt;0,SUMIFS('[1]UY$'!$L$5:$L$993,'[1]UY$'!$O$5:$O$993,"Cambio",'[1]UY$'!$E$5:$E$993,'Efecto TC'!D529),""))</f>
        <v/>
      </c>
      <c r="G529" s="23" t="str">
        <f t="shared" si="64"/>
        <v/>
      </c>
      <c r="H529" s="22" t="str">
        <f t="shared" si="65"/>
        <v/>
      </c>
      <c r="I529" s="54" t="str">
        <f t="shared" si="69"/>
        <v/>
      </c>
      <c r="R529" s="24" t="e">
        <f t="shared" si="66"/>
        <v>#VALUE!</v>
      </c>
      <c r="S529" s="25" t="e">
        <f t="shared" si="63"/>
        <v>#VALUE!</v>
      </c>
    </row>
    <row r="530" spans="1:19" x14ac:dyDescent="0.25">
      <c r="A530" t="e">
        <f t="shared" si="67"/>
        <v>#VALUE!</v>
      </c>
      <c r="B530" t="e">
        <f t="shared" si="68"/>
        <v>#VALUE!</v>
      </c>
      <c r="D530" s="21" t="str" cm="1">
        <f t="array" ref="D530">IF(ROWS($D$7:D530)&gt;COUNTIF('[1]U$S'!$H$5:$H$1008,$L$5),"",INDEX(CuentaUS,_xlfn.AGGREGATE(15,6,ROW('[1]U$S'!$H$5:$H$1008)-ROW('[1]U$S'!$O$5)+1/--('[1]U$S'!$H$5:$H$1008=$L$5),ROWS($D$7:D530)),1))</f>
        <v/>
      </c>
      <c r="E530" s="22" t="str" cm="1">
        <f t="array" ref="E530">IF(ROWS($E$7:E530)&gt;COUNTIF('[1]U$S'!$H$5:$H$1008,$L$5),"",INDEX(CuentaUS,_xlfn.AGGREGATE(15,6,ROW('[1]U$S'!$H$5:$H$1008)-ROW('[1]U$S'!$O$5)+1/--('[1]U$S'!$H$5:$H$1008=$L$5),ROWS($E$7:E530)),6))</f>
        <v/>
      </c>
      <c r="F530" s="22" t="str">
        <f>IF(E530="","",IF(E530&gt;0,SUMIFS('[1]UY$'!$L$5:$L$993,'[1]UY$'!$O$5:$O$993,"Cambio",'[1]UY$'!$E$5:$E$993,'Efecto TC'!D530),""))</f>
        <v/>
      </c>
      <c r="G530" s="23" t="str">
        <f t="shared" si="64"/>
        <v/>
      </c>
      <c r="H530" s="22" t="str">
        <f t="shared" si="65"/>
        <v/>
      </c>
      <c r="I530" s="54" t="str">
        <f t="shared" si="69"/>
        <v/>
      </c>
      <c r="R530" s="24" t="e">
        <f t="shared" si="66"/>
        <v>#VALUE!</v>
      </c>
      <c r="S530" s="25" t="e">
        <f t="shared" si="63"/>
        <v>#VALUE!</v>
      </c>
    </row>
    <row r="531" spans="1:19" x14ac:dyDescent="0.25">
      <c r="A531" t="e">
        <f t="shared" si="67"/>
        <v>#VALUE!</v>
      </c>
      <c r="B531" t="e">
        <f t="shared" si="68"/>
        <v>#VALUE!</v>
      </c>
      <c r="D531" s="21" t="str" cm="1">
        <f t="array" ref="D531">IF(ROWS($D$7:D531)&gt;COUNTIF('[1]U$S'!$H$5:$H$1008,$L$5),"",INDEX(CuentaUS,_xlfn.AGGREGATE(15,6,ROW('[1]U$S'!$H$5:$H$1008)-ROW('[1]U$S'!$O$5)+1/--('[1]U$S'!$H$5:$H$1008=$L$5),ROWS($D$7:D531)),1))</f>
        <v/>
      </c>
      <c r="E531" s="22" t="str" cm="1">
        <f t="array" ref="E531">IF(ROWS($E$7:E531)&gt;COUNTIF('[1]U$S'!$H$5:$H$1008,$L$5),"",INDEX(CuentaUS,_xlfn.AGGREGATE(15,6,ROW('[1]U$S'!$H$5:$H$1008)-ROW('[1]U$S'!$O$5)+1/--('[1]U$S'!$H$5:$H$1008=$L$5),ROWS($E$7:E531)),6))</f>
        <v/>
      </c>
      <c r="F531" s="22" t="str">
        <f>IF(E531="","",IF(E531&gt;0,SUMIFS('[1]UY$'!$L$5:$L$993,'[1]UY$'!$O$5:$O$993,"Cambio",'[1]UY$'!$E$5:$E$993,'Efecto TC'!D531),""))</f>
        <v/>
      </c>
      <c r="G531" s="23" t="str">
        <f t="shared" si="64"/>
        <v/>
      </c>
      <c r="H531" s="22" t="str">
        <f t="shared" si="65"/>
        <v/>
      </c>
      <c r="I531" s="54" t="str">
        <f t="shared" si="69"/>
        <v/>
      </c>
      <c r="R531" s="24" t="e">
        <f t="shared" si="66"/>
        <v>#VALUE!</v>
      </c>
      <c r="S531" s="25" t="e">
        <f t="shared" si="63"/>
        <v>#VALUE!</v>
      </c>
    </row>
    <row r="532" spans="1:19" x14ac:dyDescent="0.25">
      <c r="A532" t="e">
        <f t="shared" si="67"/>
        <v>#VALUE!</v>
      </c>
      <c r="B532" t="e">
        <f t="shared" si="68"/>
        <v>#VALUE!</v>
      </c>
      <c r="D532" s="21" t="str" cm="1">
        <f t="array" ref="D532">IF(ROWS($D$7:D532)&gt;COUNTIF('[1]U$S'!$H$5:$H$1008,$L$5),"",INDEX(CuentaUS,_xlfn.AGGREGATE(15,6,ROW('[1]U$S'!$H$5:$H$1008)-ROW('[1]U$S'!$O$5)+1/--('[1]U$S'!$H$5:$H$1008=$L$5),ROWS($D$7:D532)),1))</f>
        <v/>
      </c>
      <c r="E532" s="22" t="str" cm="1">
        <f t="array" ref="E532">IF(ROWS($E$7:E532)&gt;COUNTIF('[1]U$S'!$H$5:$H$1008,$L$5),"",INDEX(CuentaUS,_xlfn.AGGREGATE(15,6,ROW('[1]U$S'!$H$5:$H$1008)-ROW('[1]U$S'!$O$5)+1/--('[1]U$S'!$H$5:$H$1008=$L$5),ROWS($E$7:E532)),6))</f>
        <v/>
      </c>
      <c r="F532" s="22" t="str">
        <f>IF(E532="","",IF(E532&gt;0,SUMIFS('[1]UY$'!$L$5:$L$993,'[1]UY$'!$O$5:$O$993,"Cambio",'[1]UY$'!$E$5:$E$993,'Efecto TC'!D532),""))</f>
        <v/>
      </c>
      <c r="G532" s="23" t="str">
        <f t="shared" si="64"/>
        <v/>
      </c>
      <c r="H532" s="22" t="str">
        <f t="shared" si="65"/>
        <v/>
      </c>
      <c r="I532" s="54" t="str">
        <f t="shared" si="69"/>
        <v/>
      </c>
      <c r="R532" s="24" t="e">
        <f t="shared" si="66"/>
        <v>#VALUE!</v>
      </c>
      <c r="S532" s="25" t="e">
        <f t="shared" si="63"/>
        <v>#VALUE!</v>
      </c>
    </row>
    <row r="533" spans="1:19" x14ac:dyDescent="0.25">
      <c r="A533" t="e">
        <f t="shared" si="67"/>
        <v>#VALUE!</v>
      </c>
      <c r="B533" t="e">
        <f t="shared" si="68"/>
        <v>#VALUE!</v>
      </c>
      <c r="D533" s="21" t="str" cm="1">
        <f t="array" ref="D533">IF(ROWS($D$7:D533)&gt;COUNTIF('[1]U$S'!$H$5:$H$1008,$L$5),"",INDEX(CuentaUS,_xlfn.AGGREGATE(15,6,ROW('[1]U$S'!$H$5:$H$1008)-ROW('[1]U$S'!$O$5)+1/--('[1]U$S'!$H$5:$H$1008=$L$5),ROWS($D$7:D533)),1))</f>
        <v/>
      </c>
      <c r="E533" s="22" t="str" cm="1">
        <f t="array" ref="E533">IF(ROWS($E$7:E533)&gt;COUNTIF('[1]U$S'!$H$5:$H$1008,$L$5),"",INDEX(CuentaUS,_xlfn.AGGREGATE(15,6,ROW('[1]U$S'!$H$5:$H$1008)-ROW('[1]U$S'!$O$5)+1/--('[1]U$S'!$H$5:$H$1008=$L$5),ROWS($E$7:E533)),6))</f>
        <v/>
      </c>
      <c r="F533" s="22" t="str">
        <f>IF(E533="","",IF(E533&gt;0,SUMIFS('[1]UY$'!$L$5:$L$993,'[1]UY$'!$O$5:$O$993,"Cambio",'[1]UY$'!$E$5:$E$993,'Efecto TC'!D533),""))</f>
        <v/>
      </c>
      <c r="G533" s="23" t="str">
        <f t="shared" si="64"/>
        <v/>
      </c>
      <c r="H533" s="22" t="str">
        <f t="shared" si="65"/>
        <v/>
      </c>
      <c r="I533" s="54" t="str">
        <f t="shared" si="69"/>
        <v/>
      </c>
      <c r="R533" s="24" t="e">
        <f t="shared" si="66"/>
        <v>#VALUE!</v>
      </c>
      <c r="S533" s="25" t="e">
        <f t="shared" si="63"/>
        <v>#VALUE!</v>
      </c>
    </row>
    <row r="534" spans="1:19" x14ac:dyDescent="0.25">
      <c r="A534" t="e">
        <f t="shared" si="67"/>
        <v>#VALUE!</v>
      </c>
      <c r="B534" t="e">
        <f t="shared" si="68"/>
        <v>#VALUE!</v>
      </c>
      <c r="D534" s="21" t="str" cm="1">
        <f t="array" ref="D534">IF(ROWS($D$7:D534)&gt;COUNTIF('[1]U$S'!$H$5:$H$1008,$L$5),"",INDEX(CuentaUS,_xlfn.AGGREGATE(15,6,ROW('[1]U$S'!$H$5:$H$1008)-ROW('[1]U$S'!$O$5)+1/--('[1]U$S'!$H$5:$H$1008=$L$5),ROWS($D$7:D534)),1))</f>
        <v/>
      </c>
      <c r="E534" s="22" t="str" cm="1">
        <f t="array" ref="E534">IF(ROWS($E$7:E534)&gt;COUNTIF('[1]U$S'!$H$5:$H$1008,$L$5),"",INDEX(CuentaUS,_xlfn.AGGREGATE(15,6,ROW('[1]U$S'!$H$5:$H$1008)-ROW('[1]U$S'!$O$5)+1/--('[1]U$S'!$H$5:$H$1008=$L$5),ROWS($E$7:E534)),6))</f>
        <v/>
      </c>
      <c r="F534" s="22" t="str">
        <f>IF(E534="","",IF(E534&gt;0,SUMIFS('[1]UY$'!$L$5:$L$993,'[1]UY$'!$O$5:$O$993,"Cambio",'[1]UY$'!$E$5:$E$993,'Efecto TC'!D534),""))</f>
        <v/>
      </c>
      <c r="G534" s="23" t="str">
        <f t="shared" si="64"/>
        <v/>
      </c>
      <c r="H534" s="22" t="str">
        <f t="shared" si="65"/>
        <v/>
      </c>
      <c r="I534" s="54" t="str">
        <f t="shared" si="69"/>
        <v/>
      </c>
      <c r="R534" s="24" t="e">
        <f t="shared" si="66"/>
        <v>#VALUE!</v>
      </c>
      <c r="S534" s="25" t="e">
        <f t="shared" si="63"/>
        <v>#VALUE!</v>
      </c>
    </row>
    <row r="535" spans="1:19" x14ac:dyDescent="0.25">
      <c r="A535" t="e">
        <f t="shared" si="67"/>
        <v>#VALUE!</v>
      </c>
      <c r="B535" t="e">
        <f t="shared" si="68"/>
        <v>#VALUE!</v>
      </c>
      <c r="D535" s="21" t="str" cm="1">
        <f t="array" ref="D535">IF(ROWS($D$7:D535)&gt;COUNTIF('[1]U$S'!$H$5:$H$1008,$L$5),"",INDEX(CuentaUS,_xlfn.AGGREGATE(15,6,ROW('[1]U$S'!$H$5:$H$1008)-ROW('[1]U$S'!$O$5)+1/--('[1]U$S'!$H$5:$H$1008=$L$5),ROWS($D$7:D535)),1))</f>
        <v/>
      </c>
      <c r="E535" s="22" t="str" cm="1">
        <f t="array" ref="E535">IF(ROWS($E$7:E535)&gt;COUNTIF('[1]U$S'!$H$5:$H$1008,$L$5),"",INDEX(CuentaUS,_xlfn.AGGREGATE(15,6,ROW('[1]U$S'!$H$5:$H$1008)-ROW('[1]U$S'!$O$5)+1/--('[1]U$S'!$H$5:$H$1008=$L$5),ROWS($E$7:E535)),6))</f>
        <v/>
      </c>
      <c r="F535" s="22" t="str">
        <f>IF(E535="","",IF(E535&gt;0,SUMIFS('[1]UY$'!$L$5:$L$993,'[1]UY$'!$O$5:$O$993,"Cambio",'[1]UY$'!$E$5:$E$993,'Efecto TC'!D535),""))</f>
        <v/>
      </c>
      <c r="G535" s="23" t="str">
        <f t="shared" si="64"/>
        <v/>
      </c>
      <c r="H535" s="22" t="str">
        <f t="shared" si="65"/>
        <v/>
      </c>
      <c r="I535" s="54" t="str">
        <f t="shared" si="69"/>
        <v/>
      </c>
      <c r="R535" s="24" t="e">
        <f t="shared" si="66"/>
        <v>#VALUE!</v>
      </c>
      <c r="S535" s="25" t="e">
        <f t="shared" si="63"/>
        <v>#VALUE!</v>
      </c>
    </row>
    <row r="536" spans="1:19" x14ac:dyDescent="0.25">
      <c r="A536" t="e">
        <f t="shared" si="67"/>
        <v>#VALUE!</v>
      </c>
      <c r="B536" t="e">
        <f t="shared" si="68"/>
        <v>#VALUE!</v>
      </c>
      <c r="D536" s="21" t="str" cm="1">
        <f t="array" ref="D536">IF(ROWS($D$7:D536)&gt;COUNTIF('[1]U$S'!$H$5:$H$1008,$L$5),"",INDEX(CuentaUS,_xlfn.AGGREGATE(15,6,ROW('[1]U$S'!$H$5:$H$1008)-ROW('[1]U$S'!$O$5)+1/--('[1]U$S'!$H$5:$H$1008=$L$5),ROWS($D$7:D536)),1))</f>
        <v/>
      </c>
      <c r="E536" s="22" t="str" cm="1">
        <f t="array" ref="E536">IF(ROWS($E$7:E536)&gt;COUNTIF('[1]U$S'!$H$5:$H$1008,$L$5),"",INDEX(CuentaUS,_xlfn.AGGREGATE(15,6,ROW('[1]U$S'!$H$5:$H$1008)-ROW('[1]U$S'!$O$5)+1/--('[1]U$S'!$H$5:$H$1008=$L$5),ROWS($E$7:E536)),6))</f>
        <v/>
      </c>
      <c r="F536" s="22" t="str">
        <f>IF(E536="","",IF(E536&gt;0,SUMIFS('[1]UY$'!$L$5:$L$993,'[1]UY$'!$O$5:$O$993,"Cambio",'[1]UY$'!$E$5:$E$993,'Efecto TC'!D536),""))</f>
        <v/>
      </c>
      <c r="G536" s="23" t="str">
        <f t="shared" si="64"/>
        <v/>
      </c>
      <c r="H536" s="22" t="str">
        <f t="shared" si="65"/>
        <v/>
      </c>
      <c r="I536" s="54" t="str">
        <f t="shared" si="69"/>
        <v/>
      </c>
      <c r="R536" s="24" t="e">
        <f t="shared" si="66"/>
        <v>#VALUE!</v>
      </c>
      <c r="S536" s="25" t="e">
        <f t="shared" si="63"/>
        <v>#VALUE!</v>
      </c>
    </row>
    <row r="537" spans="1:19" x14ac:dyDescent="0.25">
      <c r="A537" t="e">
        <f t="shared" si="67"/>
        <v>#VALUE!</v>
      </c>
      <c r="B537" t="e">
        <f t="shared" si="68"/>
        <v>#VALUE!</v>
      </c>
      <c r="D537" s="21" t="str" cm="1">
        <f t="array" ref="D537">IF(ROWS($D$7:D537)&gt;COUNTIF('[1]U$S'!$H$5:$H$1008,$L$5),"",INDEX(CuentaUS,_xlfn.AGGREGATE(15,6,ROW('[1]U$S'!$H$5:$H$1008)-ROW('[1]U$S'!$O$5)+1/--('[1]U$S'!$H$5:$H$1008=$L$5),ROWS($D$7:D537)),1))</f>
        <v/>
      </c>
      <c r="E537" s="22" t="str" cm="1">
        <f t="array" ref="E537">IF(ROWS($E$7:E537)&gt;COUNTIF('[1]U$S'!$H$5:$H$1008,$L$5),"",INDEX(CuentaUS,_xlfn.AGGREGATE(15,6,ROW('[1]U$S'!$H$5:$H$1008)-ROW('[1]U$S'!$O$5)+1/--('[1]U$S'!$H$5:$H$1008=$L$5),ROWS($E$7:E537)),6))</f>
        <v/>
      </c>
      <c r="F537" s="22" t="str">
        <f>IF(E537="","",IF(E537&gt;0,SUMIFS('[1]UY$'!$L$5:$L$993,'[1]UY$'!$O$5:$O$993,"Cambio",'[1]UY$'!$E$5:$E$993,'Efecto TC'!D537),""))</f>
        <v/>
      </c>
      <c r="G537" s="23" t="str">
        <f t="shared" si="64"/>
        <v/>
      </c>
      <c r="H537" s="22" t="str">
        <f t="shared" si="65"/>
        <v/>
      </c>
      <c r="I537" s="54" t="str">
        <f t="shared" si="69"/>
        <v/>
      </c>
      <c r="R537" s="24" t="e">
        <f t="shared" si="66"/>
        <v>#VALUE!</v>
      </c>
      <c r="S537" s="25" t="e">
        <f t="shared" si="63"/>
        <v>#VALUE!</v>
      </c>
    </row>
    <row r="538" spans="1:19" x14ac:dyDescent="0.25">
      <c r="A538" t="e">
        <f t="shared" si="67"/>
        <v>#VALUE!</v>
      </c>
      <c r="B538" t="e">
        <f t="shared" si="68"/>
        <v>#VALUE!</v>
      </c>
      <c r="D538" s="21" t="str" cm="1">
        <f t="array" ref="D538">IF(ROWS($D$7:D538)&gt;COUNTIF('[1]U$S'!$H$5:$H$1008,$L$5),"",INDEX(CuentaUS,_xlfn.AGGREGATE(15,6,ROW('[1]U$S'!$H$5:$H$1008)-ROW('[1]U$S'!$O$5)+1/--('[1]U$S'!$H$5:$H$1008=$L$5),ROWS($D$7:D538)),1))</f>
        <v/>
      </c>
      <c r="E538" s="22" t="str" cm="1">
        <f t="array" ref="E538">IF(ROWS($E$7:E538)&gt;COUNTIF('[1]U$S'!$H$5:$H$1008,$L$5),"",INDEX(CuentaUS,_xlfn.AGGREGATE(15,6,ROW('[1]U$S'!$H$5:$H$1008)-ROW('[1]U$S'!$O$5)+1/--('[1]U$S'!$H$5:$H$1008=$L$5),ROWS($E$7:E538)),6))</f>
        <v/>
      </c>
      <c r="F538" s="22" t="str">
        <f>IF(E538="","",IF(E538&gt;0,SUMIFS('[1]UY$'!$L$5:$L$993,'[1]UY$'!$O$5:$O$993,"Cambio",'[1]UY$'!$E$5:$E$993,'Efecto TC'!D538),""))</f>
        <v/>
      </c>
      <c r="G538" s="23" t="str">
        <f t="shared" si="64"/>
        <v/>
      </c>
      <c r="H538" s="22" t="str">
        <f t="shared" si="65"/>
        <v/>
      </c>
      <c r="I538" s="54" t="str">
        <f t="shared" si="69"/>
        <v/>
      </c>
      <c r="R538" s="24" t="e">
        <f t="shared" si="66"/>
        <v>#VALUE!</v>
      </c>
      <c r="S538" s="25" t="e">
        <f t="shared" si="63"/>
        <v>#VALUE!</v>
      </c>
    </row>
    <row r="539" spans="1:19" x14ac:dyDescent="0.25">
      <c r="A539" t="e">
        <f t="shared" si="67"/>
        <v>#VALUE!</v>
      </c>
      <c r="B539" t="e">
        <f t="shared" si="68"/>
        <v>#VALUE!</v>
      </c>
      <c r="D539" s="21" t="str" cm="1">
        <f t="array" ref="D539">IF(ROWS($D$7:D539)&gt;COUNTIF('[1]U$S'!$H$5:$H$1008,$L$5),"",INDEX(CuentaUS,_xlfn.AGGREGATE(15,6,ROW('[1]U$S'!$H$5:$H$1008)-ROW('[1]U$S'!$O$5)+1/--('[1]U$S'!$H$5:$H$1008=$L$5),ROWS($D$7:D539)),1))</f>
        <v/>
      </c>
      <c r="E539" s="22" t="str" cm="1">
        <f t="array" ref="E539">IF(ROWS($E$7:E539)&gt;COUNTIF('[1]U$S'!$H$5:$H$1008,$L$5),"",INDEX(CuentaUS,_xlfn.AGGREGATE(15,6,ROW('[1]U$S'!$H$5:$H$1008)-ROW('[1]U$S'!$O$5)+1/--('[1]U$S'!$H$5:$H$1008=$L$5),ROWS($E$7:E539)),6))</f>
        <v/>
      </c>
      <c r="F539" s="22" t="str">
        <f>IF(E539="","",IF(E539&gt;0,SUMIFS('[1]UY$'!$L$5:$L$993,'[1]UY$'!$O$5:$O$993,"Cambio",'[1]UY$'!$E$5:$E$993,'Efecto TC'!D539),""))</f>
        <v/>
      </c>
      <c r="G539" s="23" t="str">
        <f t="shared" si="64"/>
        <v/>
      </c>
      <c r="H539" s="22" t="str">
        <f t="shared" si="65"/>
        <v/>
      </c>
      <c r="I539" s="54" t="str">
        <f t="shared" si="69"/>
        <v/>
      </c>
      <c r="R539" s="24" t="e">
        <f t="shared" si="66"/>
        <v>#VALUE!</v>
      </c>
      <c r="S539" s="25" t="e">
        <f t="shared" ref="S539:S602" si="70">R539*G533</f>
        <v>#VALUE!</v>
      </c>
    </row>
    <row r="540" spans="1:19" x14ac:dyDescent="0.25">
      <c r="A540" t="e">
        <f t="shared" si="67"/>
        <v>#VALUE!</v>
      </c>
      <c r="B540" t="e">
        <f t="shared" si="68"/>
        <v>#VALUE!</v>
      </c>
      <c r="D540" s="21" t="str" cm="1">
        <f t="array" ref="D540">IF(ROWS($D$7:D540)&gt;COUNTIF('[1]U$S'!$H$5:$H$1008,$L$5),"",INDEX(CuentaUS,_xlfn.AGGREGATE(15,6,ROW('[1]U$S'!$H$5:$H$1008)-ROW('[1]U$S'!$O$5)+1/--('[1]U$S'!$H$5:$H$1008=$L$5),ROWS($D$7:D540)),1))</f>
        <v/>
      </c>
      <c r="E540" s="22" t="str" cm="1">
        <f t="array" ref="E540">IF(ROWS($E$7:E540)&gt;COUNTIF('[1]U$S'!$H$5:$H$1008,$L$5),"",INDEX(CuentaUS,_xlfn.AGGREGATE(15,6,ROW('[1]U$S'!$H$5:$H$1008)-ROW('[1]U$S'!$O$5)+1/--('[1]U$S'!$H$5:$H$1008=$L$5),ROWS($E$7:E540)),6))</f>
        <v/>
      </c>
      <c r="F540" s="22" t="str">
        <f>IF(E540="","",IF(E540&gt;0,SUMIFS('[1]UY$'!$L$5:$L$993,'[1]UY$'!$O$5:$O$993,"Cambio",'[1]UY$'!$E$5:$E$993,'Efecto TC'!D540),""))</f>
        <v/>
      </c>
      <c r="G540" s="23" t="str">
        <f t="shared" si="64"/>
        <v/>
      </c>
      <c r="H540" s="22" t="str">
        <f t="shared" si="65"/>
        <v/>
      </c>
      <c r="I540" s="54" t="str">
        <f t="shared" si="69"/>
        <v/>
      </c>
      <c r="R540" s="24" t="e">
        <f t="shared" si="66"/>
        <v>#VALUE!</v>
      </c>
      <c r="S540" s="25" t="e">
        <f t="shared" si="70"/>
        <v>#VALUE!</v>
      </c>
    </row>
    <row r="541" spans="1:19" x14ac:dyDescent="0.25">
      <c r="A541" t="e">
        <f t="shared" si="67"/>
        <v>#VALUE!</v>
      </c>
      <c r="B541" t="e">
        <f t="shared" si="68"/>
        <v>#VALUE!</v>
      </c>
      <c r="D541" s="21" t="str" cm="1">
        <f t="array" ref="D541">IF(ROWS($D$7:D541)&gt;COUNTIF('[1]U$S'!$H$5:$H$1008,$L$5),"",INDEX(CuentaUS,_xlfn.AGGREGATE(15,6,ROW('[1]U$S'!$H$5:$H$1008)-ROW('[1]U$S'!$O$5)+1/--('[1]U$S'!$H$5:$H$1008=$L$5),ROWS($D$7:D541)),1))</f>
        <v/>
      </c>
      <c r="E541" s="22" t="str" cm="1">
        <f t="array" ref="E541">IF(ROWS($E$7:E541)&gt;COUNTIF('[1]U$S'!$H$5:$H$1008,$L$5),"",INDEX(CuentaUS,_xlfn.AGGREGATE(15,6,ROW('[1]U$S'!$H$5:$H$1008)-ROW('[1]U$S'!$O$5)+1/--('[1]U$S'!$H$5:$H$1008=$L$5),ROWS($E$7:E541)),6))</f>
        <v/>
      </c>
      <c r="F541" s="22" t="str">
        <f>IF(E541="","",IF(E541&gt;0,SUMIFS('[1]UY$'!$L$5:$L$993,'[1]UY$'!$O$5:$O$993,"Cambio",'[1]UY$'!$E$5:$E$993,'Efecto TC'!D541),""))</f>
        <v/>
      </c>
      <c r="G541" s="23" t="str">
        <f t="shared" si="64"/>
        <v/>
      </c>
      <c r="H541" s="22" t="str">
        <f t="shared" si="65"/>
        <v/>
      </c>
      <c r="I541" s="54" t="str">
        <f t="shared" si="69"/>
        <v/>
      </c>
      <c r="R541" s="24" t="e">
        <f t="shared" si="66"/>
        <v>#VALUE!</v>
      </c>
      <c r="S541" s="25" t="e">
        <f t="shared" si="70"/>
        <v>#VALUE!</v>
      </c>
    </row>
    <row r="542" spans="1:19" x14ac:dyDescent="0.25">
      <c r="A542" t="e">
        <f t="shared" si="67"/>
        <v>#VALUE!</v>
      </c>
      <c r="B542" t="e">
        <f t="shared" si="68"/>
        <v>#VALUE!</v>
      </c>
      <c r="D542" s="21" t="str" cm="1">
        <f t="array" ref="D542">IF(ROWS($D$7:D542)&gt;COUNTIF('[1]U$S'!$H$5:$H$1008,$L$5),"",INDEX(CuentaUS,_xlfn.AGGREGATE(15,6,ROW('[1]U$S'!$H$5:$H$1008)-ROW('[1]U$S'!$O$5)+1/--('[1]U$S'!$H$5:$H$1008=$L$5),ROWS($D$7:D542)),1))</f>
        <v/>
      </c>
      <c r="E542" s="22" t="str" cm="1">
        <f t="array" ref="E542">IF(ROWS($E$7:E542)&gt;COUNTIF('[1]U$S'!$H$5:$H$1008,$L$5),"",INDEX(CuentaUS,_xlfn.AGGREGATE(15,6,ROW('[1]U$S'!$H$5:$H$1008)-ROW('[1]U$S'!$O$5)+1/--('[1]U$S'!$H$5:$H$1008=$L$5),ROWS($E$7:E542)),6))</f>
        <v/>
      </c>
      <c r="F542" s="22" t="str">
        <f>IF(E542="","",IF(E542&gt;0,SUMIFS('[1]UY$'!$L$5:$L$993,'[1]UY$'!$O$5:$O$993,"Cambio",'[1]UY$'!$E$5:$E$993,'Efecto TC'!D542),""))</f>
        <v/>
      </c>
      <c r="G542" s="23" t="str">
        <f t="shared" si="64"/>
        <v/>
      </c>
      <c r="H542" s="22" t="str">
        <f t="shared" si="65"/>
        <v/>
      </c>
      <c r="I542" s="54" t="str">
        <f t="shared" si="69"/>
        <v/>
      </c>
      <c r="R542" s="24" t="e">
        <f t="shared" si="66"/>
        <v>#VALUE!</v>
      </c>
      <c r="S542" s="25" t="e">
        <f t="shared" si="70"/>
        <v>#VALUE!</v>
      </c>
    </row>
    <row r="543" spans="1:19" x14ac:dyDescent="0.25">
      <c r="A543" t="e">
        <f t="shared" si="67"/>
        <v>#VALUE!</v>
      </c>
      <c r="B543" t="e">
        <f t="shared" si="68"/>
        <v>#VALUE!</v>
      </c>
      <c r="D543" s="21" t="str" cm="1">
        <f t="array" ref="D543">IF(ROWS($D$7:D543)&gt;COUNTIF('[1]U$S'!$H$5:$H$1008,$L$5),"",INDEX(CuentaUS,_xlfn.AGGREGATE(15,6,ROW('[1]U$S'!$H$5:$H$1008)-ROW('[1]U$S'!$O$5)+1/--('[1]U$S'!$H$5:$H$1008=$L$5),ROWS($D$7:D543)),1))</f>
        <v/>
      </c>
      <c r="E543" s="22" t="str" cm="1">
        <f t="array" ref="E543">IF(ROWS($E$7:E543)&gt;COUNTIF('[1]U$S'!$H$5:$H$1008,$L$5),"",INDEX(CuentaUS,_xlfn.AGGREGATE(15,6,ROW('[1]U$S'!$H$5:$H$1008)-ROW('[1]U$S'!$O$5)+1/--('[1]U$S'!$H$5:$H$1008=$L$5),ROWS($E$7:E543)),6))</f>
        <v/>
      </c>
      <c r="F543" s="22" t="str">
        <f>IF(E543="","",IF(E543&gt;0,SUMIFS('[1]UY$'!$L$5:$L$993,'[1]UY$'!$O$5:$O$993,"Cambio",'[1]UY$'!$E$5:$E$993,'Efecto TC'!D543),""))</f>
        <v/>
      </c>
      <c r="G543" s="23" t="str">
        <f t="shared" si="64"/>
        <v/>
      </c>
      <c r="H543" s="22" t="str">
        <f t="shared" si="65"/>
        <v/>
      </c>
      <c r="I543" s="54" t="str">
        <f t="shared" si="69"/>
        <v/>
      </c>
      <c r="R543" s="24" t="e">
        <f t="shared" si="66"/>
        <v>#VALUE!</v>
      </c>
      <c r="S543" s="25" t="e">
        <f t="shared" si="70"/>
        <v>#VALUE!</v>
      </c>
    </row>
    <row r="544" spans="1:19" x14ac:dyDescent="0.25">
      <c r="A544" t="e">
        <f t="shared" si="67"/>
        <v>#VALUE!</v>
      </c>
      <c r="B544" t="e">
        <f t="shared" si="68"/>
        <v>#VALUE!</v>
      </c>
      <c r="D544" s="21" t="str" cm="1">
        <f t="array" ref="D544">IF(ROWS($D$7:D544)&gt;COUNTIF('[1]U$S'!$H$5:$H$1008,$L$5),"",INDEX(CuentaUS,_xlfn.AGGREGATE(15,6,ROW('[1]U$S'!$H$5:$H$1008)-ROW('[1]U$S'!$O$5)+1/--('[1]U$S'!$H$5:$H$1008=$L$5),ROWS($D$7:D544)),1))</f>
        <v/>
      </c>
      <c r="E544" s="22" t="str" cm="1">
        <f t="array" ref="E544">IF(ROWS($E$7:E544)&gt;COUNTIF('[1]U$S'!$H$5:$H$1008,$L$5),"",INDEX(CuentaUS,_xlfn.AGGREGATE(15,6,ROW('[1]U$S'!$H$5:$H$1008)-ROW('[1]U$S'!$O$5)+1/--('[1]U$S'!$H$5:$H$1008=$L$5),ROWS($E$7:E544)),6))</f>
        <v/>
      </c>
      <c r="F544" s="22" t="str">
        <f>IF(E544="","",IF(E544&gt;0,SUMIFS('[1]UY$'!$L$5:$L$993,'[1]UY$'!$O$5:$O$993,"Cambio",'[1]UY$'!$E$5:$E$993,'Efecto TC'!D544),""))</f>
        <v/>
      </c>
      <c r="G544" s="23" t="str">
        <f t="shared" si="64"/>
        <v/>
      </c>
      <c r="H544" s="22" t="str">
        <f t="shared" si="65"/>
        <v/>
      </c>
      <c r="I544" s="54" t="str">
        <f t="shared" si="69"/>
        <v/>
      </c>
      <c r="R544" s="24" t="e">
        <f t="shared" si="66"/>
        <v>#VALUE!</v>
      </c>
      <c r="S544" s="25" t="e">
        <f t="shared" si="70"/>
        <v>#VALUE!</v>
      </c>
    </row>
    <row r="545" spans="1:19" x14ac:dyDescent="0.25">
      <c r="A545" t="e">
        <f t="shared" si="67"/>
        <v>#VALUE!</v>
      </c>
      <c r="B545" t="e">
        <f t="shared" si="68"/>
        <v>#VALUE!</v>
      </c>
      <c r="D545" s="21" t="str" cm="1">
        <f t="array" ref="D545">IF(ROWS($D$7:D545)&gt;COUNTIF('[1]U$S'!$H$5:$H$1008,$L$5),"",INDEX(CuentaUS,_xlfn.AGGREGATE(15,6,ROW('[1]U$S'!$H$5:$H$1008)-ROW('[1]U$S'!$O$5)+1/--('[1]U$S'!$H$5:$H$1008=$L$5),ROWS($D$7:D545)),1))</f>
        <v/>
      </c>
      <c r="E545" s="22" t="str" cm="1">
        <f t="array" ref="E545">IF(ROWS($E$7:E545)&gt;COUNTIF('[1]U$S'!$H$5:$H$1008,$L$5),"",INDEX(CuentaUS,_xlfn.AGGREGATE(15,6,ROW('[1]U$S'!$H$5:$H$1008)-ROW('[1]U$S'!$O$5)+1/--('[1]U$S'!$H$5:$H$1008=$L$5),ROWS($E$7:E545)),6))</f>
        <v/>
      </c>
      <c r="F545" s="22" t="str">
        <f>IF(E545="","",IF(E545&gt;0,SUMIFS('[1]UY$'!$L$5:$L$993,'[1]UY$'!$O$5:$O$993,"Cambio",'[1]UY$'!$E$5:$E$993,'Efecto TC'!D545),""))</f>
        <v/>
      </c>
      <c r="G545" s="23" t="str">
        <f t="shared" si="64"/>
        <v/>
      </c>
      <c r="H545" s="22" t="str">
        <f t="shared" si="65"/>
        <v/>
      </c>
      <c r="I545" s="54" t="str">
        <f t="shared" si="69"/>
        <v/>
      </c>
      <c r="R545" s="24" t="e">
        <f t="shared" si="66"/>
        <v>#VALUE!</v>
      </c>
      <c r="S545" s="25" t="e">
        <f t="shared" si="70"/>
        <v>#VALUE!</v>
      </c>
    </row>
    <row r="546" spans="1:19" x14ac:dyDescent="0.25">
      <c r="A546" t="e">
        <f t="shared" si="67"/>
        <v>#VALUE!</v>
      </c>
      <c r="B546" t="e">
        <f t="shared" si="68"/>
        <v>#VALUE!</v>
      </c>
      <c r="D546" s="21" t="str" cm="1">
        <f t="array" ref="D546">IF(ROWS($D$7:D546)&gt;COUNTIF('[1]U$S'!$H$5:$H$1008,$L$5),"",INDEX(CuentaUS,_xlfn.AGGREGATE(15,6,ROW('[1]U$S'!$H$5:$H$1008)-ROW('[1]U$S'!$O$5)+1/--('[1]U$S'!$H$5:$H$1008=$L$5),ROWS($D$7:D546)),1))</f>
        <v/>
      </c>
      <c r="E546" s="22" t="str" cm="1">
        <f t="array" ref="E546">IF(ROWS($E$7:E546)&gt;COUNTIF('[1]U$S'!$H$5:$H$1008,$L$5),"",INDEX(CuentaUS,_xlfn.AGGREGATE(15,6,ROW('[1]U$S'!$H$5:$H$1008)-ROW('[1]U$S'!$O$5)+1/--('[1]U$S'!$H$5:$H$1008=$L$5),ROWS($E$7:E546)),6))</f>
        <v/>
      </c>
      <c r="F546" s="22" t="str">
        <f>IF(E546="","",IF(E546&gt;0,SUMIFS('[1]UY$'!$L$5:$L$993,'[1]UY$'!$O$5:$O$993,"Cambio",'[1]UY$'!$E$5:$E$993,'Efecto TC'!D546),""))</f>
        <v/>
      </c>
      <c r="G546" s="23" t="str">
        <f t="shared" ref="G546:G609" si="71">IF(F546="","",F546/E546)</f>
        <v/>
      </c>
      <c r="H546" s="22" t="str">
        <f t="shared" ref="H546:H609" si="72">IF(E546="","",F546/$F$2-F546/G546)</f>
        <v/>
      </c>
      <c r="I546" s="54" t="str">
        <f t="shared" si="69"/>
        <v/>
      </c>
      <c r="R546" s="24" t="e">
        <f t="shared" ref="R546:R609" si="73">E546/$E$1001</f>
        <v>#VALUE!</v>
      </c>
      <c r="S546" s="25" t="e">
        <f t="shared" si="70"/>
        <v>#VALUE!</v>
      </c>
    </row>
    <row r="547" spans="1:19" x14ac:dyDescent="0.25">
      <c r="A547" t="e">
        <f t="shared" si="67"/>
        <v>#VALUE!</v>
      </c>
      <c r="B547" t="e">
        <f t="shared" si="68"/>
        <v>#VALUE!</v>
      </c>
      <c r="D547" s="21" t="str" cm="1">
        <f t="array" ref="D547">IF(ROWS($D$7:D547)&gt;COUNTIF('[1]U$S'!$H$5:$H$1008,$L$5),"",INDEX(CuentaUS,_xlfn.AGGREGATE(15,6,ROW('[1]U$S'!$H$5:$H$1008)-ROW('[1]U$S'!$O$5)+1/--('[1]U$S'!$H$5:$H$1008=$L$5),ROWS($D$7:D547)),1))</f>
        <v/>
      </c>
      <c r="E547" s="22" t="str" cm="1">
        <f t="array" ref="E547">IF(ROWS($E$7:E547)&gt;COUNTIF('[1]U$S'!$H$5:$H$1008,$L$5),"",INDEX(CuentaUS,_xlfn.AGGREGATE(15,6,ROW('[1]U$S'!$H$5:$H$1008)-ROW('[1]U$S'!$O$5)+1/--('[1]U$S'!$H$5:$H$1008=$L$5),ROWS($E$7:E547)),6))</f>
        <v/>
      </c>
      <c r="F547" s="22" t="str">
        <f>IF(E547="","",IF(E547&gt;0,SUMIFS('[1]UY$'!$L$5:$L$993,'[1]UY$'!$O$5:$O$993,"Cambio",'[1]UY$'!$E$5:$E$993,'Efecto TC'!D547),""))</f>
        <v/>
      </c>
      <c r="G547" s="23" t="str">
        <f t="shared" si="71"/>
        <v/>
      </c>
      <c r="H547" s="22" t="str">
        <f t="shared" si="72"/>
        <v/>
      </c>
      <c r="I547" s="54" t="str">
        <f t="shared" si="69"/>
        <v/>
      </c>
      <c r="R547" s="24" t="e">
        <f t="shared" si="73"/>
        <v>#VALUE!</v>
      </c>
      <c r="S547" s="25" t="e">
        <f t="shared" si="70"/>
        <v>#VALUE!</v>
      </c>
    </row>
    <row r="548" spans="1:19" x14ac:dyDescent="0.25">
      <c r="A548" t="e">
        <f t="shared" si="67"/>
        <v>#VALUE!</v>
      </c>
      <c r="B548" t="e">
        <f t="shared" si="68"/>
        <v>#VALUE!</v>
      </c>
      <c r="D548" s="21" t="str" cm="1">
        <f t="array" ref="D548">IF(ROWS($D$7:D548)&gt;COUNTIF('[1]U$S'!$H$5:$H$1008,$L$5),"",INDEX(CuentaUS,_xlfn.AGGREGATE(15,6,ROW('[1]U$S'!$H$5:$H$1008)-ROW('[1]U$S'!$O$5)+1/--('[1]U$S'!$H$5:$H$1008=$L$5),ROWS($D$7:D548)),1))</f>
        <v/>
      </c>
      <c r="E548" s="22" t="str" cm="1">
        <f t="array" ref="E548">IF(ROWS($E$7:E548)&gt;COUNTIF('[1]U$S'!$H$5:$H$1008,$L$5),"",INDEX(CuentaUS,_xlfn.AGGREGATE(15,6,ROW('[1]U$S'!$H$5:$H$1008)-ROW('[1]U$S'!$O$5)+1/--('[1]U$S'!$H$5:$H$1008=$L$5),ROWS($E$7:E548)),6))</f>
        <v/>
      </c>
      <c r="F548" s="22" t="str">
        <f>IF(E548="","",IF(E548&gt;0,SUMIFS('[1]UY$'!$L$5:$L$993,'[1]UY$'!$O$5:$O$993,"Cambio",'[1]UY$'!$E$5:$E$993,'Efecto TC'!D548),""))</f>
        <v/>
      </c>
      <c r="G548" s="23" t="str">
        <f t="shared" si="71"/>
        <v/>
      </c>
      <c r="H548" s="22" t="str">
        <f t="shared" si="72"/>
        <v/>
      </c>
      <c r="I548" s="54" t="str">
        <f t="shared" si="69"/>
        <v/>
      </c>
      <c r="R548" s="24" t="e">
        <f t="shared" si="73"/>
        <v>#VALUE!</v>
      </c>
      <c r="S548" s="25" t="e">
        <f t="shared" si="70"/>
        <v>#VALUE!</v>
      </c>
    </row>
    <row r="549" spans="1:19" x14ac:dyDescent="0.25">
      <c r="A549" t="e">
        <f t="shared" si="67"/>
        <v>#VALUE!</v>
      </c>
      <c r="B549" t="e">
        <f t="shared" si="68"/>
        <v>#VALUE!</v>
      </c>
      <c r="D549" s="21" t="str" cm="1">
        <f t="array" ref="D549">IF(ROWS($D$7:D549)&gt;COUNTIF('[1]U$S'!$H$5:$H$1008,$L$5),"",INDEX(CuentaUS,_xlfn.AGGREGATE(15,6,ROW('[1]U$S'!$H$5:$H$1008)-ROW('[1]U$S'!$O$5)+1/--('[1]U$S'!$H$5:$H$1008=$L$5),ROWS($D$7:D549)),1))</f>
        <v/>
      </c>
      <c r="E549" s="22" t="str" cm="1">
        <f t="array" ref="E549">IF(ROWS($E$7:E549)&gt;COUNTIF('[1]U$S'!$H$5:$H$1008,$L$5),"",INDEX(CuentaUS,_xlfn.AGGREGATE(15,6,ROW('[1]U$S'!$H$5:$H$1008)-ROW('[1]U$S'!$O$5)+1/--('[1]U$S'!$H$5:$H$1008=$L$5),ROWS($E$7:E549)),6))</f>
        <v/>
      </c>
      <c r="F549" s="22" t="str">
        <f>IF(E549="","",IF(E549&gt;0,SUMIFS('[1]UY$'!$L$5:$L$993,'[1]UY$'!$O$5:$O$993,"Cambio",'[1]UY$'!$E$5:$E$993,'Efecto TC'!D549),""))</f>
        <v/>
      </c>
      <c r="G549" s="23" t="str">
        <f t="shared" si="71"/>
        <v/>
      </c>
      <c r="H549" s="22" t="str">
        <f t="shared" si="72"/>
        <v/>
      </c>
      <c r="I549" s="54" t="str">
        <f t="shared" si="69"/>
        <v/>
      </c>
      <c r="R549" s="24" t="e">
        <f t="shared" si="73"/>
        <v>#VALUE!</v>
      </c>
      <c r="S549" s="25" t="e">
        <f t="shared" si="70"/>
        <v>#VALUE!</v>
      </c>
    </row>
    <row r="550" spans="1:19" x14ac:dyDescent="0.25">
      <c r="A550" t="e">
        <f t="shared" si="67"/>
        <v>#VALUE!</v>
      </c>
      <c r="B550" t="e">
        <f t="shared" si="68"/>
        <v>#VALUE!</v>
      </c>
      <c r="D550" s="21" t="str" cm="1">
        <f t="array" ref="D550">IF(ROWS($D$7:D550)&gt;COUNTIF('[1]U$S'!$H$5:$H$1008,$L$5),"",INDEX(CuentaUS,_xlfn.AGGREGATE(15,6,ROW('[1]U$S'!$H$5:$H$1008)-ROW('[1]U$S'!$O$5)+1/--('[1]U$S'!$H$5:$H$1008=$L$5),ROWS($D$7:D550)),1))</f>
        <v/>
      </c>
      <c r="E550" s="22" t="str" cm="1">
        <f t="array" ref="E550">IF(ROWS($E$7:E550)&gt;COUNTIF('[1]U$S'!$H$5:$H$1008,$L$5),"",INDEX(CuentaUS,_xlfn.AGGREGATE(15,6,ROW('[1]U$S'!$H$5:$H$1008)-ROW('[1]U$S'!$O$5)+1/--('[1]U$S'!$H$5:$H$1008=$L$5),ROWS($E$7:E550)),6))</f>
        <v/>
      </c>
      <c r="F550" s="22" t="str">
        <f>IF(E550="","",IF(E550&gt;0,SUMIFS('[1]UY$'!$L$5:$L$993,'[1]UY$'!$O$5:$O$993,"Cambio",'[1]UY$'!$E$5:$E$993,'Efecto TC'!D550),""))</f>
        <v/>
      </c>
      <c r="G550" s="23" t="str">
        <f t="shared" si="71"/>
        <v/>
      </c>
      <c r="H550" s="22" t="str">
        <f t="shared" si="72"/>
        <v/>
      </c>
      <c r="I550" s="54" t="str">
        <f t="shared" si="69"/>
        <v/>
      </c>
      <c r="R550" s="24" t="e">
        <f t="shared" si="73"/>
        <v>#VALUE!</v>
      </c>
      <c r="S550" s="25" t="e">
        <f t="shared" si="70"/>
        <v>#VALUE!</v>
      </c>
    </row>
    <row r="551" spans="1:19" x14ac:dyDescent="0.25">
      <c r="A551" t="e">
        <f t="shared" si="67"/>
        <v>#VALUE!</v>
      </c>
      <c r="B551" t="e">
        <f t="shared" si="68"/>
        <v>#VALUE!</v>
      </c>
      <c r="D551" s="21" t="str" cm="1">
        <f t="array" ref="D551">IF(ROWS($D$7:D551)&gt;COUNTIF('[1]U$S'!$H$5:$H$1008,$L$5),"",INDEX(CuentaUS,_xlfn.AGGREGATE(15,6,ROW('[1]U$S'!$H$5:$H$1008)-ROW('[1]U$S'!$O$5)+1/--('[1]U$S'!$H$5:$H$1008=$L$5),ROWS($D$7:D551)),1))</f>
        <v/>
      </c>
      <c r="E551" s="22" t="str" cm="1">
        <f t="array" ref="E551">IF(ROWS($E$7:E551)&gt;COUNTIF('[1]U$S'!$H$5:$H$1008,$L$5),"",INDEX(CuentaUS,_xlfn.AGGREGATE(15,6,ROW('[1]U$S'!$H$5:$H$1008)-ROW('[1]U$S'!$O$5)+1/--('[1]U$S'!$H$5:$H$1008=$L$5),ROWS($E$7:E551)),6))</f>
        <v/>
      </c>
      <c r="F551" s="22" t="str">
        <f>IF(E551="","",IF(E551&gt;0,SUMIFS('[1]UY$'!$L$5:$L$993,'[1]UY$'!$O$5:$O$993,"Cambio",'[1]UY$'!$E$5:$E$993,'Efecto TC'!D551),""))</f>
        <v/>
      </c>
      <c r="G551" s="23" t="str">
        <f t="shared" si="71"/>
        <v/>
      </c>
      <c r="H551" s="22" t="str">
        <f t="shared" si="72"/>
        <v/>
      </c>
      <c r="I551" s="54" t="str">
        <f t="shared" si="69"/>
        <v/>
      </c>
      <c r="R551" s="24" t="e">
        <f t="shared" si="73"/>
        <v>#VALUE!</v>
      </c>
      <c r="S551" s="25" t="e">
        <f t="shared" si="70"/>
        <v>#VALUE!</v>
      </c>
    </row>
    <row r="552" spans="1:19" x14ac:dyDescent="0.25">
      <c r="A552" t="e">
        <f t="shared" si="67"/>
        <v>#VALUE!</v>
      </c>
      <c r="B552" t="e">
        <f t="shared" si="68"/>
        <v>#VALUE!</v>
      </c>
      <c r="D552" s="21" t="str" cm="1">
        <f t="array" ref="D552">IF(ROWS($D$7:D552)&gt;COUNTIF('[1]U$S'!$H$5:$H$1008,$L$5),"",INDEX(CuentaUS,_xlfn.AGGREGATE(15,6,ROW('[1]U$S'!$H$5:$H$1008)-ROW('[1]U$S'!$O$5)+1/--('[1]U$S'!$H$5:$H$1008=$L$5),ROWS($D$7:D552)),1))</f>
        <v/>
      </c>
      <c r="E552" s="22" t="str" cm="1">
        <f t="array" ref="E552">IF(ROWS($E$7:E552)&gt;COUNTIF('[1]U$S'!$H$5:$H$1008,$L$5),"",INDEX(CuentaUS,_xlfn.AGGREGATE(15,6,ROW('[1]U$S'!$H$5:$H$1008)-ROW('[1]U$S'!$O$5)+1/--('[1]U$S'!$H$5:$H$1008=$L$5),ROWS($E$7:E552)),6))</f>
        <v/>
      </c>
      <c r="F552" s="22" t="str">
        <f>IF(E552="","",IF(E552&gt;0,SUMIFS('[1]UY$'!$L$5:$L$993,'[1]UY$'!$O$5:$O$993,"Cambio",'[1]UY$'!$E$5:$E$993,'Efecto TC'!D552),""))</f>
        <v/>
      </c>
      <c r="G552" s="23" t="str">
        <f t="shared" si="71"/>
        <v/>
      </c>
      <c r="H552" s="22" t="str">
        <f t="shared" si="72"/>
        <v/>
      </c>
      <c r="I552" s="54" t="str">
        <f t="shared" si="69"/>
        <v/>
      </c>
      <c r="R552" s="24" t="e">
        <f t="shared" si="73"/>
        <v>#VALUE!</v>
      </c>
      <c r="S552" s="25" t="e">
        <f t="shared" si="70"/>
        <v>#VALUE!</v>
      </c>
    </row>
    <row r="553" spans="1:19" x14ac:dyDescent="0.25">
      <c r="A553" t="e">
        <f t="shared" si="67"/>
        <v>#VALUE!</v>
      </c>
      <c r="B553" t="e">
        <f t="shared" si="68"/>
        <v>#VALUE!</v>
      </c>
      <c r="D553" s="21" t="str" cm="1">
        <f t="array" ref="D553">IF(ROWS($D$7:D553)&gt;COUNTIF('[1]U$S'!$H$5:$H$1008,$L$5),"",INDEX(CuentaUS,_xlfn.AGGREGATE(15,6,ROW('[1]U$S'!$H$5:$H$1008)-ROW('[1]U$S'!$O$5)+1/--('[1]U$S'!$H$5:$H$1008=$L$5),ROWS($D$7:D553)),1))</f>
        <v/>
      </c>
      <c r="E553" s="22" t="str" cm="1">
        <f t="array" ref="E553">IF(ROWS($E$7:E553)&gt;COUNTIF('[1]U$S'!$H$5:$H$1008,$L$5),"",INDEX(CuentaUS,_xlfn.AGGREGATE(15,6,ROW('[1]U$S'!$H$5:$H$1008)-ROW('[1]U$S'!$O$5)+1/--('[1]U$S'!$H$5:$H$1008=$L$5),ROWS($E$7:E553)),6))</f>
        <v/>
      </c>
      <c r="F553" s="22" t="str">
        <f>IF(E553="","",IF(E553&gt;0,SUMIFS('[1]UY$'!$L$5:$L$993,'[1]UY$'!$O$5:$O$993,"Cambio",'[1]UY$'!$E$5:$E$993,'Efecto TC'!D553),""))</f>
        <v/>
      </c>
      <c r="G553" s="23" t="str">
        <f t="shared" si="71"/>
        <v/>
      </c>
      <c r="H553" s="22" t="str">
        <f t="shared" si="72"/>
        <v/>
      </c>
      <c r="I553" s="54" t="str">
        <f t="shared" si="69"/>
        <v/>
      </c>
      <c r="R553" s="24" t="e">
        <f t="shared" si="73"/>
        <v>#VALUE!</v>
      </c>
      <c r="S553" s="25" t="e">
        <f t="shared" si="70"/>
        <v>#VALUE!</v>
      </c>
    </row>
    <row r="554" spans="1:19" x14ac:dyDescent="0.25">
      <c r="A554" t="e">
        <f t="shared" si="67"/>
        <v>#VALUE!</v>
      </c>
      <c r="B554" t="e">
        <f t="shared" si="68"/>
        <v>#VALUE!</v>
      </c>
      <c r="D554" s="21" t="str" cm="1">
        <f t="array" ref="D554">IF(ROWS($D$7:D554)&gt;COUNTIF('[1]U$S'!$H$5:$H$1008,$L$5),"",INDEX(CuentaUS,_xlfn.AGGREGATE(15,6,ROW('[1]U$S'!$H$5:$H$1008)-ROW('[1]U$S'!$O$5)+1/--('[1]U$S'!$H$5:$H$1008=$L$5),ROWS($D$7:D554)),1))</f>
        <v/>
      </c>
      <c r="E554" s="22" t="str" cm="1">
        <f t="array" ref="E554">IF(ROWS($E$7:E554)&gt;COUNTIF('[1]U$S'!$H$5:$H$1008,$L$5),"",INDEX(CuentaUS,_xlfn.AGGREGATE(15,6,ROW('[1]U$S'!$H$5:$H$1008)-ROW('[1]U$S'!$O$5)+1/--('[1]U$S'!$H$5:$H$1008=$L$5),ROWS($E$7:E554)),6))</f>
        <v/>
      </c>
      <c r="F554" s="22" t="str">
        <f>IF(E554="","",IF(E554&gt;0,SUMIFS('[1]UY$'!$L$5:$L$993,'[1]UY$'!$O$5:$O$993,"Cambio",'[1]UY$'!$E$5:$E$993,'Efecto TC'!D554),""))</f>
        <v/>
      </c>
      <c r="G554" s="23" t="str">
        <f t="shared" si="71"/>
        <v/>
      </c>
      <c r="H554" s="22" t="str">
        <f t="shared" si="72"/>
        <v/>
      </c>
      <c r="I554" s="54" t="str">
        <f t="shared" si="69"/>
        <v/>
      </c>
      <c r="R554" s="24" t="e">
        <f t="shared" si="73"/>
        <v>#VALUE!</v>
      </c>
      <c r="S554" s="25" t="e">
        <f t="shared" si="70"/>
        <v>#VALUE!</v>
      </c>
    </row>
    <row r="555" spans="1:19" x14ac:dyDescent="0.25">
      <c r="A555" t="e">
        <f t="shared" si="67"/>
        <v>#VALUE!</v>
      </c>
      <c r="B555" t="e">
        <f t="shared" si="68"/>
        <v>#VALUE!</v>
      </c>
      <c r="D555" s="21" t="str" cm="1">
        <f t="array" ref="D555">IF(ROWS($D$7:D555)&gt;COUNTIF('[1]U$S'!$H$5:$H$1008,$L$5),"",INDEX(CuentaUS,_xlfn.AGGREGATE(15,6,ROW('[1]U$S'!$H$5:$H$1008)-ROW('[1]U$S'!$O$5)+1/--('[1]U$S'!$H$5:$H$1008=$L$5),ROWS($D$7:D555)),1))</f>
        <v/>
      </c>
      <c r="E555" s="22" t="str" cm="1">
        <f t="array" ref="E555">IF(ROWS($E$7:E555)&gt;COUNTIF('[1]U$S'!$H$5:$H$1008,$L$5),"",INDEX(CuentaUS,_xlfn.AGGREGATE(15,6,ROW('[1]U$S'!$H$5:$H$1008)-ROW('[1]U$S'!$O$5)+1/--('[1]U$S'!$H$5:$H$1008=$L$5),ROWS($E$7:E555)),6))</f>
        <v/>
      </c>
      <c r="F555" s="22" t="str">
        <f>IF(E555="","",IF(E555&gt;0,SUMIFS('[1]UY$'!$L$5:$L$993,'[1]UY$'!$O$5:$O$993,"Cambio",'[1]UY$'!$E$5:$E$993,'Efecto TC'!D555),""))</f>
        <v/>
      </c>
      <c r="G555" s="23" t="str">
        <f t="shared" si="71"/>
        <v/>
      </c>
      <c r="H555" s="22" t="str">
        <f t="shared" si="72"/>
        <v/>
      </c>
      <c r="I555" s="54" t="str">
        <f t="shared" si="69"/>
        <v/>
      </c>
      <c r="R555" s="24" t="e">
        <f t="shared" si="73"/>
        <v>#VALUE!</v>
      </c>
      <c r="S555" s="25" t="e">
        <f t="shared" si="70"/>
        <v>#VALUE!</v>
      </c>
    </row>
    <row r="556" spans="1:19" x14ac:dyDescent="0.25">
      <c r="A556" t="e">
        <f t="shared" si="67"/>
        <v>#VALUE!</v>
      </c>
      <c r="B556" t="e">
        <f t="shared" si="68"/>
        <v>#VALUE!</v>
      </c>
      <c r="D556" s="21" t="str" cm="1">
        <f t="array" ref="D556">IF(ROWS($D$7:D556)&gt;COUNTIF('[1]U$S'!$H$5:$H$1008,$L$5),"",INDEX(CuentaUS,_xlfn.AGGREGATE(15,6,ROW('[1]U$S'!$H$5:$H$1008)-ROW('[1]U$S'!$O$5)+1/--('[1]U$S'!$H$5:$H$1008=$L$5),ROWS($D$7:D556)),1))</f>
        <v/>
      </c>
      <c r="E556" s="22" t="str" cm="1">
        <f t="array" ref="E556">IF(ROWS($E$7:E556)&gt;COUNTIF('[1]U$S'!$H$5:$H$1008,$L$5),"",INDEX(CuentaUS,_xlfn.AGGREGATE(15,6,ROW('[1]U$S'!$H$5:$H$1008)-ROW('[1]U$S'!$O$5)+1/--('[1]U$S'!$H$5:$H$1008=$L$5),ROWS($E$7:E556)),6))</f>
        <v/>
      </c>
      <c r="F556" s="22" t="str">
        <f>IF(E556="","",IF(E556&gt;0,SUMIFS('[1]UY$'!$L$5:$L$993,'[1]UY$'!$O$5:$O$993,"Cambio",'[1]UY$'!$E$5:$E$993,'Efecto TC'!D556),""))</f>
        <v/>
      </c>
      <c r="G556" s="23" t="str">
        <f t="shared" si="71"/>
        <v/>
      </c>
      <c r="H556" s="22" t="str">
        <f t="shared" si="72"/>
        <v/>
      </c>
      <c r="I556" s="54" t="str">
        <f t="shared" si="69"/>
        <v/>
      </c>
      <c r="R556" s="24" t="e">
        <f t="shared" si="73"/>
        <v>#VALUE!</v>
      </c>
      <c r="S556" s="25" t="e">
        <f t="shared" si="70"/>
        <v>#VALUE!</v>
      </c>
    </row>
    <row r="557" spans="1:19" x14ac:dyDescent="0.25">
      <c r="A557" t="e">
        <f t="shared" si="67"/>
        <v>#VALUE!</v>
      </c>
      <c r="B557" t="e">
        <f t="shared" si="68"/>
        <v>#VALUE!</v>
      </c>
      <c r="D557" s="21" t="str" cm="1">
        <f t="array" ref="D557">IF(ROWS($D$7:D557)&gt;COUNTIF('[1]U$S'!$H$5:$H$1008,$L$5),"",INDEX(CuentaUS,_xlfn.AGGREGATE(15,6,ROW('[1]U$S'!$H$5:$H$1008)-ROW('[1]U$S'!$O$5)+1/--('[1]U$S'!$H$5:$H$1008=$L$5),ROWS($D$7:D557)),1))</f>
        <v/>
      </c>
      <c r="E557" s="22" t="str" cm="1">
        <f t="array" ref="E557">IF(ROWS($E$7:E557)&gt;COUNTIF('[1]U$S'!$H$5:$H$1008,$L$5),"",INDEX(CuentaUS,_xlfn.AGGREGATE(15,6,ROW('[1]U$S'!$H$5:$H$1008)-ROW('[1]U$S'!$O$5)+1/--('[1]U$S'!$H$5:$H$1008=$L$5),ROWS($E$7:E557)),6))</f>
        <v/>
      </c>
      <c r="F557" s="22" t="str">
        <f>IF(E557="","",IF(E557&gt;0,SUMIFS('[1]UY$'!$L$5:$L$993,'[1]UY$'!$O$5:$O$993,"Cambio",'[1]UY$'!$E$5:$E$993,'Efecto TC'!D557),""))</f>
        <v/>
      </c>
      <c r="G557" s="23" t="str">
        <f t="shared" si="71"/>
        <v/>
      </c>
      <c r="H557" s="22" t="str">
        <f t="shared" si="72"/>
        <v/>
      </c>
      <c r="I557" s="54" t="str">
        <f t="shared" si="69"/>
        <v/>
      </c>
      <c r="R557" s="24" t="e">
        <f t="shared" si="73"/>
        <v>#VALUE!</v>
      </c>
      <c r="S557" s="25" t="e">
        <f t="shared" si="70"/>
        <v>#VALUE!</v>
      </c>
    </row>
    <row r="558" spans="1:19" x14ac:dyDescent="0.25">
      <c r="A558" t="e">
        <f t="shared" si="67"/>
        <v>#VALUE!</v>
      </c>
      <c r="B558" t="e">
        <f t="shared" si="68"/>
        <v>#VALUE!</v>
      </c>
      <c r="D558" s="21" t="str" cm="1">
        <f t="array" ref="D558">IF(ROWS($D$7:D558)&gt;COUNTIF('[1]U$S'!$H$5:$H$1008,$L$5),"",INDEX(CuentaUS,_xlfn.AGGREGATE(15,6,ROW('[1]U$S'!$H$5:$H$1008)-ROW('[1]U$S'!$O$5)+1/--('[1]U$S'!$H$5:$H$1008=$L$5),ROWS($D$7:D558)),1))</f>
        <v/>
      </c>
      <c r="E558" s="22" t="str" cm="1">
        <f t="array" ref="E558">IF(ROWS($E$7:E558)&gt;COUNTIF('[1]U$S'!$H$5:$H$1008,$L$5),"",INDEX(CuentaUS,_xlfn.AGGREGATE(15,6,ROW('[1]U$S'!$H$5:$H$1008)-ROW('[1]U$S'!$O$5)+1/--('[1]U$S'!$H$5:$H$1008=$L$5),ROWS($E$7:E558)),6))</f>
        <v/>
      </c>
      <c r="F558" s="22" t="str">
        <f>IF(E558="","",IF(E558&gt;0,SUMIFS('[1]UY$'!$L$5:$L$993,'[1]UY$'!$O$5:$O$993,"Cambio",'[1]UY$'!$E$5:$E$993,'Efecto TC'!D558),""))</f>
        <v/>
      </c>
      <c r="G558" s="23" t="str">
        <f t="shared" si="71"/>
        <v/>
      </c>
      <c r="H558" s="22" t="str">
        <f t="shared" si="72"/>
        <v/>
      </c>
      <c r="I558" s="54" t="str">
        <f t="shared" si="69"/>
        <v/>
      </c>
      <c r="R558" s="24" t="e">
        <f t="shared" si="73"/>
        <v>#VALUE!</v>
      </c>
      <c r="S558" s="25" t="e">
        <f t="shared" si="70"/>
        <v>#VALUE!</v>
      </c>
    </row>
    <row r="559" spans="1:19" x14ac:dyDescent="0.25">
      <c r="A559" t="e">
        <f t="shared" si="67"/>
        <v>#VALUE!</v>
      </c>
      <c r="B559" t="e">
        <f t="shared" si="68"/>
        <v>#VALUE!</v>
      </c>
      <c r="D559" s="21" t="str" cm="1">
        <f t="array" ref="D559">IF(ROWS($D$7:D559)&gt;COUNTIF('[1]U$S'!$H$5:$H$1008,$L$5),"",INDEX(CuentaUS,_xlfn.AGGREGATE(15,6,ROW('[1]U$S'!$H$5:$H$1008)-ROW('[1]U$S'!$O$5)+1/--('[1]U$S'!$H$5:$H$1008=$L$5),ROWS($D$7:D559)),1))</f>
        <v/>
      </c>
      <c r="E559" s="22" t="str" cm="1">
        <f t="array" ref="E559">IF(ROWS($E$7:E559)&gt;COUNTIF('[1]U$S'!$H$5:$H$1008,$L$5),"",INDEX(CuentaUS,_xlfn.AGGREGATE(15,6,ROW('[1]U$S'!$H$5:$H$1008)-ROW('[1]U$S'!$O$5)+1/--('[1]U$S'!$H$5:$H$1008=$L$5),ROWS($E$7:E559)),6))</f>
        <v/>
      </c>
      <c r="F559" s="22" t="str">
        <f>IF(E559="","",IF(E559&gt;0,SUMIFS('[1]UY$'!$L$5:$L$993,'[1]UY$'!$O$5:$O$993,"Cambio",'[1]UY$'!$E$5:$E$993,'Efecto TC'!D559),""))</f>
        <v/>
      </c>
      <c r="G559" s="23" t="str">
        <f t="shared" si="71"/>
        <v/>
      </c>
      <c r="H559" s="22" t="str">
        <f t="shared" si="72"/>
        <v/>
      </c>
      <c r="I559" s="54" t="str">
        <f t="shared" si="69"/>
        <v/>
      </c>
      <c r="R559" s="24" t="e">
        <f t="shared" si="73"/>
        <v>#VALUE!</v>
      </c>
      <c r="S559" s="25" t="e">
        <f t="shared" si="70"/>
        <v>#VALUE!</v>
      </c>
    </row>
    <row r="560" spans="1:19" x14ac:dyDescent="0.25">
      <c r="A560" t="e">
        <f t="shared" si="67"/>
        <v>#VALUE!</v>
      </c>
      <c r="B560" t="e">
        <f t="shared" si="68"/>
        <v>#VALUE!</v>
      </c>
      <c r="D560" s="21" t="str" cm="1">
        <f t="array" ref="D560">IF(ROWS($D$7:D560)&gt;COUNTIF('[1]U$S'!$H$5:$H$1008,$L$5),"",INDEX(CuentaUS,_xlfn.AGGREGATE(15,6,ROW('[1]U$S'!$H$5:$H$1008)-ROW('[1]U$S'!$O$5)+1/--('[1]U$S'!$H$5:$H$1008=$L$5),ROWS($D$7:D560)),1))</f>
        <v/>
      </c>
      <c r="E560" s="22" t="str" cm="1">
        <f t="array" ref="E560">IF(ROWS($E$7:E560)&gt;COUNTIF('[1]U$S'!$H$5:$H$1008,$L$5),"",INDEX(CuentaUS,_xlfn.AGGREGATE(15,6,ROW('[1]U$S'!$H$5:$H$1008)-ROW('[1]U$S'!$O$5)+1/--('[1]U$S'!$H$5:$H$1008=$L$5),ROWS($E$7:E560)),6))</f>
        <v/>
      </c>
      <c r="F560" s="22" t="str">
        <f>IF(E560="","",IF(E560&gt;0,SUMIFS('[1]UY$'!$L$5:$L$993,'[1]UY$'!$O$5:$O$993,"Cambio",'[1]UY$'!$E$5:$E$993,'Efecto TC'!D560),""))</f>
        <v/>
      </c>
      <c r="G560" s="23" t="str">
        <f t="shared" si="71"/>
        <v/>
      </c>
      <c r="H560" s="22" t="str">
        <f t="shared" si="72"/>
        <v/>
      </c>
      <c r="I560" s="54" t="str">
        <f t="shared" si="69"/>
        <v/>
      </c>
      <c r="R560" s="24" t="e">
        <f t="shared" si="73"/>
        <v>#VALUE!</v>
      </c>
      <c r="S560" s="25" t="e">
        <f t="shared" si="70"/>
        <v>#VALUE!</v>
      </c>
    </row>
    <row r="561" spans="1:19" x14ac:dyDescent="0.25">
      <c r="A561" t="e">
        <f t="shared" si="67"/>
        <v>#VALUE!</v>
      </c>
      <c r="B561" t="e">
        <f t="shared" si="68"/>
        <v>#VALUE!</v>
      </c>
      <c r="D561" s="21" t="str" cm="1">
        <f t="array" ref="D561">IF(ROWS($D$7:D561)&gt;COUNTIF('[1]U$S'!$H$5:$H$1008,$L$5),"",INDEX(CuentaUS,_xlfn.AGGREGATE(15,6,ROW('[1]U$S'!$H$5:$H$1008)-ROW('[1]U$S'!$O$5)+1/--('[1]U$S'!$H$5:$H$1008=$L$5),ROWS($D$7:D561)),1))</f>
        <v/>
      </c>
      <c r="E561" s="22" t="str" cm="1">
        <f t="array" ref="E561">IF(ROWS($E$7:E561)&gt;COUNTIF('[1]U$S'!$H$5:$H$1008,$L$5),"",INDEX(CuentaUS,_xlfn.AGGREGATE(15,6,ROW('[1]U$S'!$H$5:$H$1008)-ROW('[1]U$S'!$O$5)+1/--('[1]U$S'!$H$5:$H$1008=$L$5),ROWS($E$7:E561)),6))</f>
        <v/>
      </c>
      <c r="F561" s="22" t="str">
        <f>IF(E561="","",IF(E561&gt;0,SUMIFS('[1]UY$'!$L$5:$L$993,'[1]UY$'!$O$5:$O$993,"Cambio",'[1]UY$'!$E$5:$E$993,'Efecto TC'!D561),""))</f>
        <v/>
      </c>
      <c r="G561" s="23" t="str">
        <f t="shared" si="71"/>
        <v/>
      </c>
      <c r="H561" s="22" t="str">
        <f t="shared" si="72"/>
        <v/>
      </c>
      <c r="I561" s="54" t="str">
        <f t="shared" si="69"/>
        <v/>
      </c>
      <c r="R561" s="24" t="e">
        <f t="shared" si="73"/>
        <v>#VALUE!</v>
      </c>
      <c r="S561" s="25" t="e">
        <f t="shared" si="70"/>
        <v>#VALUE!</v>
      </c>
    </row>
    <row r="562" spans="1:19" x14ac:dyDescent="0.25">
      <c r="A562" t="e">
        <f t="shared" si="67"/>
        <v>#VALUE!</v>
      </c>
      <c r="B562" t="e">
        <f t="shared" si="68"/>
        <v>#VALUE!</v>
      </c>
      <c r="D562" s="21" t="str" cm="1">
        <f t="array" ref="D562">IF(ROWS($D$7:D562)&gt;COUNTIF('[1]U$S'!$H$5:$H$1008,$L$5),"",INDEX(CuentaUS,_xlfn.AGGREGATE(15,6,ROW('[1]U$S'!$H$5:$H$1008)-ROW('[1]U$S'!$O$5)+1/--('[1]U$S'!$H$5:$H$1008=$L$5),ROWS($D$7:D562)),1))</f>
        <v/>
      </c>
      <c r="E562" s="22" t="str" cm="1">
        <f t="array" ref="E562">IF(ROWS($E$7:E562)&gt;COUNTIF('[1]U$S'!$H$5:$H$1008,$L$5),"",INDEX(CuentaUS,_xlfn.AGGREGATE(15,6,ROW('[1]U$S'!$H$5:$H$1008)-ROW('[1]U$S'!$O$5)+1/--('[1]U$S'!$H$5:$H$1008=$L$5),ROWS($E$7:E562)),6))</f>
        <v/>
      </c>
      <c r="F562" s="22" t="str">
        <f>IF(E562="","",IF(E562&gt;0,SUMIFS('[1]UY$'!$L$5:$L$993,'[1]UY$'!$O$5:$O$993,"Cambio",'[1]UY$'!$E$5:$E$993,'Efecto TC'!D562),""))</f>
        <v/>
      </c>
      <c r="G562" s="23" t="str">
        <f t="shared" si="71"/>
        <v/>
      </c>
      <c r="H562" s="22" t="str">
        <f t="shared" si="72"/>
        <v/>
      </c>
      <c r="I562" s="54" t="str">
        <f t="shared" si="69"/>
        <v/>
      </c>
      <c r="R562" s="24" t="e">
        <f t="shared" si="73"/>
        <v>#VALUE!</v>
      </c>
      <c r="S562" s="25" t="e">
        <f t="shared" si="70"/>
        <v>#VALUE!</v>
      </c>
    </row>
    <row r="563" spans="1:19" x14ac:dyDescent="0.25">
      <c r="A563" t="e">
        <f t="shared" si="67"/>
        <v>#VALUE!</v>
      </c>
      <c r="B563" t="e">
        <f t="shared" si="68"/>
        <v>#VALUE!</v>
      </c>
      <c r="D563" s="21" t="str" cm="1">
        <f t="array" ref="D563">IF(ROWS($D$7:D563)&gt;COUNTIF('[1]U$S'!$H$5:$H$1008,$L$5),"",INDEX(CuentaUS,_xlfn.AGGREGATE(15,6,ROW('[1]U$S'!$H$5:$H$1008)-ROW('[1]U$S'!$O$5)+1/--('[1]U$S'!$H$5:$H$1008=$L$5),ROWS($D$7:D563)),1))</f>
        <v/>
      </c>
      <c r="E563" s="22" t="str" cm="1">
        <f t="array" ref="E563">IF(ROWS($E$7:E563)&gt;COUNTIF('[1]U$S'!$H$5:$H$1008,$L$5),"",INDEX(CuentaUS,_xlfn.AGGREGATE(15,6,ROW('[1]U$S'!$H$5:$H$1008)-ROW('[1]U$S'!$O$5)+1/--('[1]U$S'!$H$5:$H$1008=$L$5),ROWS($E$7:E563)),6))</f>
        <v/>
      </c>
      <c r="F563" s="22" t="str">
        <f>IF(E563="","",IF(E563&gt;0,SUMIFS('[1]UY$'!$L$5:$L$993,'[1]UY$'!$O$5:$O$993,"Cambio",'[1]UY$'!$E$5:$E$993,'Efecto TC'!D563),""))</f>
        <v/>
      </c>
      <c r="G563" s="23" t="str">
        <f t="shared" si="71"/>
        <v/>
      </c>
      <c r="H563" s="22" t="str">
        <f t="shared" si="72"/>
        <v/>
      </c>
      <c r="I563" s="54" t="str">
        <f t="shared" si="69"/>
        <v/>
      </c>
      <c r="R563" s="24" t="e">
        <f t="shared" si="73"/>
        <v>#VALUE!</v>
      </c>
      <c r="S563" s="25" t="e">
        <f t="shared" si="70"/>
        <v>#VALUE!</v>
      </c>
    </row>
    <row r="564" spans="1:19" x14ac:dyDescent="0.25">
      <c r="A564" t="e">
        <f t="shared" si="67"/>
        <v>#VALUE!</v>
      </c>
      <c r="B564" t="e">
        <f t="shared" si="68"/>
        <v>#VALUE!</v>
      </c>
      <c r="D564" s="21" t="str" cm="1">
        <f t="array" ref="D564">IF(ROWS($D$7:D564)&gt;COUNTIF('[1]U$S'!$H$5:$H$1008,$L$5),"",INDEX(CuentaUS,_xlfn.AGGREGATE(15,6,ROW('[1]U$S'!$H$5:$H$1008)-ROW('[1]U$S'!$O$5)+1/--('[1]U$S'!$H$5:$H$1008=$L$5),ROWS($D$7:D564)),1))</f>
        <v/>
      </c>
      <c r="E564" s="22" t="str" cm="1">
        <f t="array" ref="E564">IF(ROWS($E$7:E564)&gt;COUNTIF('[1]U$S'!$H$5:$H$1008,$L$5),"",INDEX(CuentaUS,_xlfn.AGGREGATE(15,6,ROW('[1]U$S'!$H$5:$H$1008)-ROW('[1]U$S'!$O$5)+1/--('[1]U$S'!$H$5:$H$1008=$L$5),ROWS($E$7:E564)),6))</f>
        <v/>
      </c>
      <c r="F564" s="22" t="str">
        <f>IF(E564="","",IF(E564&gt;0,SUMIFS('[1]UY$'!$L$5:$L$993,'[1]UY$'!$O$5:$O$993,"Cambio",'[1]UY$'!$E$5:$E$993,'Efecto TC'!D564),""))</f>
        <v/>
      </c>
      <c r="G564" s="23" t="str">
        <f t="shared" si="71"/>
        <v/>
      </c>
      <c r="H564" s="22" t="str">
        <f t="shared" si="72"/>
        <v/>
      </c>
      <c r="I564" s="54" t="str">
        <f t="shared" si="69"/>
        <v/>
      </c>
      <c r="R564" s="24" t="e">
        <f t="shared" si="73"/>
        <v>#VALUE!</v>
      </c>
      <c r="S564" s="25" t="e">
        <f t="shared" si="70"/>
        <v>#VALUE!</v>
      </c>
    </row>
    <row r="565" spans="1:19" x14ac:dyDescent="0.25">
      <c r="A565" t="e">
        <f t="shared" si="67"/>
        <v>#VALUE!</v>
      </c>
      <c r="B565" t="e">
        <f t="shared" si="68"/>
        <v>#VALUE!</v>
      </c>
      <c r="D565" s="21" t="str" cm="1">
        <f t="array" ref="D565">IF(ROWS($D$7:D565)&gt;COUNTIF('[1]U$S'!$H$5:$H$1008,$L$5),"",INDEX(CuentaUS,_xlfn.AGGREGATE(15,6,ROW('[1]U$S'!$H$5:$H$1008)-ROW('[1]U$S'!$O$5)+1/--('[1]U$S'!$H$5:$H$1008=$L$5),ROWS($D$7:D565)),1))</f>
        <v/>
      </c>
      <c r="E565" s="22" t="str" cm="1">
        <f t="array" ref="E565">IF(ROWS($E$7:E565)&gt;COUNTIF('[1]U$S'!$H$5:$H$1008,$L$5),"",INDEX(CuentaUS,_xlfn.AGGREGATE(15,6,ROW('[1]U$S'!$H$5:$H$1008)-ROW('[1]U$S'!$O$5)+1/--('[1]U$S'!$H$5:$H$1008=$L$5),ROWS($E$7:E565)),6))</f>
        <v/>
      </c>
      <c r="F565" s="22" t="str">
        <f>IF(E565="","",IF(E565&gt;0,SUMIFS('[1]UY$'!$L$5:$L$993,'[1]UY$'!$O$5:$O$993,"Cambio",'[1]UY$'!$E$5:$E$993,'Efecto TC'!D565),""))</f>
        <v/>
      </c>
      <c r="G565" s="23" t="str">
        <f t="shared" si="71"/>
        <v/>
      </c>
      <c r="H565" s="22" t="str">
        <f t="shared" si="72"/>
        <v/>
      </c>
      <c r="I565" s="54" t="str">
        <f t="shared" si="69"/>
        <v/>
      </c>
      <c r="R565" s="24" t="e">
        <f t="shared" si="73"/>
        <v>#VALUE!</v>
      </c>
      <c r="S565" s="25" t="e">
        <f t="shared" si="70"/>
        <v>#VALUE!</v>
      </c>
    </row>
    <row r="566" spans="1:19" x14ac:dyDescent="0.25">
      <c r="A566" t="e">
        <f t="shared" si="67"/>
        <v>#VALUE!</v>
      </c>
      <c r="B566" t="e">
        <f t="shared" si="68"/>
        <v>#VALUE!</v>
      </c>
      <c r="D566" s="21" t="str" cm="1">
        <f t="array" ref="D566">IF(ROWS($D$7:D566)&gt;COUNTIF('[1]U$S'!$H$5:$H$1008,$L$5),"",INDEX(CuentaUS,_xlfn.AGGREGATE(15,6,ROW('[1]U$S'!$H$5:$H$1008)-ROW('[1]U$S'!$O$5)+1/--('[1]U$S'!$H$5:$H$1008=$L$5),ROWS($D$7:D566)),1))</f>
        <v/>
      </c>
      <c r="E566" s="22" t="str" cm="1">
        <f t="array" ref="E566">IF(ROWS($E$7:E566)&gt;COUNTIF('[1]U$S'!$H$5:$H$1008,$L$5),"",INDEX(CuentaUS,_xlfn.AGGREGATE(15,6,ROW('[1]U$S'!$H$5:$H$1008)-ROW('[1]U$S'!$O$5)+1/--('[1]U$S'!$H$5:$H$1008=$L$5),ROWS($E$7:E566)),6))</f>
        <v/>
      </c>
      <c r="F566" s="22" t="str">
        <f>IF(E566="","",IF(E566&gt;0,SUMIFS('[1]UY$'!$L$5:$L$993,'[1]UY$'!$O$5:$O$993,"Cambio",'[1]UY$'!$E$5:$E$993,'Efecto TC'!D566),""))</f>
        <v/>
      </c>
      <c r="G566" s="23" t="str">
        <f t="shared" si="71"/>
        <v/>
      </c>
      <c r="H566" s="22" t="str">
        <f t="shared" si="72"/>
        <v/>
      </c>
      <c r="I566" s="54" t="str">
        <f t="shared" si="69"/>
        <v/>
      </c>
      <c r="R566" s="24" t="e">
        <f t="shared" si="73"/>
        <v>#VALUE!</v>
      </c>
      <c r="S566" s="25" t="e">
        <f t="shared" si="70"/>
        <v>#VALUE!</v>
      </c>
    </row>
    <row r="567" spans="1:19" x14ac:dyDescent="0.25">
      <c r="A567" t="e">
        <f t="shared" si="67"/>
        <v>#VALUE!</v>
      </c>
      <c r="B567" t="e">
        <f t="shared" si="68"/>
        <v>#VALUE!</v>
      </c>
      <c r="D567" s="21" t="str" cm="1">
        <f t="array" ref="D567">IF(ROWS($D$7:D567)&gt;COUNTIF('[1]U$S'!$H$5:$H$1008,$L$5),"",INDEX(CuentaUS,_xlfn.AGGREGATE(15,6,ROW('[1]U$S'!$H$5:$H$1008)-ROW('[1]U$S'!$O$5)+1/--('[1]U$S'!$H$5:$H$1008=$L$5),ROWS($D$7:D567)),1))</f>
        <v/>
      </c>
      <c r="E567" s="22" t="str" cm="1">
        <f t="array" ref="E567">IF(ROWS($E$7:E567)&gt;COUNTIF('[1]U$S'!$H$5:$H$1008,$L$5),"",INDEX(CuentaUS,_xlfn.AGGREGATE(15,6,ROW('[1]U$S'!$H$5:$H$1008)-ROW('[1]U$S'!$O$5)+1/--('[1]U$S'!$H$5:$H$1008=$L$5),ROWS($E$7:E567)),6))</f>
        <v/>
      </c>
      <c r="F567" s="22" t="str">
        <f>IF(E567="","",IF(E567&gt;0,SUMIFS('[1]UY$'!$L$5:$L$993,'[1]UY$'!$O$5:$O$993,"Cambio",'[1]UY$'!$E$5:$E$993,'Efecto TC'!D567),""))</f>
        <v/>
      </c>
      <c r="G567" s="23" t="str">
        <f t="shared" si="71"/>
        <v/>
      </c>
      <c r="H567" s="22" t="str">
        <f t="shared" si="72"/>
        <v/>
      </c>
      <c r="I567" s="54" t="str">
        <f t="shared" si="69"/>
        <v/>
      </c>
      <c r="R567" s="24" t="e">
        <f t="shared" si="73"/>
        <v>#VALUE!</v>
      </c>
      <c r="S567" s="25" t="e">
        <f t="shared" si="70"/>
        <v>#VALUE!</v>
      </c>
    </row>
    <row r="568" spans="1:19" x14ac:dyDescent="0.25">
      <c r="A568" t="e">
        <f t="shared" si="67"/>
        <v>#VALUE!</v>
      </c>
      <c r="B568" t="e">
        <f t="shared" si="68"/>
        <v>#VALUE!</v>
      </c>
      <c r="D568" s="21" t="str" cm="1">
        <f t="array" ref="D568">IF(ROWS($D$7:D568)&gt;COUNTIF('[1]U$S'!$H$5:$H$1008,$L$5),"",INDEX(CuentaUS,_xlfn.AGGREGATE(15,6,ROW('[1]U$S'!$H$5:$H$1008)-ROW('[1]U$S'!$O$5)+1/--('[1]U$S'!$H$5:$H$1008=$L$5),ROWS($D$7:D568)),1))</f>
        <v/>
      </c>
      <c r="E568" s="22" t="str" cm="1">
        <f t="array" ref="E568">IF(ROWS($E$7:E568)&gt;COUNTIF('[1]U$S'!$H$5:$H$1008,$L$5),"",INDEX(CuentaUS,_xlfn.AGGREGATE(15,6,ROW('[1]U$S'!$H$5:$H$1008)-ROW('[1]U$S'!$O$5)+1/--('[1]U$S'!$H$5:$H$1008=$L$5),ROWS($E$7:E568)),6))</f>
        <v/>
      </c>
      <c r="F568" s="22" t="str">
        <f>IF(E568="","",IF(E568&gt;0,SUMIFS('[1]UY$'!$L$5:$L$993,'[1]UY$'!$O$5:$O$993,"Cambio",'[1]UY$'!$E$5:$E$993,'Efecto TC'!D568),""))</f>
        <v/>
      </c>
      <c r="G568" s="23" t="str">
        <f t="shared" si="71"/>
        <v/>
      </c>
      <c r="H568" s="22" t="str">
        <f t="shared" si="72"/>
        <v/>
      </c>
      <c r="I568" s="54" t="str">
        <f t="shared" si="69"/>
        <v/>
      </c>
      <c r="R568" s="24" t="e">
        <f t="shared" si="73"/>
        <v>#VALUE!</v>
      </c>
      <c r="S568" s="25" t="e">
        <f t="shared" si="70"/>
        <v>#VALUE!</v>
      </c>
    </row>
    <row r="569" spans="1:19" x14ac:dyDescent="0.25">
      <c r="A569" t="e">
        <f t="shared" si="67"/>
        <v>#VALUE!</v>
      </c>
      <c r="B569" t="e">
        <f t="shared" si="68"/>
        <v>#VALUE!</v>
      </c>
      <c r="D569" s="21" t="str" cm="1">
        <f t="array" ref="D569">IF(ROWS($D$7:D569)&gt;COUNTIF('[1]U$S'!$H$5:$H$1008,$L$5),"",INDEX(CuentaUS,_xlfn.AGGREGATE(15,6,ROW('[1]U$S'!$H$5:$H$1008)-ROW('[1]U$S'!$O$5)+1/--('[1]U$S'!$H$5:$H$1008=$L$5),ROWS($D$7:D569)),1))</f>
        <v/>
      </c>
      <c r="E569" s="22" t="str" cm="1">
        <f t="array" ref="E569">IF(ROWS($E$7:E569)&gt;COUNTIF('[1]U$S'!$H$5:$H$1008,$L$5),"",INDEX(CuentaUS,_xlfn.AGGREGATE(15,6,ROW('[1]U$S'!$H$5:$H$1008)-ROW('[1]U$S'!$O$5)+1/--('[1]U$S'!$H$5:$H$1008=$L$5),ROWS($E$7:E569)),6))</f>
        <v/>
      </c>
      <c r="F569" s="22" t="str">
        <f>IF(E569="","",IF(E569&gt;0,SUMIFS('[1]UY$'!$L$5:$L$993,'[1]UY$'!$O$5:$O$993,"Cambio",'[1]UY$'!$E$5:$E$993,'Efecto TC'!D569),""))</f>
        <v/>
      </c>
      <c r="G569" s="23" t="str">
        <f t="shared" si="71"/>
        <v/>
      </c>
      <c r="H569" s="22" t="str">
        <f t="shared" si="72"/>
        <v/>
      </c>
      <c r="I569" s="54" t="str">
        <f t="shared" si="69"/>
        <v/>
      </c>
      <c r="R569" s="24" t="e">
        <f t="shared" si="73"/>
        <v>#VALUE!</v>
      </c>
      <c r="S569" s="25" t="e">
        <f t="shared" si="70"/>
        <v>#VALUE!</v>
      </c>
    </row>
    <row r="570" spans="1:19" x14ac:dyDescent="0.25">
      <c r="A570" t="e">
        <f t="shared" si="67"/>
        <v>#VALUE!</v>
      </c>
      <c r="B570" t="e">
        <f t="shared" si="68"/>
        <v>#VALUE!</v>
      </c>
      <c r="D570" s="21" t="str" cm="1">
        <f t="array" ref="D570">IF(ROWS($D$7:D570)&gt;COUNTIF('[1]U$S'!$H$5:$H$1008,$L$5),"",INDEX(CuentaUS,_xlfn.AGGREGATE(15,6,ROW('[1]U$S'!$H$5:$H$1008)-ROW('[1]U$S'!$O$5)+1/--('[1]U$S'!$H$5:$H$1008=$L$5),ROWS($D$7:D570)),1))</f>
        <v/>
      </c>
      <c r="E570" s="22" t="str" cm="1">
        <f t="array" ref="E570">IF(ROWS($E$7:E570)&gt;COUNTIF('[1]U$S'!$H$5:$H$1008,$L$5),"",INDEX(CuentaUS,_xlfn.AGGREGATE(15,6,ROW('[1]U$S'!$H$5:$H$1008)-ROW('[1]U$S'!$O$5)+1/--('[1]U$S'!$H$5:$H$1008=$L$5),ROWS($E$7:E570)),6))</f>
        <v/>
      </c>
      <c r="F570" s="22" t="str">
        <f>IF(E570="","",IF(E570&gt;0,SUMIFS('[1]UY$'!$L$5:$L$993,'[1]UY$'!$O$5:$O$993,"Cambio",'[1]UY$'!$E$5:$E$993,'Efecto TC'!D570),""))</f>
        <v/>
      </c>
      <c r="G570" s="23" t="str">
        <f t="shared" si="71"/>
        <v/>
      </c>
      <c r="H570" s="22" t="str">
        <f t="shared" si="72"/>
        <v/>
      </c>
      <c r="I570" s="54" t="str">
        <f t="shared" si="69"/>
        <v/>
      </c>
      <c r="R570" s="24" t="e">
        <f t="shared" si="73"/>
        <v>#VALUE!</v>
      </c>
      <c r="S570" s="25" t="e">
        <f t="shared" si="70"/>
        <v>#VALUE!</v>
      </c>
    </row>
    <row r="571" spans="1:19" x14ac:dyDescent="0.25">
      <c r="A571" t="e">
        <f t="shared" si="67"/>
        <v>#VALUE!</v>
      </c>
      <c r="B571" t="e">
        <f t="shared" si="68"/>
        <v>#VALUE!</v>
      </c>
      <c r="D571" s="21" t="str" cm="1">
        <f t="array" ref="D571">IF(ROWS($D$7:D571)&gt;COUNTIF('[1]U$S'!$H$5:$H$1008,$L$5),"",INDEX(CuentaUS,_xlfn.AGGREGATE(15,6,ROW('[1]U$S'!$H$5:$H$1008)-ROW('[1]U$S'!$O$5)+1/--('[1]U$S'!$H$5:$H$1008=$L$5),ROWS($D$7:D571)),1))</f>
        <v/>
      </c>
      <c r="E571" s="22" t="str" cm="1">
        <f t="array" ref="E571">IF(ROWS($E$7:E571)&gt;COUNTIF('[1]U$S'!$H$5:$H$1008,$L$5),"",INDEX(CuentaUS,_xlfn.AGGREGATE(15,6,ROW('[1]U$S'!$H$5:$H$1008)-ROW('[1]U$S'!$O$5)+1/--('[1]U$S'!$H$5:$H$1008=$L$5),ROWS($E$7:E571)),6))</f>
        <v/>
      </c>
      <c r="F571" s="22" t="str">
        <f>IF(E571="","",IF(E571&gt;0,SUMIFS('[1]UY$'!$L$5:$L$993,'[1]UY$'!$O$5:$O$993,"Cambio",'[1]UY$'!$E$5:$E$993,'Efecto TC'!D571),""))</f>
        <v/>
      </c>
      <c r="G571" s="23" t="str">
        <f t="shared" si="71"/>
        <v/>
      </c>
      <c r="H571" s="22" t="str">
        <f t="shared" si="72"/>
        <v/>
      </c>
      <c r="I571" s="54" t="str">
        <f t="shared" si="69"/>
        <v/>
      </c>
      <c r="R571" s="24" t="e">
        <f t="shared" si="73"/>
        <v>#VALUE!</v>
      </c>
      <c r="S571" s="25" t="e">
        <f t="shared" si="70"/>
        <v>#VALUE!</v>
      </c>
    </row>
    <row r="572" spans="1:19" x14ac:dyDescent="0.25">
      <c r="A572" t="e">
        <f t="shared" si="67"/>
        <v>#VALUE!</v>
      </c>
      <c r="B572" t="e">
        <f t="shared" si="68"/>
        <v>#VALUE!</v>
      </c>
      <c r="D572" s="21" t="str" cm="1">
        <f t="array" ref="D572">IF(ROWS($D$7:D572)&gt;COUNTIF('[1]U$S'!$H$5:$H$1008,$L$5),"",INDEX(CuentaUS,_xlfn.AGGREGATE(15,6,ROW('[1]U$S'!$H$5:$H$1008)-ROW('[1]U$S'!$O$5)+1/--('[1]U$S'!$H$5:$H$1008=$L$5),ROWS($D$7:D572)),1))</f>
        <v/>
      </c>
      <c r="E572" s="22" t="str" cm="1">
        <f t="array" ref="E572">IF(ROWS($E$7:E572)&gt;COUNTIF('[1]U$S'!$H$5:$H$1008,$L$5),"",INDEX(CuentaUS,_xlfn.AGGREGATE(15,6,ROW('[1]U$S'!$H$5:$H$1008)-ROW('[1]U$S'!$O$5)+1/--('[1]U$S'!$H$5:$H$1008=$L$5),ROWS($E$7:E572)),6))</f>
        <v/>
      </c>
      <c r="F572" s="22" t="str">
        <f>IF(E572="","",IF(E572&gt;0,SUMIFS('[1]UY$'!$L$5:$L$993,'[1]UY$'!$O$5:$O$993,"Cambio",'[1]UY$'!$E$5:$E$993,'Efecto TC'!D572),""))</f>
        <v/>
      </c>
      <c r="G572" s="23" t="str">
        <f t="shared" si="71"/>
        <v/>
      </c>
      <c r="H572" s="22" t="str">
        <f t="shared" si="72"/>
        <v/>
      </c>
      <c r="I572" s="54" t="str">
        <f t="shared" si="69"/>
        <v/>
      </c>
      <c r="R572" s="24" t="e">
        <f t="shared" si="73"/>
        <v>#VALUE!</v>
      </c>
      <c r="S572" s="25" t="e">
        <f t="shared" si="70"/>
        <v>#VALUE!</v>
      </c>
    </row>
    <row r="573" spans="1:19" x14ac:dyDescent="0.25">
      <c r="A573" t="e">
        <f t="shared" si="67"/>
        <v>#VALUE!</v>
      </c>
      <c r="B573" t="e">
        <f t="shared" si="68"/>
        <v>#VALUE!</v>
      </c>
      <c r="D573" s="21" t="str" cm="1">
        <f t="array" ref="D573">IF(ROWS($D$7:D573)&gt;COUNTIF('[1]U$S'!$H$5:$H$1008,$L$5),"",INDEX(CuentaUS,_xlfn.AGGREGATE(15,6,ROW('[1]U$S'!$H$5:$H$1008)-ROW('[1]U$S'!$O$5)+1/--('[1]U$S'!$H$5:$H$1008=$L$5),ROWS($D$7:D573)),1))</f>
        <v/>
      </c>
      <c r="E573" s="22" t="str" cm="1">
        <f t="array" ref="E573">IF(ROWS($E$7:E573)&gt;COUNTIF('[1]U$S'!$H$5:$H$1008,$L$5),"",INDEX(CuentaUS,_xlfn.AGGREGATE(15,6,ROW('[1]U$S'!$H$5:$H$1008)-ROW('[1]U$S'!$O$5)+1/--('[1]U$S'!$H$5:$H$1008=$L$5),ROWS($E$7:E573)),6))</f>
        <v/>
      </c>
      <c r="F573" s="22" t="str">
        <f>IF(E573="","",IF(E573&gt;0,SUMIFS('[1]UY$'!$L$5:$L$993,'[1]UY$'!$O$5:$O$993,"Cambio",'[1]UY$'!$E$5:$E$993,'Efecto TC'!D573),""))</f>
        <v/>
      </c>
      <c r="G573" s="23" t="str">
        <f t="shared" si="71"/>
        <v/>
      </c>
      <c r="H573" s="22" t="str">
        <f t="shared" si="72"/>
        <v/>
      </c>
      <c r="I573" s="54" t="str">
        <f t="shared" si="69"/>
        <v/>
      </c>
      <c r="R573" s="24" t="e">
        <f t="shared" si="73"/>
        <v>#VALUE!</v>
      </c>
      <c r="S573" s="25" t="e">
        <f t="shared" si="70"/>
        <v>#VALUE!</v>
      </c>
    </row>
    <row r="574" spans="1:19" x14ac:dyDescent="0.25">
      <c r="A574" t="e">
        <f t="shared" si="67"/>
        <v>#VALUE!</v>
      </c>
      <c r="B574" t="e">
        <f t="shared" si="68"/>
        <v>#VALUE!</v>
      </c>
      <c r="D574" s="21" t="str" cm="1">
        <f t="array" ref="D574">IF(ROWS($D$7:D574)&gt;COUNTIF('[1]U$S'!$H$5:$H$1008,$L$5),"",INDEX(CuentaUS,_xlfn.AGGREGATE(15,6,ROW('[1]U$S'!$H$5:$H$1008)-ROW('[1]U$S'!$O$5)+1/--('[1]U$S'!$H$5:$H$1008=$L$5),ROWS($D$7:D574)),1))</f>
        <v/>
      </c>
      <c r="E574" s="22" t="str" cm="1">
        <f t="array" ref="E574">IF(ROWS($E$7:E574)&gt;COUNTIF('[1]U$S'!$H$5:$H$1008,$L$5),"",INDEX(CuentaUS,_xlfn.AGGREGATE(15,6,ROW('[1]U$S'!$H$5:$H$1008)-ROW('[1]U$S'!$O$5)+1/--('[1]U$S'!$H$5:$H$1008=$L$5),ROWS($E$7:E574)),6))</f>
        <v/>
      </c>
      <c r="F574" s="22" t="str">
        <f>IF(E574="","",IF(E574&gt;0,SUMIFS('[1]UY$'!$L$5:$L$993,'[1]UY$'!$O$5:$O$993,"Cambio",'[1]UY$'!$E$5:$E$993,'Efecto TC'!D574),""))</f>
        <v/>
      </c>
      <c r="G574" s="23" t="str">
        <f t="shared" si="71"/>
        <v/>
      </c>
      <c r="H574" s="22" t="str">
        <f t="shared" si="72"/>
        <v/>
      </c>
      <c r="I574" s="54" t="str">
        <f t="shared" si="69"/>
        <v/>
      </c>
      <c r="R574" s="24" t="e">
        <f t="shared" si="73"/>
        <v>#VALUE!</v>
      </c>
      <c r="S574" s="25" t="e">
        <f t="shared" si="70"/>
        <v>#VALUE!</v>
      </c>
    </row>
    <row r="575" spans="1:19" x14ac:dyDescent="0.25">
      <c r="A575" t="e">
        <f t="shared" si="67"/>
        <v>#VALUE!</v>
      </c>
      <c r="B575" t="e">
        <f t="shared" si="68"/>
        <v>#VALUE!</v>
      </c>
      <c r="D575" s="21" t="str" cm="1">
        <f t="array" ref="D575">IF(ROWS($D$7:D575)&gt;COUNTIF('[1]U$S'!$H$5:$H$1008,$L$5),"",INDEX(CuentaUS,_xlfn.AGGREGATE(15,6,ROW('[1]U$S'!$H$5:$H$1008)-ROW('[1]U$S'!$O$5)+1/--('[1]U$S'!$H$5:$H$1008=$L$5),ROWS($D$7:D575)),1))</f>
        <v/>
      </c>
      <c r="E575" s="22" t="str" cm="1">
        <f t="array" ref="E575">IF(ROWS($E$7:E575)&gt;COUNTIF('[1]U$S'!$H$5:$H$1008,$L$5),"",INDEX(CuentaUS,_xlfn.AGGREGATE(15,6,ROW('[1]U$S'!$H$5:$H$1008)-ROW('[1]U$S'!$O$5)+1/--('[1]U$S'!$H$5:$H$1008=$L$5),ROWS($E$7:E575)),6))</f>
        <v/>
      </c>
      <c r="F575" s="22" t="str">
        <f>IF(E575="","",IF(E575&gt;0,SUMIFS('[1]UY$'!$L$5:$L$993,'[1]UY$'!$O$5:$O$993,"Cambio",'[1]UY$'!$E$5:$E$993,'Efecto TC'!D575),""))</f>
        <v/>
      </c>
      <c r="G575" s="23" t="str">
        <f t="shared" si="71"/>
        <v/>
      </c>
      <c r="H575" s="22" t="str">
        <f t="shared" si="72"/>
        <v/>
      </c>
      <c r="I575" s="54" t="str">
        <f t="shared" si="69"/>
        <v/>
      </c>
      <c r="R575" s="24" t="e">
        <f t="shared" si="73"/>
        <v>#VALUE!</v>
      </c>
      <c r="S575" s="25" t="e">
        <f t="shared" si="70"/>
        <v>#VALUE!</v>
      </c>
    </row>
    <row r="576" spans="1:19" x14ac:dyDescent="0.25">
      <c r="A576" t="e">
        <f t="shared" si="67"/>
        <v>#VALUE!</v>
      </c>
      <c r="B576" t="e">
        <f t="shared" si="68"/>
        <v>#VALUE!</v>
      </c>
      <c r="D576" s="21" t="str" cm="1">
        <f t="array" ref="D576">IF(ROWS($D$7:D576)&gt;COUNTIF('[1]U$S'!$H$5:$H$1008,$L$5),"",INDEX(CuentaUS,_xlfn.AGGREGATE(15,6,ROW('[1]U$S'!$H$5:$H$1008)-ROW('[1]U$S'!$O$5)+1/--('[1]U$S'!$H$5:$H$1008=$L$5),ROWS($D$7:D576)),1))</f>
        <v/>
      </c>
      <c r="E576" s="22" t="str" cm="1">
        <f t="array" ref="E576">IF(ROWS($E$7:E576)&gt;COUNTIF('[1]U$S'!$H$5:$H$1008,$L$5),"",INDEX(CuentaUS,_xlfn.AGGREGATE(15,6,ROW('[1]U$S'!$H$5:$H$1008)-ROW('[1]U$S'!$O$5)+1/--('[1]U$S'!$H$5:$H$1008=$L$5),ROWS($E$7:E576)),6))</f>
        <v/>
      </c>
      <c r="F576" s="22" t="str">
        <f>IF(E576="","",IF(E576&gt;0,SUMIFS('[1]UY$'!$L$5:$L$993,'[1]UY$'!$O$5:$O$993,"Cambio",'[1]UY$'!$E$5:$E$993,'Efecto TC'!D576),""))</f>
        <v/>
      </c>
      <c r="G576" s="23" t="str">
        <f t="shared" si="71"/>
        <v/>
      </c>
      <c r="H576" s="22" t="str">
        <f t="shared" si="72"/>
        <v/>
      </c>
      <c r="I576" s="54" t="str">
        <f t="shared" si="69"/>
        <v/>
      </c>
      <c r="R576" s="24" t="e">
        <f t="shared" si="73"/>
        <v>#VALUE!</v>
      </c>
      <c r="S576" s="25" t="e">
        <f t="shared" si="70"/>
        <v>#VALUE!</v>
      </c>
    </row>
    <row r="577" spans="1:19" x14ac:dyDescent="0.25">
      <c r="A577" t="e">
        <f t="shared" si="67"/>
        <v>#VALUE!</v>
      </c>
      <c r="B577" t="e">
        <f t="shared" si="68"/>
        <v>#VALUE!</v>
      </c>
      <c r="D577" s="21" t="str" cm="1">
        <f t="array" ref="D577">IF(ROWS($D$7:D577)&gt;COUNTIF('[1]U$S'!$H$5:$H$1008,$L$5),"",INDEX(CuentaUS,_xlfn.AGGREGATE(15,6,ROW('[1]U$S'!$H$5:$H$1008)-ROW('[1]U$S'!$O$5)+1/--('[1]U$S'!$H$5:$H$1008=$L$5),ROWS($D$7:D577)),1))</f>
        <v/>
      </c>
      <c r="E577" s="22" t="str" cm="1">
        <f t="array" ref="E577">IF(ROWS($E$7:E577)&gt;COUNTIF('[1]U$S'!$H$5:$H$1008,$L$5),"",INDEX(CuentaUS,_xlfn.AGGREGATE(15,6,ROW('[1]U$S'!$H$5:$H$1008)-ROW('[1]U$S'!$O$5)+1/--('[1]U$S'!$H$5:$H$1008=$L$5),ROWS($E$7:E577)),6))</f>
        <v/>
      </c>
      <c r="F577" s="22" t="str">
        <f>IF(E577="","",IF(E577&gt;0,SUMIFS('[1]UY$'!$L$5:$L$993,'[1]UY$'!$O$5:$O$993,"Cambio",'[1]UY$'!$E$5:$E$993,'Efecto TC'!D577),""))</f>
        <v/>
      </c>
      <c r="G577" s="23" t="str">
        <f t="shared" si="71"/>
        <v/>
      </c>
      <c r="H577" s="22" t="str">
        <f t="shared" si="72"/>
        <v/>
      </c>
      <c r="I577" s="54" t="str">
        <f t="shared" si="69"/>
        <v/>
      </c>
      <c r="R577" s="24" t="e">
        <f t="shared" si="73"/>
        <v>#VALUE!</v>
      </c>
      <c r="S577" s="25" t="e">
        <f t="shared" si="70"/>
        <v>#VALUE!</v>
      </c>
    </row>
    <row r="578" spans="1:19" x14ac:dyDescent="0.25">
      <c r="A578" t="e">
        <f t="shared" si="67"/>
        <v>#VALUE!</v>
      </c>
      <c r="B578" t="e">
        <f t="shared" si="68"/>
        <v>#VALUE!</v>
      </c>
      <c r="D578" s="21" t="str" cm="1">
        <f t="array" ref="D578">IF(ROWS($D$7:D578)&gt;COUNTIF('[1]U$S'!$H$5:$H$1008,$L$5),"",INDEX(CuentaUS,_xlfn.AGGREGATE(15,6,ROW('[1]U$S'!$H$5:$H$1008)-ROW('[1]U$S'!$O$5)+1/--('[1]U$S'!$H$5:$H$1008=$L$5),ROWS($D$7:D578)),1))</f>
        <v/>
      </c>
      <c r="E578" s="22" t="str" cm="1">
        <f t="array" ref="E578">IF(ROWS($E$7:E578)&gt;COUNTIF('[1]U$S'!$H$5:$H$1008,$L$5),"",INDEX(CuentaUS,_xlfn.AGGREGATE(15,6,ROW('[1]U$S'!$H$5:$H$1008)-ROW('[1]U$S'!$O$5)+1/--('[1]U$S'!$H$5:$H$1008=$L$5),ROWS($E$7:E578)),6))</f>
        <v/>
      </c>
      <c r="F578" s="22" t="str">
        <f>IF(E578="","",IF(E578&gt;0,SUMIFS('[1]UY$'!$L$5:$L$993,'[1]UY$'!$O$5:$O$993,"Cambio",'[1]UY$'!$E$5:$E$993,'Efecto TC'!D578),""))</f>
        <v/>
      </c>
      <c r="G578" s="23" t="str">
        <f t="shared" si="71"/>
        <v/>
      </c>
      <c r="H578" s="22" t="str">
        <f t="shared" si="72"/>
        <v/>
      </c>
      <c r="I578" s="54" t="str">
        <f t="shared" si="69"/>
        <v/>
      </c>
      <c r="R578" s="24" t="e">
        <f t="shared" si="73"/>
        <v>#VALUE!</v>
      </c>
      <c r="S578" s="25" t="e">
        <f t="shared" si="70"/>
        <v>#VALUE!</v>
      </c>
    </row>
    <row r="579" spans="1:19" x14ac:dyDescent="0.25">
      <c r="A579" t="e">
        <f t="shared" si="67"/>
        <v>#VALUE!</v>
      </c>
      <c r="B579" t="e">
        <f t="shared" si="68"/>
        <v>#VALUE!</v>
      </c>
      <c r="D579" s="21" t="str" cm="1">
        <f t="array" ref="D579">IF(ROWS($D$7:D579)&gt;COUNTIF('[1]U$S'!$H$5:$H$1008,$L$5),"",INDEX(CuentaUS,_xlfn.AGGREGATE(15,6,ROW('[1]U$S'!$H$5:$H$1008)-ROW('[1]U$S'!$O$5)+1/--('[1]U$S'!$H$5:$H$1008=$L$5),ROWS($D$7:D579)),1))</f>
        <v/>
      </c>
      <c r="E579" s="22" t="str" cm="1">
        <f t="array" ref="E579">IF(ROWS($E$7:E579)&gt;COUNTIF('[1]U$S'!$H$5:$H$1008,$L$5),"",INDEX(CuentaUS,_xlfn.AGGREGATE(15,6,ROW('[1]U$S'!$H$5:$H$1008)-ROW('[1]U$S'!$O$5)+1/--('[1]U$S'!$H$5:$H$1008=$L$5),ROWS($E$7:E579)),6))</f>
        <v/>
      </c>
      <c r="F579" s="22" t="str">
        <f>IF(E579="","",IF(E579&gt;0,SUMIFS('[1]UY$'!$L$5:$L$993,'[1]UY$'!$O$5:$O$993,"Cambio",'[1]UY$'!$E$5:$E$993,'Efecto TC'!D579),""))</f>
        <v/>
      </c>
      <c r="G579" s="23" t="str">
        <f t="shared" si="71"/>
        <v/>
      </c>
      <c r="H579" s="22" t="str">
        <f t="shared" si="72"/>
        <v/>
      </c>
      <c r="I579" s="54" t="str">
        <f t="shared" si="69"/>
        <v/>
      </c>
      <c r="R579" s="24" t="e">
        <f t="shared" si="73"/>
        <v>#VALUE!</v>
      </c>
      <c r="S579" s="25" t="e">
        <f t="shared" si="70"/>
        <v>#VALUE!</v>
      </c>
    </row>
    <row r="580" spans="1:19" x14ac:dyDescent="0.25">
      <c r="A580" t="e">
        <f t="shared" si="67"/>
        <v>#VALUE!</v>
      </c>
      <c r="B580" t="e">
        <f t="shared" si="68"/>
        <v>#VALUE!</v>
      </c>
      <c r="D580" s="21" t="str" cm="1">
        <f t="array" ref="D580">IF(ROWS($D$7:D580)&gt;COUNTIF('[1]U$S'!$H$5:$H$1008,$L$5),"",INDEX(CuentaUS,_xlfn.AGGREGATE(15,6,ROW('[1]U$S'!$H$5:$H$1008)-ROW('[1]U$S'!$O$5)+1/--('[1]U$S'!$H$5:$H$1008=$L$5),ROWS($D$7:D580)),1))</f>
        <v/>
      </c>
      <c r="E580" s="22" t="str" cm="1">
        <f t="array" ref="E580">IF(ROWS($E$7:E580)&gt;COUNTIF('[1]U$S'!$H$5:$H$1008,$L$5),"",INDEX(CuentaUS,_xlfn.AGGREGATE(15,6,ROW('[1]U$S'!$H$5:$H$1008)-ROW('[1]U$S'!$O$5)+1/--('[1]U$S'!$H$5:$H$1008=$L$5),ROWS($E$7:E580)),6))</f>
        <v/>
      </c>
      <c r="F580" s="22" t="str">
        <f>IF(E580="","",IF(E580&gt;0,SUMIFS('[1]UY$'!$L$5:$L$993,'[1]UY$'!$O$5:$O$993,"Cambio",'[1]UY$'!$E$5:$E$993,'Efecto TC'!D580),""))</f>
        <v/>
      </c>
      <c r="G580" s="23" t="str">
        <f t="shared" si="71"/>
        <v/>
      </c>
      <c r="H580" s="22" t="str">
        <f t="shared" si="72"/>
        <v/>
      </c>
      <c r="I580" s="54" t="str">
        <f t="shared" si="69"/>
        <v/>
      </c>
      <c r="R580" s="24" t="e">
        <f t="shared" si="73"/>
        <v>#VALUE!</v>
      </c>
      <c r="S580" s="25" t="e">
        <f t="shared" si="70"/>
        <v>#VALUE!</v>
      </c>
    </row>
    <row r="581" spans="1:19" x14ac:dyDescent="0.25">
      <c r="A581" t="e">
        <f t="shared" si="67"/>
        <v>#VALUE!</v>
      </c>
      <c r="B581" t="e">
        <f t="shared" si="68"/>
        <v>#VALUE!</v>
      </c>
      <c r="D581" s="21" t="str" cm="1">
        <f t="array" ref="D581">IF(ROWS($D$7:D581)&gt;COUNTIF('[1]U$S'!$H$5:$H$1008,$L$5),"",INDEX(CuentaUS,_xlfn.AGGREGATE(15,6,ROW('[1]U$S'!$H$5:$H$1008)-ROW('[1]U$S'!$O$5)+1/--('[1]U$S'!$H$5:$H$1008=$L$5),ROWS($D$7:D581)),1))</f>
        <v/>
      </c>
      <c r="E581" s="22" t="str" cm="1">
        <f t="array" ref="E581">IF(ROWS($E$7:E581)&gt;COUNTIF('[1]U$S'!$H$5:$H$1008,$L$5),"",INDEX(CuentaUS,_xlfn.AGGREGATE(15,6,ROW('[1]U$S'!$H$5:$H$1008)-ROW('[1]U$S'!$O$5)+1/--('[1]U$S'!$H$5:$H$1008=$L$5),ROWS($E$7:E581)),6))</f>
        <v/>
      </c>
      <c r="F581" s="22" t="str">
        <f>IF(E581="","",IF(E581&gt;0,SUMIFS('[1]UY$'!$L$5:$L$993,'[1]UY$'!$O$5:$O$993,"Cambio",'[1]UY$'!$E$5:$E$993,'Efecto TC'!D581),""))</f>
        <v/>
      </c>
      <c r="G581" s="23" t="str">
        <f t="shared" si="71"/>
        <v/>
      </c>
      <c r="H581" s="22" t="str">
        <f t="shared" si="72"/>
        <v/>
      </c>
      <c r="I581" s="54" t="str">
        <f t="shared" si="69"/>
        <v/>
      </c>
      <c r="R581" s="24" t="e">
        <f t="shared" si="73"/>
        <v>#VALUE!</v>
      </c>
      <c r="S581" s="25" t="e">
        <f t="shared" si="70"/>
        <v>#VALUE!</v>
      </c>
    </row>
    <row r="582" spans="1:19" x14ac:dyDescent="0.25">
      <c r="A582" t="e">
        <f t="shared" si="67"/>
        <v>#VALUE!</v>
      </c>
      <c r="B582" t="e">
        <f t="shared" si="68"/>
        <v>#VALUE!</v>
      </c>
      <c r="D582" s="21" t="str" cm="1">
        <f t="array" ref="D582">IF(ROWS($D$7:D582)&gt;COUNTIF('[1]U$S'!$H$5:$H$1008,$L$5),"",INDEX(CuentaUS,_xlfn.AGGREGATE(15,6,ROW('[1]U$S'!$H$5:$H$1008)-ROW('[1]U$S'!$O$5)+1/--('[1]U$S'!$H$5:$H$1008=$L$5),ROWS($D$7:D582)),1))</f>
        <v/>
      </c>
      <c r="E582" s="22" t="str" cm="1">
        <f t="array" ref="E582">IF(ROWS($E$7:E582)&gt;COUNTIF('[1]U$S'!$H$5:$H$1008,$L$5),"",INDEX(CuentaUS,_xlfn.AGGREGATE(15,6,ROW('[1]U$S'!$H$5:$H$1008)-ROW('[1]U$S'!$O$5)+1/--('[1]U$S'!$H$5:$H$1008=$L$5),ROWS($E$7:E582)),6))</f>
        <v/>
      </c>
      <c r="F582" s="22" t="str">
        <f>IF(E582="","",IF(E582&gt;0,SUMIFS('[1]UY$'!$L$5:$L$993,'[1]UY$'!$O$5:$O$993,"Cambio",'[1]UY$'!$E$5:$E$993,'Efecto TC'!D582),""))</f>
        <v/>
      </c>
      <c r="G582" s="23" t="str">
        <f t="shared" si="71"/>
        <v/>
      </c>
      <c r="H582" s="22" t="str">
        <f t="shared" si="72"/>
        <v/>
      </c>
      <c r="I582" s="54" t="str">
        <f t="shared" si="69"/>
        <v/>
      </c>
      <c r="R582" s="24" t="e">
        <f t="shared" si="73"/>
        <v>#VALUE!</v>
      </c>
      <c r="S582" s="25" t="e">
        <f t="shared" si="70"/>
        <v>#VALUE!</v>
      </c>
    </row>
    <row r="583" spans="1:19" x14ac:dyDescent="0.25">
      <c r="A583" t="e">
        <f t="shared" ref="A583:A646" si="74">MONTH(D583)</f>
        <v>#VALUE!</v>
      </c>
      <c r="B583" t="e">
        <f t="shared" ref="B583:B646" si="75">YEAR(D583)</f>
        <v>#VALUE!</v>
      </c>
      <c r="D583" s="21" t="str" cm="1">
        <f t="array" ref="D583">IF(ROWS($D$7:D583)&gt;COUNTIF('[1]U$S'!$H$5:$H$1008,$L$5),"",INDEX(CuentaUS,_xlfn.AGGREGATE(15,6,ROW('[1]U$S'!$H$5:$H$1008)-ROW('[1]U$S'!$O$5)+1/--('[1]U$S'!$H$5:$H$1008=$L$5),ROWS($D$7:D583)),1))</f>
        <v/>
      </c>
      <c r="E583" s="22" t="str" cm="1">
        <f t="array" ref="E583">IF(ROWS($E$7:E583)&gt;COUNTIF('[1]U$S'!$H$5:$H$1008,$L$5),"",INDEX(CuentaUS,_xlfn.AGGREGATE(15,6,ROW('[1]U$S'!$H$5:$H$1008)-ROW('[1]U$S'!$O$5)+1/--('[1]U$S'!$H$5:$H$1008=$L$5),ROWS($E$7:E583)),6))</f>
        <v/>
      </c>
      <c r="F583" s="22" t="str">
        <f>IF(E583="","",IF(E583&gt;0,SUMIFS('[1]UY$'!$L$5:$L$993,'[1]UY$'!$O$5:$O$993,"Cambio",'[1]UY$'!$E$5:$E$993,'Efecto TC'!D583),""))</f>
        <v/>
      </c>
      <c r="G583" s="23" t="str">
        <f t="shared" si="71"/>
        <v/>
      </c>
      <c r="H583" s="22" t="str">
        <f t="shared" si="72"/>
        <v/>
      </c>
      <c r="I583" s="54" t="str">
        <f t="shared" si="69"/>
        <v/>
      </c>
      <c r="R583" s="24" t="e">
        <f t="shared" si="73"/>
        <v>#VALUE!</v>
      </c>
      <c r="S583" s="25" t="e">
        <f t="shared" si="70"/>
        <v>#VALUE!</v>
      </c>
    </row>
    <row r="584" spans="1:19" x14ac:dyDescent="0.25">
      <c r="A584" t="e">
        <f t="shared" si="74"/>
        <v>#VALUE!</v>
      </c>
      <c r="B584" t="e">
        <f t="shared" si="75"/>
        <v>#VALUE!</v>
      </c>
      <c r="D584" s="21" t="str" cm="1">
        <f t="array" ref="D584">IF(ROWS($D$7:D584)&gt;COUNTIF('[1]U$S'!$H$5:$H$1008,$L$5),"",INDEX(CuentaUS,_xlfn.AGGREGATE(15,6,ROW('[1]U$S'!$H$5:$H$1008)-ROW('[1]U$S'!$O$5)+1/--('[1]U$S'!$H$5:$H$1008=$L$5),ROWS($D$7:D584)),1))</f>
        <v/>
      </c>
      <c r="E584" s="22" t="str" cm="1">
        <f t="array" ref="E584">IF(ROWS($E$7:E584)&gt;COUNTIF('[1]U$S'!$H$5:$H$1008,$L$5),"",INDEX(CuentaUS,_xlfn.AGGREGATE(15,6,ROW('[1]U$S'!$H$5:$H$1008)-ROW('[1]U$S'!$O$5)+1/--('[1]U$S'!$H$5:$H$1008=$L$5),ROWS($E$7:E584)),6))</f>
        <v/>
      </c>
      <c r="F584" s="22" t="str">
        <f>IF(E584="","",IF(E584&gt;0,SUMIFS('[1]UY$'!$L$5:$L$993,'[1]UY$'!$O$5:$O$993,"Cambio",'[1]UY$'!$E$5:$E$993,'Efecto TC'!D584),""))</f>
        <v/>
      </c>
      <c r="G584" s="23" t="str">
        <f t="shared" si="71"/>
        <v/>
      </c>
      <c r="H584" s="22" t="str">
        <f t="shared" si="72"/>
        <v/>
      </c>
      <c r="I584" s="54" t="str">
        <f t="shared" si="69"/>
        <v/>
      </c>
      <c r="R584" s="24" t="e">
        <f t="shared" si="73"/>
        <v>#VALUE!</v>
      </c>
      <c r="S584" s="25" t="e">
        <f t="shared" si="70"/>
        <v>#VALUE!</v>
      </c>
    </row>
    <row r="585" spans="1:19" x14ac:dyDescent="0.25">
      <c r="A585" t="e">
        <f t="shared" si="74"/>
        <v>#VALUE!</v>
      </c>
      <c r="B585" t="e">
        <f t="shared" si="75"/>
        <v>#VALUE!</v>
      </c>
      <c r="D585" s="21" t="str" cm="1">
        <f t="array" ref="D585">IF(ROWS($D$7:D585)&gt;COUNTIF('[1]U$S'!$H$5:$H$1008,$L$5),"",INDEX(CuentaUS,_xlfn.AGGREGATE(15,6,ROW('[1]U$S'!$H$5:$H$1008)-ROW('[1]U$S'!$O$5)+1/--('[1]U$S'!$H$5:$H$1008=$L$5),ROWS($D$7:D585)),1))</f>
        <v/>
      </c>
      <c r="E585" s="22" t="str" cm="1">
        <f t="array" ref="E585">IF(ROWS($E$7:E585)&gt;COUNTIF('[1]U$S'!$H$5:$H$1008,$L$5),"",INDEX(CuentaUS,_xlfn.AGGREGATE(15,6,ROW('[1]U$S'!$H$5:$H$1008)-ROW('[1]U$S'!$O$5)+1/--('[1]U$S'!$H$5:$H$1008=$L$5),ROWS($E$7:E585)),6))</f>
        <v/>
      </c>
      <c r="F585" s="22" t="str">
        <f>IF(E585="","",IF(E585&gt;0,SUMIFS('[1]UY$'!$L$5:$L$993,'[1]UY$'!$O$5:$O$993,"Cambio",'[1]UY$'!$E$5:$E$993,'Efecto TC'!D585),""))</f>
        <v/>
      </c>
      <c r="G585" s="23" t="str">
        <f t="shared" si="71"/>
        <v/>
      </c>
      <c r="H585" s="22" t="str">
        <f t="shared" si="72"/>
        <v/>
      </c>
      <c r="I585" s="54" t="str">
        <f t="shared" si="69"/>
        <v/>
      </c>
      <c r="R585" s="24" t="e">
        <f t="shared" si="73"/>
        <v>#VALUE!</v>
      </c>
      <c r="S585" s="25" t="e">
        <f t="shared" si="70"/>
        <v>#VALUE!</v>
      </c>
    </row>
    <row r="586" spans="1:19" x14ac:dyDescent="0.25">
      <c r="A586" t="e">
        <f t="shared" si="74"/>
        <v>#VALUE!</v>
      </c>
      <c r="B586" t="e">
        <f t="shared" si="75"/>
        <v>#VALUE!</v>
      </c>
      <c r="D586" s="21" t="str" cm="1">
        <f t="array" ref="D586">IF(ROWS($D$7:D586)&gt;COUNTIF('[1]U$S'!$H$5:$H$1008,$L$5),"",INDEX(CuentaUS,_xlfn.AGGREGATE(15,6,ROW('[1]U$S'!$H$5:$H$1008)-ROW('[1]U$S'!$O$5)+1/--('[1]U$S'!$H$5:$H$1008=$L$5),ROWS($D$7:D586)),1))</f>
        <v/>
      </c>
      <c r="E586" s="22" t="str" cm="1">
        <f t="array" ref="E586">IF(ROWS($E$7:E586)&gt;COUNTIF('[1]U$S'!$H$5:$H$1008,$L$5),"",INDEX(CuentaUS,_xlfn.AGGREGATE(15,6,ROW('[1]U$S'!$H$5:$H$1008)-ROW('[1]U$S'!$O$5)+1/--('[1]U$S'!$H$5:$H$1008=$L$5),ROWS($E$7:E586)),6))</f>
        <v/>
      </c>
      <c r="F586" s="22" t="str">
        <f>IF(E586="","",IF(E586&gt;0,SUMIFS('[1]UY$'!$L$5:$L$993,'[1]UY$'!$O$5:$O$993,"Cambio",'[1]UY$'!$E$5:$E$993,'Efecto TC'!D586),""))</f>
        <v/>
      </c>
      <c r="G586" s="23" t="str">
        <f t="shared" si="71"/>
        <v/>
      </c>
      <c r="H586" s="22" t="str">
        <f t="shared" si="72"/>
        <v/>
      </c>
      <c r="I586" s="54" t="str">
        <f t="shared" ref="I586:I649" si="76">IF(H586="","",+H586+I585)</f>
        <v/>
      </c>
      <c r="R586" s="24" t="e">
        <f t="shared" si="73"/>
        <v>#VALUE!</v>
      </c>
      <c r="S586" s="25" t="e">
        <f t="shared" si="70"/>
        <v>#VALUE!</v>
      </c>
    </row>
    <row r="587" spans="1:19" x14ac:dyDescent="0.25">
      <c r="A587" t="e">
        <f t="shared" si="74"/>
        <v>#VALUE!</v>
      </c>
      <c r="B587" t="e">
        <f t="shared" si="75"/>
        <v>#VALUE!</v>
      </c>
      <c r="D587" s="21" t="str" cm="1">
        <f t="array" ref="D587">IF(ROWS($D$7:D587)&gt;COUNTIF('[1]U$S'!$H$5:$H$1008,$L$5),"",INDEX(CuentaUS,_xlfn.AGGREGATE(15,6,ROW('[1]U$S'!$H$5:$H$1008)-ROW('[1]U$S'!$O$5)+1/--('[1]U$S'!$H$5:$H$1008=$L$5),ROWS($D$7:D587)),1))</f>
        <v/>
      </c>
      <c r="E587" s="22" t="str" cm="1">
        <f t="array" ref="E587">IF(ROWS($E$7:E587)&gt;COUNTIF('[1]U$S'!$H$5:$H$1008,$L$5),"",INDEX(CuentaUS,_xlfn.AGGREGATE(15,6,ROW('[1]U$S'!$H$5:$H$1008)-ROW('[1]U$S'!$O$5)+1/--('[1]U$S'!$H$5:$H$1008=$L$5),ROWS($E$7:E587)),6))</f>
        <v/>
      </c>
      <c r="F587" s="22" t="str">
        <f>IF(E587="","",IF(E587&gt;0,SUMIFS('[1]UY$'!$L$5:$L$993,'[1]UY$'!$O$5:$O$993,"Cambio",'[1]UY$'!$E$5:$E$993,'Efecto TC'!D587),""))</f>
        <v/>
      </c>
      <c r="G587" s="23" t="str">
        <f t="shared" si="71"/>
        <v/>
      </c>
      <c r="H587" s="22" t="str">
        <f t="shared" si="72"/>
        <v/>
      </c>
      <c r="I587" s="54" t="str">
        <f t="shared" si="76"/>
        <v/>
      </c>
      <c r="R587" s="24" t="e">
        <f t="shared" si="73"/>
        <v>#VALUE!</v>
      </c>
      <c r="S587" s="25" t="e">
        <f t="shared" si="70"/>
        <v>#VALUE!</v>
      </c>
    </row>
    <row r="588" spans="1:19" x14ac:dyDescent="0.25">
      <c r="A588" t="e">
        <f t="shared" si="74"/>
        <v>#VALUE!</v>
      </c>
      <c r="B588" t="e">
        <f t="shared" si="75"/>
        <v>#VALUE!</v>
      </c>
      <c r="D588" s="21" t="str" cm="1">
        <f t="array" ref="D588">IF(ROWS($D$7:D588)&gt;COUNTIF('[1]U$S'!$H$5:$H$1008,$L$5),"",INDEX(CuentaUS,_xlfn.AGGREGATE(15,6,ROW('[1]U$S'!$H$5:$H$1008)-ROW('[1]U$S'!$O$5)+1/--('[1]U$S'!$H$5:$H$1008=$L$5),ROWS($D$7:D588)),1))</f>
        <v/>
      </c>
      <c r="E588" s="22" t="str" cm="1">
        <f t="array" ref="E588">IF(ROWS($E$7:E588)&gt;COUNTIF('[1]U$S'!$H$5:$H$1008,$L$5),"",INDEX(CuentaUS,_xlfn.AGGREGATE(15,6,ROW('[1]U$S'!$H$5:$H$1008)-ROW('[1]U$S'!$O$5)+1/--('[1]U$S'!$H$5:$H$1008=$L$5),ROWS($E$7:E588)),6))</f>
        <v/>
      </c>
      <c r="F588" s="22" t="str">
        <f>IF(E588="","",IF(E588&gt;0,SUMIFS('[1]UY$'!$L$5:$L$993,'[1]UY$'!$O$5:$O$993,"Cambio",'[1]UY$'!$E$5:$E$993,'Efecto TC'!D588),""))</f>
        <v/>
      </c>
      <c r="G588" s="23" t="str">
        <f t="shared" si="71"/>
        <v/>
      </c>
      <c r="H588" s="22" t="str">
        <f t="shared" si="72"/>
        <v/>
      </c>
      <c r="I588" s="54" t="str">
        <f t="shared" si="76"/>
        <v/>
      </c>
      <c r="R588" s="24" t="e">
        <f t="shared" si="73"/>
        <v>#VALUE!</v>
      </c>
      <c r="S588" s="25" t="e">
        <f t="shared" si="70"/>
        <v>#VALUE!</v>
      </c>
    </row>
    <row r="589" spans="1:19" x14ac:dyDescent="0.25">
      <c r="A589" t="e">
        <f t="shared" si="74"/>
        <v>#VALUE!</v>
      </c>
      <c r="B589" t="e">
        <f t="shared" si="75"/>
        <v>#VALUE!</v>
      </c>
      <c r="D589" s="21" t="str" cm="1">
        <f t="array" ref="D589">IF(ROWS($D$7:D589)&gt;COUNTIF('[1]U$S'!$H$5:$H$1008,$L$5),"",INDEX(CuentaUS,_xlfn.AGGREGATE(15,6,ROW('[1]U$S'!$H$5:$H$1008)-ROW('[1]U$S'!$O$5)+1/--('[1]U$S'!$H$5:$H$1008=$L$5),ROWS($D$7:D589)),1))</f>
        <v/>
      </c>
      <c r="E589" s="22" t="str" cm="1">
        <f t="array" ref="E589">IF(ROWS($E$7:E589)&gt;COUNTIF('[1]U$S'!$H$5:$H$1008,$L$5),"",INDEX(CuentaUS,_xlfn.AGGREGATE(15,6,ROW('[1]U$S'!$H$5:$H$1008)-ROW('[1]U$S'!$O$5)+1/--('[1]U$S'!$H$5:$H$1008=$L$5),ROWS($E$7:E589)),6))</f>
        <v/>
      </c>
      <c r="F589" s="22" t="str">
        <f>IF(E589="","",IF(E589&gt;0,SUMIFS('[1]UY$'!$L$5:$L$993,'[1]UY$'!$O$5:$O$993,"Cambio",'[1]UY$'!$E$5:$E$993,'Efecto TC'!D589),""))</f>
        <v/>
      </c>
      <c r="G589" s="23" t="str">
        <f t="shared" si="71"/>
        <v/>
      </c>
      <c r="H589" s="22" t="str">
        <f t="shared" si="72"/>
        <v/>
      </c>
      <c r="I589" s="54" t="str">
        <f t="shared" si="76"/>
        <v/>
      </c>
      <c r="R589" s="24" t="e">
        <f t="shared" si="73"/>
        <v>#VALUE!</v>
      </c>
      <c r="S589" s="25" t="e">
        <f t="shared" si="70"/>
        <v>#VALUE!</v>
      </c>
    </row>
    <row r="590" spans="1:19" x14ac:dyDescent="0.25">
      <c r="A590" t="e">
        <f t="shared" si="74"/>
        <v>#VALUE!</v>
      </c>
      <c r="B590" t="e">
        <f t="shared" si="75"/>
        <v>#VALUE!</v>
      </c>
      <c r="D590" s="21" t="str" cm="1">
        <f t="array" ref="D590">IF(ROWS($D$7:D590)&gt;COUNTIF('[1]U$S'!$H$5:$H$1008,$L$5),"",INDEX(CuentaUS,_xlfn.AGGREGATE(15,6,ROW('[1]U$S'!$H$5:$H$1008)-ROW('[1]U$S'!$O$5)+1/--('[1]U$S'!$H$5:$H$1008=$L$5),ROWS($D$7:D590)),1))</f>
        <v/>
      </c>
      <c r="E590" s="22" t="str" cm="1">
        <f t="array" ref="E590">IF(ROWS($E$7:E590)&gt;COUNTIF('[1]U$S'!$H$5:$H$1008,$L$5),"",INDEX(CuentaUS,_xlfn.AGGREGATE(15,6,ROW('[1]U$S'!$H$5:$H$1008)-ROW('[1]U$S'!$O$5)+1/--('[1]U$S'!$H$5:$H$1008=$L$5),ROWS($E$7:E590)),6))</f>
        <v/>
      </c>
      <c r="F590" s="22" t="str">
        <f>IF(E590="","",IF(E590&gt;0,SUMIFS('[1]UY$'!$L$5:$L$993,'[1]UY$'!$O$5:$O$993,"Cambio",'[1]UY$'!$E$5:$E$993,'Efecto TC'!D590),""))</f>
        <v/>
      </c>
      <c r="G590" s="23" t="str">
        <f t="shared" si="71"/>
        <v/>
      </c>
      <c r="H590" s="22" t="str">
        <f t="shared" si="72"/>
        <v/>
      </c>
      <c r="I590" s="54" t="str">
        <f t="shared" si="76"/>
        <v/>
      </c>
      <c r="R590" s="24" t="e">
        <f t="shared" si="73"/>
        <v>#VALUE!</v>
      </c>
      <c r="S590" s="25" t="e">
        <f t="shared" si="70"/>
        <v>#VALUE!</v>
      </c>
    </row>
    <row r="591" spans="1:19" x14ac:dyDescent="0.25">
      <c r="A591" t="e">
        <f t="shared" si="74"/>
        <v>#VALUE!</v>
      </c>
      <c r="B591" t="e">
        <f t="shared" si="75"/>
        <v>#VALUE!</v>
      </c>
      <c r="D591" s="21" t="str" cm="1">
        <f t="array" ref="D591">IF(ROWS($D$7:D591)&gt;COUNTIF('[1]U$S'!$H$5:$H$1008,$L$5),"",INDEX(CuentaUS,_xlfn.AGGREGATE(15,6,ROW('[1]U$S'!$H$5:$H$1008)-ROW('[1]U$S'!$O$5)+1/--('[1]U$S'!$H$5:$H$1008=$L$5),ROWS($D$7:D591)),1))</f>
        <v/>
      </c>
      <c r="E591" s="22" t="str" cm="1">
        <f t="array" ref="E591">IF(ROWS($E$7:E591)&gt;COUNTIF('[1]U$S'!$H$5:$H$1008,$L$5),"",INDEX(CuentaUS,_xlfn.AGGREGATE(15,6,ROW('[1]U$S'!$H$5:$H$1008)-ROW('[1]U$S'!$O$5)+1/--('[1]U$S'!$H$5:$H$1008=$L$5),ROWS($E$7:E591)),6))</f>
        <v/>
      </c>
      <c r="F591" s="22" t="str">
        <f>IF(E591="","",IF(E591&gt;0,SUMIFS('[1]UY$'!$L$5:$L$993,'[1]UY$'!$O$5:$O$993,"Cambio",'[1]UY$'!$E$5:$E$993,'Efecto TC'!D591),""))</f>
        <v/>
      </c>
      <c r="G591" s="23" t="str">
        <f t="shared" si="71"/>
        <v/>
      </c>
      <c r="H591" s="22" t="str">
        <f t="shared" si="72"/>
        <v/>
      </c>
      <c r="I591" s="54" t="str">
        <f t="shared" si="76"/>
        <v/>
      </c>
      <c r="R591" s="24" t="e">
        <f t="shared" si="73"/>
        <v>#VALUE!</v>
      </c>
      <c r="S591" s="25" t="e">
        <f t="shared" si="70"/>
        <v>#VALUE!</v>
      </c>
    </row>
    <row r="592" spans="1:19" x14ac:dyDescent="0.25">
      <c r="A592" t="e">
        <f t="shared" si="74"/>
        <v>#VALUE!</v>
      </c>
      <c r="B592" t="e">
        <f t="shared" si="75"/>
        <v>#VALUE!</v>
      </c>
      <c r="D592" s="21" t="str" cm="1">
        <f t="array" ref="D592">IF(ROWS($D$7:D592)&gt;COUNTIF('[1]U$S'!$H$5:$H$1008,$L$5),"",INDEX(CuentaUS,_xlfn.AGGREGATE(15,6,ROW('[1]U$S'!$H$5:$H$1008)-ROW('[1]U$S'!$O$5)+1/--('[1]U$S'!$H$5:$H$1008=$L$5),ROWS($D$7:D592)),1))</f>
        <v/>
      </c>
      <c r="E592" s="22" t="str" cm="1">
        <f t="array" ref="E592">IF(ROWS($E$7:E592)&gt;COUNTIF('[1]U$S'!$H$5:$H$1008,$L$5),"",INDEX(CuentaUS,_xlfn.AGGREGATE(15,6,ROW('[1]U$S'!$H$5:$H$1008)-ROW('[1]U$S'!$O$5)+1/--('[1]U$S'!$H$5:$H$1008=$L$5),ROWS($E$7:E592)),6))</f>
        <v/>
      </c>
      <c r="F592" s="22" t="str">
        <f>IF(E592="","",IF(E592&gt;0,SUMIFS('[1]UY$'!$L$5:$L$993,'[1]UY$'!$O$5:$O$993,"Cambio",'[1]UY$'!$E$5:$E$993,'Efecto TC'!D592),""))</f>
        <v/>
      </c>
      <c r="G592" s="23" t="str">
        <f t="shared" si="71"/>
        <v/>
      </c>
      <c r="H592" s="22" t="str">
        <f t="shared" si="72"/>
        <v/>
      </c>
      <c r="I592" s="54" t="str">
        <f t="shared" si="76"/>
        <v/>
      </c>
      <c r="R592" s="24" t="e">
        <f t="shared" si="73"/>
        <v>#VALUE!</v>
      </c>
      <c r="S592" s="25" t="e">
        <f t="shared" si="70"/>
        <v>#VALUE!</v>
      </c>
    </row>
    <row r="593" spans="1:19" x14ac:dyDescent="0.25">
      <c r="A593" t="e">
        <f t="shared" si="74"/>
        <v>#VALUE!</v>
      </c>
      <c r="B593" t="e">
        <f t="shared" si="75"/>
        <v>#VALUE!</v>
      </c>
      <c r="D593" s="21" t="str" cm="1">
        <f t="array" ref="D593">IF(ROWS($D$7:D593)&gt;COUNTIF('[1]U$S'!$H$5:$H$1008,$L$5),"",INDEX(CuentaUS,_xlfn.AGGREGATE(15,6,ROW('[1]U$S'!$H$5:$H$1008)-ROW('[1]U$S'!$O$5)+1/--('[1]U$S'!$H$5:$H$1008=$L$5),ROWS($D$7:D593)),1))</f>
        <v/>
      </c>
      <c r="E593" s="22" t="str" cm="1">
        <f t="array" ref="E593">IF(ROWS($E$7:E593)&gt;COUNTIF('[1]U$S'!$H$5:$H$1008,$L$5),"",INDEX(CuentaUS,_xlfn.AGGREGATE(15,6,ROW('[1]U$S'!$H$5:$H$1008)-ROW('[1]U$S'!$O$5)+1/--('[1]U$S'!$H$5:$H$1008=$L$5),ROWS($E$7:E593)),6))</f>
        <v/>
      </c>
      <c r="F593" s="22" t="str">
        <f>IF(E593="","",IF(E593&gt;0,SUMIFS('[1]UY$'!$L$5:$L$993,'[1]UY$'!$O$5:$O$993,"Cambio",'[1]UY$'!$E$5:$E$993,'Efecto TC'!D593),""))</f>
        <v/>
      </c>
      <c r="G593" s="23" t="str">
        <f t="shared" si="71"/>
        <v/>
      </c>
      <c r="H593" s="22" t="str">
        <f t="shared" si="72"/>
        <v/>
      </c>
      <c r="I593" s="54" t="str">
        <f t="shared" si="76"/>
        <v/>
      </c>
      <c r="R593" s="24" t="e">
        <f t="shared" si="73"/>
        <v>#VALUE!</v>
      </c>
      <c r="S593" s="25" t="e">
        <f t="shared" si="70"/>
        <v>#VALUE!</v>
      </c>
    </row>
    <row r="594" spans="1:19" x14ac:dyDescent="0.25">
      <c r="A594" t="e">
        <f t="shared" si="74"/>
        <v>#VALUE!</v>
      </c>
      <c r="B594" t="e">
        <f t="shared" si="75"/>
        <v>#VALUE!</v>
      </c>
      <c r="D594" s="21" t="str" cm="1">
        <f t="array" ref="D594">IF(ROWS($D$7:D594)&gt;COUNTIF('[1]U$S'!$H$5:$H$1008,$L$5),"",INDEX(CuentaUS,_xlfn.AGGREGATE(15,6,ROW('[1]U$S'!$H$5:$H$1008)-ROW('[1]U$S'!$O$5)+1/--('[1]U$S'!$H$5:$H$1008=$L$5),ROWS($D$7:D594)),1))</f>
        <v/>
      </c>
      <c r="E594" s="22" t="str" cm="1">
        <f t="array" ref="E594">IF(ROWS($E$7:E594)&gt;COUNTIF('[1]U$S'!$H$5:$H$1008,$L$5),"",INDEX(CuentaUS,_xlfn.AGGREGATE(15,6,ROW('[1]U$S'!$H$5:$H$1008)-ROW('[1]U$S'!$O$5)+1/--('[1]U$S'!$H$5:$H$1008=$L$5),ROWS($E$7:E594)),6))</f>
        <v/>
      </c>
      <c r="F594" s="22" t="str">
        <f>IF(E594="","",IF(E594&gt;0,SUMIFS('[1]UY$'!$L$5:$L$993,'[1]UY$'!$O$5:$O$993,"Cambio",'[1]UY$'!$E$5:$E$993,'Efecto TC'!D594),""))</f>
        <v/>
      </c>
      <c r="G594" s="23" t="str">
        <f t="shared" si="71"/>
        <v/>
      </c>
      <c r="H594" s="22" t="str">
        <f t="shared" si="72"/>
        <v/>
      </c>
      <c r="I594" s="54" t="str">
        <f t="shared" si="76"/>
        <v/>
      </c>
      <c r="R594" s="24" t="e">
        <f t="shared" si="73"/>
        <v>#VALUE!</v>
      </c>
      <c r="S594" s="25" t="e">
        <f t="shared" si="70"/>
        <v>#VALUE!</v>
      </c>
    </row>
    <row r="595" spans="1:19" x14ac:dyDescent="0.25">
      <c r="A595" t="e">
        <f t="shared" si="74"/>
        <v>#VALUE!</v>
      </c>
      <c r="B595" t="e">
        <f t="shared" si="75"/>
        <v>#VALUE!</v>
      </c>
      <c r="D595" s="21" t="str" cm="1">
        <f t="array" ref="D595">IF(ROWS($D$7:D595)&gt;COUNTIF('[1]U$S'!$H$5:$H$1008,$L$5),"",INDEX(CuentaUS,_xlfn.AGGREGATE(15,6,ROW('[1]U$S'!$H$5:$H$1008)-ROW('[1]U$S'!$O$5)+1/--('[1]U$S'!$H$5:$H$1008=$L$5),ROWS($D$7:D595)),1))</f>
        <v/>
      </c>
      <c r="E595" s="22" t="str" cm="1">
        <f t="array" ref="E595">IF(ROWS($E$7:E595)&gt;COUNTIF('[1]U$S'!$H$5:$H$1008,$L$5),"",INDEX(CuentaUS,_xlfn.AGGREGATE(15,6,ROW('[1]U$S'!$H$5:$H$1008)-ROW('[1]U$S'!$O$5)+1/--('[1]U$S'!$H$5:$H$1008=$L$5),ROWS($E$7:E595)),6))</f>
        <v/>
      </c>
      <c r="F595" s="22" t="str">
        <f>IF(E595="","",IF(E595&gt;0,SUMIFS('[1]UY$'!$L$5:$L$993,'[1]UY$'!$O$5:$O$993,"Cambio",'[1]UY$'!$E$5:$E$993,'Efecto TC'!D595),""))</f>
        <v/>
      </c>
      <c r="G595" s="23" t="str">
        <f t="shared" si="71"/>
        <v/>
      </c>
      <c r="H595" s="22" t="str">
        <f t="shared" si="72"/>
        <v/>
      </c>
      <c r="I595" s="54" t="str">
        <f t="shared" si="76"/>
        <v/>
      </c>
      <c r="R595" s="24" t="e">
        <f t="shared" si="73"/>
        <v>#VALUE!</v>
      </c>
      <c r="S595" s="25" t="e">
        <f t="shared" si="70"/>
        <v>#VALUE!</v>
      </c>
    </row>
    <row r="596" spans="1:19" x14ac:dyDescent="0.25">
      <c r="A596" t="e">
        <f t="shared" si="74"/>
        <v>#VALUE!</v>
      </c>
      <c r="B596" t="e">
        <f t="shared" si="75"/>
        <v>#VALUE!</v>
      </c>
      <c r="D596" s="21" t="str" cm="1">
        <f t="array" ref="D596">IF(ROWS($D$7:D596)&gt;COUNTIF('[1]U$S'!$H$5:$H$1008,$L$5),"",INDEX(CuentaUS,_xlfn.AGGREGATE(15,6,ROW('[1]U$S'!$H$5:$H$1008)-ROW('[1]U$S'!$O$5)+1/--('[1]U$S'!$H$5:$H$1008=$L$5),ROWS($D$7:D596)),1))</f>
        <v/>
      </c>
      <c r="E596" s="22" t="str" cm="1">
        <f t="array" ref="E596">IF(ROWS($E$7:E596)&gt;COUNTIF('[1]U$S'!$H$5:$H$1008,$L$5),"",INDEX(CuentaUS,_xlfn.AGGREGATE(15,6,ROW('[1]U$S'!$H$5:$H$1008)-ROW('[1]U$S'!$O$5)+1/--('[1]U$S'!$H$5:$H$1008=$L$5),ROWS($E$7:E596)),6))</f>
        <v/>
      </c>
      <c r="F596" s="22" t="str">
        <f>IF(E596="","",IF(E596&gt;0,SUMIFS('[1]UY$'!$L$5:$L$993,'[1]UY$'!$O$5:$O$993,"Cambio",'[1]UY$'!$E$5:$E$993,'Efecto TC'!D596),""))</f>
        <v/>
      </c>
      <c r="G596" s="23" t="str">
        <f t="shared" si="71"/>
        <v/>
      </c>
      <c r="H596" s="22" t="str">
        <f t="shared" si="72"/>
        <v/>
      </c>
      <c r="I596" s="54" t="str">
        <f t="shared" si="76"/>
        <v/>
      </c>
      <c r="R596" s="24" t="e">
        <f t="shared" si="73"/>
        <v>#VALUE!</v>
      </c>
      <c r="S596" s="25" t="e">
        <f t="shared" si="70"/>
        <v>#VALUE!</v>
      </c>
    </row>
    <row r="597" spans="1:19" x14ac:dyDescent="0.25">
      <c r="A597" t="e">
        <f t="shared" si="74"/>
        <v>#VALUE!</v>
      </c>
      <c r="B597" t="e">
        <f t="shared" si="75"/>
        <v>#VALUE!</v>
      </c>
      <c r="D597" s="21" t="str" cm="1">
        <f t="array" ref="D597">IF(ROWS($D$7:D597)&gt;COUNTIF('[1]U$S'!$H$5:$H$1008,$L$5),"",INDEX(CuentaUS,_xlfn.AGGREGATE(15,6,ROW('[1]U$S'!$H$5:$H$1008)-ROW('[1]U$S'!$O$5)+1/--('[1]U$S'!$H$5:$H$1008=$L$5),ROWS($D$7:D597)),1))</f>
        <v/>
      </c>
      <c r="E597" s="22" t="str" cm="1">
        <f t="array" ref="E597">IF(ROWS($E$7:E597)&gt;COUNTIF('[1]U$S'!$H$5:$H$1008,$L$5),"",INDEX(CuentaUS,_xlfn.AGGREGATE(15,6,ROW('[1]U$S'!$H$5:$H$1008)-ROW('[1]U$S'!$O$5)+1/--('[1]U$S'!$H$5:$H$1008=$L$5),ROWS($E$7:E597)),6))</f>
        <v/>
      </c>
      <c r="F597" s="22" t="str">
        <f>IF(E597="","",IF(E597&gt;0,SUMIFS('[1]UY$'!$L$5:$L$993,'[1]UY$'!$O$5:$O$993,"Cambio",'[1]UY$'!$E$5:$E$993,'Efecto TC'!D597),""))</f>
        <v/>
      </c>
      <c r="G597" s="23" t="str">
        <f t="shared" si="71"/>
        <v/>
      </c>
      <c r="H597" s="22" t="str">
        <f t="shared" si="72"/>
        <v/>
      </c>
      <c r="I597" s="54" t="str">
        <f t="shared" si="76"/>
        <v/>
      </c>
      <c r="R597" s="24" t="e">
        <f t="shared" si="73"/>
        <v>#VALUE!</v>
      </c>
      <c r="S597" s="25" t="e">
        <f t="shared" si="70"/>
        <v>#VALUE!</v>
      </c>
    </row>
    <row r="598" spans="1:19" x14ac:dyDescent="0.25">
      <c r="A598" t="e">
        <f t="shared" si="74"/>
        <v>#VALUE!</v>
      </c>
      <c r="B598" t="e">
        <f t="shared" si="75"/>
        <v>#VALUE!</v>
      </c>
      <c r="D598" s="21" t="str" cm="1">
        <f t="array" ref="D598">IF(ROWS($D$7:D598)&gt;COUNTIF('[1]U$S'!$H$5:$H$1008,$L$5),"",INDEX(CuentaUS,_xlfn.AGGREGATE(15,6,ROW('[1]U$S'!$H$5:$H$1008)-ROW('[1]U$S'!$O$5)+1/--('[1]U$S'!$H$5:$H$1008=$L$5),ROWS($D$7:D598)),1))</f>
        <v/>
      </c>
      <c r="E598" s="22" t="str" cm="1">
        <f t="array" ref="E598">IF(ROWS($E$7:E598)&gt;COUNTIF('[1]U$S'!$H$5:$H$1008,$L$5),"",INDEX(CuentaUS,_xlfn.AGGREGATE(15,6,ROW('[1]U$S'!$H$5:$H$1008)-ROW('[1]U$S'!$O$5)+1/--('[1]U$S'!$H$5:$H$1008=$L$5),ROWS($E$7:E598)),6))</f>
        <v/>
      </c>
      <c r="F598" s="22" t="str">
        <f>IF(E598="","",IF(E598&gt;0,SUMIFS('[1]UY$'!$L$5:$L$993,'[1]UY$'!$O$5:$O$993,"Cambio",'[1]UY$'!$E$5:$E$993,'Efecto TC'!D598),""))</f>
        <v/>
      </c>
      <c r="G598" s="23" t="str">
        <f t="shared" si="71"/>
        <v/>
      </c>
      <c r="H598" s="22" t="str">
        <f t="shared" si="72"/>
        <v/>
      </c>
      <c r="I598" s="54" t="str">
        <f t="shared" si="76"/>
        <v/>
      </c>
      <c r="R598" s="24" t="e">
        <f t="shared" si="73"/>
        <v>#VALUE!</v>
      </c>
      <c r="S598" s="25" t="e">
        <f t="shared" si="70"/>
        <v>#VALUE!</v>
      </c>
    </row>
    <row r="599" spans="1:19" x14ac:dyDescent="0.25">
      <c r="A599" t="e">
        <f t="shared" si="74"/>
        <v>#VALUE!</v>
      </c>
      <c r="B599" t="e">
        <f t="shared" si="75"/>
        <v>#VALUE!</v>
      </c>
      <c r="D599" s="21" t="str" cm="1">
        <f t="array" ref="D599">IF(ROWS($D$7:D599)&gt;COUNTIF('[1]U$S'!$H$5:$H$1008,$L$5),"",INDEX(CuentaUS,_xlfn.AGGREGATE(15,6,ROW('[1]U$S'!$H$5:$H$1008)-ROW('[1]U$S'!$O$5)+1/--('[1]U$S'!$H$5:$H$1008=$L$5),ROWS($D$7:D599)),1))</f>
        <v/>
      </c>
      <c r="E599" s="22" t="str" cm="1">
        <f t="array" ref="E599">IF(ROWS($E$7:E599)&gt;COUNTIF('[1]U$S'!$H$5:$H$1008,$L$5),"",INDEX(CuentaUS,_xlfn.AGGREGATE(15,6,ROW('[1]U$S'!$H$5:$H$1008)-ROW('[1]U$S'!$O$5)+1/--('[1]U$S'!$H$5:$H$1008=$L$5),ROWS($E$7:E599)),6))</f>
        <v/>
      </c>
      <c r="F599" s="22" t="str">
        <f>IF(E599="","",IF(E599&gt;0,SUMIFS('[1]UY$'!$L$5:$L$993,'[1]UY$'!$O$5:$O$993,"Cambio",'[1]UY$'!$E$5:$E$993,'Efecto TC'!D599),""))</f>
        <v/>
      </c>
      <c r="G599" s="23" t="str">
        <f t="shared" si="71"/>
        <v/>
      </c>
      <c r="H599" s="22" t="str">
        <f t="shared" si="72"/>
        <v/>
      </c>
      <c r="I599" s="54" t="str">
        <f t="shared" si="76"/>
        <v/>
      </c>
      <c r="R599" s="24" t="e">
        <f t="shared" si="73"/>
        <v>#VALUE!</v>
      </c>
      <c r="S599" s="25" t="e">
        <f t="shared" si="70"/>
        <v>#VALUE!</v>
      </c>
    </row>
    <row r="600" spans="1:19" x14ac:dyDescent="0.25">
      <c r="A600" t="e">
        <f t="shared" si="74"/>
        <v>#VALUE!</v>
      </c>
      <c r="B600" t="e">
        <f t="shared" si="75"/>
        <v>#VALUE!</v>
      </c>
      <c r="D600" s="21" t="str" cm="1">
        <f t="array" ref="D600">IF(ROWS($D$7:D600)&gt;COUNTIF('[1]U$S'!$H$5:$H$1008,$L$5),"",INDEX(CuentaUS,_xlfn.AGGREGATE(15,6,ROW('[1]U$S'!$H$5:$H$1008)-ROW('[1]U$S'!$O$5)+1/--('[1]U$S'!$H$5:$H$1008=$L$5),ROWS($D$7:D600)),1))</f>
        <v/>
      </c>
      <c r="E600" s="22" t="str" cm="1">
        <f t="array" ref="E600">IF(ROWS($E$7:E600)&gt;COUNTIF('[1]U$S'!$H$5:$H$1008,$L$5),"",INDEX(CuentaUS,_xlfn.AGGREGATE(15,6,ROW('[1]U$S'!$H$5:$H$1008)-ROW('[1]U$S'!$O$5)+1/--('[1]U$S'!$H$5:$H$1008=$L$5),ROWS($E$7:E600)),6))</f>
        <v/>
      </c>
      <c r="F600" s="22" t="str">
        <f>IF(E600="","",IF(E600&gt;0,SUMIFS('[1]UY$'!$L$5:$L$993,'[1]UY$'!$O$5:$O$993,"Cambio",'[1]UY$'!$E$5:$E$993,'Efecto TC'!D600),""))</f>
        <v/>
      </c>
      <c r="G600" s="23" t="str">
        <f t="shared" si="71"/>
        <v/>
      </c>
      <c r="H600" s="22" t="str">
        <f t="shared" si="72"/>
        <v/>
      </c>
      <c r="I600" s="54" t="str">
        <f t="shared" si="76"/>
        <v/>
      </c>
      <c r="R600" s="24" t="e">
        <f t="shared" si="73"/>
        <v>#VALUE!</v>
      </c>
      <c r="S600" s="25" t="e">
        <f t="shared" si="70"/>
        <v>#VALUE!</v>
      </c>
    </row>
    <row r="601" spans="1:19" x14ac:dyDescent="0.25">
      <c r="A601" t="e">
        <f t="shared" si="74"/>
        <v>#VALUE!</v>
      </c>
      <c r="B601" t="e">
        <f t="shared" si="75"/>
        <v>#VALUE!</v>
      </c>
      <c r="D601" s="21" t="str" cm="1">
        <f t="array" ref="D601">IF(ROWS($D$7:D601)&gt;COUNTIF('[1]U$S'!$H$5:$H$1008,$L$5),"",INDEX(CuentaUS,_xlfn.AGGREGATE(15,6,ROW('[1]U$S'!$H$5:$H$1008)-ROW('[1]U$S'!$O$5)+1/--('[1]U$S'!$H$5:$H$1008=$L$5),ROWS($D$7:D601)),1))</f>
        <v/>
      </c>
      <c r="E601" s="22" t="str" cm="1">
        <f t="array" ref="E601">IF(ROWS($E$7:E601)&gt;COUNTIF('[1]U$S'!$H$5:$H$1008,$L$5),"",INDEX(CuentaUS,_xlfn.AGGREGATE(15,6,ROW('[1]U$S'!$H$5:$H$1008)-ROW('[1]U$S'!$O$5)+1/--('[1]U$S'!$H$5:$H$1008=$L$5),ROWS($E$7:E601)),6))</f>
        <v/>
      </c>
      <c r="F601" s="22" t="str">
        <f>IF(E601="","",IF(E601&gt;0,SUMIFS('[1]UY$'!$L$5:$L$993,'[1]UY$'!$O$5:$O$993,"Cambio",'[1]UY$'!$E$5:$E$993,'Efecto TC'!D601),""))</f>
        <v/>
      </c>
      <c r="G601" s="23" t="str">
        <f t="shared" si="71"/>
        <v/>
      </c>
      <c r="H601" s="22" t="str">
        <f t="shared" si="72"/>
        <v/>
      </c>
      <c r="I601" s="54" t="str">
        <f t="shared" si="76"/>
        <v/>
      </c>
      <c r="R601" s="24" t="e">
        <f t="shared" si="73"/>
        <v>#VALUE!</v>
      </c>
      <c r="S601" s="25" t="e">
        <f t="shared" si="70"/>
        <v>#VALUE!</v>
      </c>
    </row>
    <row r="602" spans="1:19" x14ac:dyDescent="0.25">
      <c r="A602" t="e">
        <f t="shared" si="74"/>
        <v>#VALUE!</v>
      </c>
      <c r="B602" t="e">
        <f t="shared" si="75"/>
        <v>#VALUE!</v>
      </c>
      <c r="D602" s="21" t="str" cm="1">
        <f t="array" ref="D602">IF(ROWS($D$7:D602)&gt;COUNTIF('[1]U$S'!$H$5:$H$1008,$L$5),"",INDEX(CuentaUS,_xlfn.AGGREGATE(15,6,ROW('[1]U$S'!$H$5:$H$1008)-ROW('[1]U$S'!$O$5)+1/--('[1]U$S'!$H$5:$H$1008=$L$5),ROWS($D$7:D602)),1))</f>
        <v/>
      </c>
      <c r="E602" s="22" t="str" cm="1">
        <f t="array" ref="E602">IF(ROWS($E$7:E602)&gt;COUNTIF('[1]U$S'!$H$5:$H$1008,$L$5),"",INDEX(CuentaUS,_xlfn.AGGREGATE(15,6,ROW('[1]U$S'!$H$5:$H$1008)-ROW('[1]U$S'!$O$5)+1/--('[1]U$S'!$H$5:$H$1008=$L$5),ROWS($E$7:E602)),6))</f>
        <v/>
      </c>
      <c r="F602" s="22" t="str">
        <f>IF(E602="","",IF(E602&gt;0,SUMIFS('[1]UY$'!$L$5:$L$993,'[1]UY$'!$O$5:$O$993,"Cambio",'[1]UY$'!$E$5:$E$993,'Efecto TC'!D602),""))</f>
        <v/>
      </c>
      <c r="G602" s="23" t="str">
        <f t="shared" si="71"/>
        <v/>
      </c>
      <c r="H602" s="22" t="str">
        <f t="shared" si="72"/>
        <v/>
      </c>
      <c r="I602" s="54" t="str">
        <f t="shared" si="76"/>
        <v/>
      </c>
      <c r="R602" s="24" t="e">
        <f t="shared" si="73"/>
        <v>#VALUE!</v>
      </c>
      <c r="S602" s="25" t="e">
        <f t="shared" si="70"/>
        <v>#VALUE!</v>
      </c>
    </row>
    <row r="603" spans="1:19" x14ac:dyDescent="0.25">
      <c r="A603" t="e">
        <f t="shared" si="74"/>
        <v>#VALUE!</v>
      </c>
      <c r="B603" t="e">
        <f t="shared" si="75"/>
        <v>#VALUE!</v>
      </c>
      <c r="D603" s="21" t="str" cm="1">
        <f t="array" ref="D603">IF(ROWS($D$7:D603)&gt;COUNTIF('[1]U$S'!$H$5:$H$1008,$L$5),"",INDEX(CuentaUS,_xlfn.AGGREGATE(15,6,ROW('[1]U$S'!$H$5:$H$1008)-ROW('[1]U$S'!$O$5)+1/--('[1]U$S'!$H$5:$H$1008=$L$5),ROWS($D$7:D603)),1))</f>
        <v/>
      </c>
      <c r="E603" s="22" t="str" cm="1">
        <f t="array" ref="E603">IF(ROWS($E$7:E603)&gt;COUNTIF('[1]U$S'!$H$5:$H$1008,$L$5),"",INDEX(CuentaUS,_xlfn.AGGREGATE(15,6,ROW('[1]U$S'!$H$5:$H$1008)-ROW('[1]U$S'!$O$5)+1/--('[1]U$S'!$H$5:$H$1008=$L$5),ROWS($E$7:E603)),6))</f>
        <v/>
      </c>
      <c r="F603" s="22" t="str">
        <f>IF(E603="","",IF(E603&gt;0,SUMIFS('[1]UY$'!$L$5:$L$993,'[1]UY$'!$O$5:$O$993,"Cambio",'[1]UY$'!$E$5:$E$993,'Efecto TC'!D603),""))</f>
        <v/>
      </c>
      <c r="G603" s="23" t="str">
        <f t="shared" si="71"/>
        <v/>
      </c>
      <c r="H603" s="22" t="str">
        <f t="shared" si="72"/>
        <v/>
      </c>
      <c r="I603" s="54" t="str">
        <f t="shared" si="76"/>
        <v/>
      </c>
      <c r="R603" s="24" t="e">
        <f t="shared" si="73"/>
        <v>#VALUE!</v>
      </c>
      <c r="S603" s="25" t="e">
        <f t="shared" ref="S603:S666" si="77">R603*G597</f>
        <v>#VALUE!</v>
      </c>
    </row>
    <row r="604" spans="1:19" x14ac:dyDescent="0.25">
      <c r="A604" t="e">
        <f t="shared" si="74"/>
        <v>#VALUE!</v>
      </c>
      <c r="B604" t="e">
        <f t="shared" si="75"/>
        <v>#VALUE!</v>
      </c>
      <c r="D604" s="21" t="str" cm="1">
        <f t="array" ref="D604">IF(ROWS($D$7:D604)&gt;COUNTIF('[1]U$S'!$H$5:$H$1008,$L$5),"",INDEX(CuentaUS,_xlfn.AGGREGATE(15,6,ROW('[1]U$S'!$H$5:$H$1008)-ROW('[1]U$S'!$O$5)+1/--('[1]U$S'!$H$5:$H$1008=$L$5),ROWS($D$7:D604)),1))</f>
        <v/>
      </c>
      <c r="E604" s="22" t="str" cm="1">
        <f t="array" ref="E604">IF(ROWS($E$7:E604)&gt;COUNTIF('[1]U$S'!$H$5:$H$1008,$L$5),"",INDEX(CuentaUS,_xlfn.AGGREGATE(15,6,ROW('[1]U$S'!$H$5:$H$1008)-ROW('[1]U$S'!$O$5)+1/--('[1]U$S'!$H$5:$H$1008=$L$5),ROWS($E$7:E604)),6))</f>
        <v/>
      </c>
      <c r="F604" s="22" t="str">
        <f>IF(E604="","",IF(E604&gt;0,SUMIFS('[1]UY$'!$L$5:$L$993,'[1]UY$'!$O$5:$O$993,"Cambio",'[1]UY$'!$E$5:$E$993,'Efecto TC'!D604),""))</f>
        <v/>
      </c>
      <c r="G604" s="23" t="str">
        <f t="shared" si="71"/>
        <v/>
      </c>
      <c r="H604" s="22" t="str">
        <f t="shared" si="72"/>
        <v/>
      </c>
      <c r="I604" s="54" t="str">
        <f t="shared" si="76"/>
        <v/>
      </c>
      <c r="R604" s="24" t="e">
        <f t="shared" si="73"/>
        <v>#VALUE!</v>
      </c>
      <c r="S604" s="25" t="e">
        <f t="shared" si="77"/>
        <v>#VALUE!</v>
      </c>
    </row>
    <row r="605" spans="1:19" x14ac:dyDescent="0.25">
      <c r="A605" t="e">
        <f t="shared" si="74"/>
        <v>#VALUE!</v>
      </c>
      <c r="B605" t="e">
        <f t="shared" si="75"/>
        <v>#VALUE!</v>
      </c>
      <c r="D605" s="21" t="str" cm="1">
        <f t="array" ref="D605">IF(ROWS($D$7:D605)&gt;COUNTIF('[1]U$S'!$H$5:$H$1008,$L$5),"",INDEX(CuentaUS,_xlfn.AGGREGATE(15,6,ROW('[1]U$S'!$H$5:$H$1008)-ROW('[1]U$S'!$O$5)+1/--('[1]U$S'!$H$5:$H$1008=$L$5),ROWS($D$7:D605)),1))</f>
        <v/>
      </c>
      <c r="E605" s="22" t="str" cm="1">
        <f t="array" ref="E605">IF(ROWS($E$7:E605)&gt;COUNTIF('[1]U$S'!$H$5:$H$1008,$L$5),"",INDEX(CuentaUS,_xlfn.AGGREGATE(15,6,ROW('[1]U$S'!$H$5:$H$1008)-ROW('[1]U$S'!$O$5)+1/--('[1]U$S'!$H$5:$H$1008=$L$5),ROWS($E$7:E605)),6))</f>
        <v/>
      </c>
      <c r="F605" s="22" t="str">
        <f>IF(E605="","",IF(E605&gt;0,SUMIFS('[1]UY$'!$L$5:$L$993,'[1]UY$'!$O$5:$O$993,"Cambio",'[1]UY$'!$E$5:$E$993,'Efecto TC'!D605),""))</f>
        <v/>
      </c>
      <c r="G605" s="23" t="str">
        <f t="shared" si="71"/>
        <v/>
      </c>
      <c r="H605" s="22" t="str">
        <f t="shared" si="72"/>
        <v/>
      </c>
      <c r="I605" s="54" t="str">
        <f t="shared" si="76"/>
        <v/>
      </c>
      <c r="R605" s="24" t="e">
        <f t="shared" si="73"/>
        <v>#VALUE!</v>
      </c>
      <c r="S605" s="25" t="e">
        <f t="shared" si="77"/>
        <v>#VALUE!</v>
      </c>
    </row>
    <row r="606" spans="1:19" x14ac:dyDescent="0.25">
      <c r="A606" t="e">
        <f t="shared" si="74"/>
        <v>#VALUE!</v>
      </c>
      <c r="B606" t="e">
        <f t="shared" si="75"/>
        <v>#VALUE!</v>
      </c>
      <c r="D606" s="21" t="str" cm="1">
        <f t="array" ref="D606">IF(ROWS($D$7:D606)&gt;COUNTIF('[1]U$S'!$H$5:$H$1008,$L$5),"",INDEX(CuentaUS,_xlfn.AGGREGATE(15,6,ROW('[1]U$S'!$H$5:$H$1008)-ROW('[1]U$S'!$O$5)+1/--('[1]U$S'!$H$5:$H$1008=$L$5),ROWS($D$7:D606)),1))</f>
        <v/>
      </c>
      <c r="E606" s="22" t="str" cm="1">
        <f t="array" ref="E606">IF(ROWS($E$7:E606)&gt;COUNTIF('[1]U$S'!$H$5:$H$1008,$L$5),"",INDEX(CuentaUS,_xlfn.AGGREGATE(15,6,ROW('[1]U$S'!$H$5:$H$1008)-ROW('[1]U$S'!$O$5)+1/--('[1]U$S'!$H$5:$H$1008=$L$5),ROWS($E$7:E606)),6))</f>
        <v/>
      </c>
      <c r="F606" s="22" t="str">
        <f>IF(E606="","",IF(E606&gt;0,SUMIFS('[1]UY$'!$L$5:$L$993,'[1]UY$'!$O$5:$O$993,"Cambio",'[1]UY$'!$E$5:$E$993,'Efecto TC'!D606),""))</f>
        <v/>
      </c>
      <c r="G606" s="23" t="str">
        <f t="shared" si="71"/>
        <v/>
      </c>
      <c r="H606" s="22" t="str">
        <f t="shared" si="72"/>
        <v/>
      </c>
      <c r="I606" s="54" t="str">
        <f t="shared" si="76"/>
        <v/>
      </c>
      <c r="R606" s="24" t="e">
        <f t="shared" si="73"/>
        <v>#VALUE!</v>
      </c>
      <c r="S606" s="25" t="e">
        <f t="shared" si="77"/>
        <v>#VALUE!</v>
      </c>
    </row>
    <row r="607" spans="1:19" x14ac:dyDescent="0.25">
      <c r="A607" t="e">
        <f t="shared" si="74"/>
        <v>#VALUE!</v>
      </c>
      <c r="B607" t="e">
        <f t="shared" si="75"/>
        <v>#VALUE!</v>
      </c>
      <c r="D607" s="21" t="str" cm="1">
        <f t="array" ref="D607">IF(ROWS($D$7:D607)&gt;COUNTIF('[1]U$S'!$H$5:$H$1008,$L$5),"",INDEX(CuentaUS,_xlfn.AGGREGATE(15,6,ROW('[1]U$S'!$H$5:$H$1008)-ROW('[1]U$S'!$O$5)+1/--('[1]U$S'!$H$5:$H$1008=$L$5),ROWS($D$7:D607)),1))</f>
        <v/>
      </c>
      <c r="E607" s="22" t="str" cm="1">
        <f t="array" ref="E607">IF(ROWS($E$7:E607)&gt;COUNTIF('[1]U$S'!$H$5:$H$1008,$L$5),"",INDEX(CuentaUS,_xlfn.AGGREGATE(15,6,ROW('[1]U$S'!$H$5:$H$1008)-ROW('[1]U$S'!$O$5)+1/--('[1]U$S'!$H$5:$H$1008=$L$5),ROWS($E$7:E607)),6))</f>
        <v/>
      </c>
      <c r="F607" s="22" t="str">
        <f>IF(E607="","",IF(E607&gt;0,SUMIFS('[1]UY$'!$L$5:$L$993,'[1]UY$'!$O$5:$O$993,"Cambio",'[1]UY$'!$E$5:$E$993,'Efecto TC'!D607),""))</f>
        <v/>
      </c>
      <c r="G607" s="23" t="str">
        <f t="shared" si="71"/>
        <v/>
      </c>
      <c r="H607" s="22" t="str">
        <f t="shared" si="72"/>
        <v/>
      </c>
      <c r="I607" s="54" t="str">
        <f t="shared" si="76"/>
        <v/>
      </c>
      <c r="R607" s="24" t="e">
        <f t="shared" si="73"/>
        <v>#VALUE!</v>
      </c>
      <c r="S607" s="25" t="e">
        <f t="shared" si="77"/>
        <v>#VALUE!</v>
      </c>
    </row>
    <row r="608" spans="1:19" x14ac:dyDescent="0.25">
      <c r="A608" t="e">
        <f t="shared" si="74"/>
        <v>#VALUE!</v>
      </c>
      <c r="B608" t="e">
        <f t="shared" si="75"/>
        <v>#VALUE!</v>
      </c>
      <c r="D608" s="21" t="str" cm="1">
        <f t="array" ref="D608">IF(ROWS($D$7:D608)&gt;COUNTIF('[1]U$S'!$H$5:$H$1008,$L$5),"",INDEX(CuentaUS,_xlfn.AGGREGATE(15,6,ROW('[1]U$S'!$H$5:$H$1008)-ROW('[1]U$S'!$O$5)+1/--('[1]U$S'!$H$5:$H$1008=$L$5),ROWS($D$7:D608)),1))</f>
        <v/>
      </c>
      <c r="E608" s="22" t="str" cm="1">
        <f t="array" ref="E608">IF(ROWS($E$7:E608)&gt;COUNTIF('[1]U$S'!$H$5:$H$1008,$L$5),"",INDEX(CuentaUS,_xlfn.AGGREGATE(15,6,ROW('[1]U$S'!$H$5:$H$1008)-ROW('[1]U$S'!$O$5)+1/--('[1]U$S'!$H$5:$H$1008=$L$5),ROWS($E$7:E608)),6))</f>
        <v/>
      </c>
      <c r="F608" s="22" t="str">
        <f>IF(E608="","",IF(E608&gt;0,SUMIFS('[1]UY$'!$L$5:$L$993,'[1]UY$'!$O$5:$O$993,"Cambio",'[1]UY$'!$E$5:$E$993,'Efecto TC'!D608),""))</f>
        <v/>
      </c>
      <c r="G608" s="23" t="str">
        <f t="shared" si="71"/>
        <v/>
      </c>
      <c r="H608" s="22" t="str">
        <f t="shared" si="72"/>
        <v/>
      </c>
      <c r="I608" s="54" t="str">
        <f t="shared" si="76"/>
        <v/>
      </c>
      <c r="R608" s="24" t="e">
        <f t="shared" si="73"/>
        <v>#VALUE!</v>
      </c>
      <c r="S608" s="25" t="e">
        <f t="shared" si="77"/>
        <v>#VALUE!</v>
      </c>
    </row>
    <row r="609" spans="1:19" x14ac:dyDescent="0.25">
      <c r="A609" t="e">
        <f t="shared" si="74"/>
        <v>#VALUE!</v>
      </c>
      <c r="B609" t="e">
        <f t="shared" si="75"/>
        <v>#VALUE!</v>
      </c>
      <c r="D609" s="21" t="str" cm="1">
        <f t="array" ref="D609">IF(ROWS($D$7:D609)&gt;COUNTIF('[1]U$S'!$H$5:$H$1008,$L$5),"",INDEX(CuentaUS,_xlfn.AGGREGATE(15,6,ROW('[1]U$S'!$H$5:$H$1008)-ROW('[1]U$S'!$O$5)+1/--('[1]U$S'!$H$5:$H$1008=$L$5),ROWS($D$7:D609)),1))</f>
        <v/>
      </c>
      <c r="E609" s="22" t="str" cm="1">
        <f t="array" ref="E609">IF(ROWS($E$7:E609)&gt;COUNTIF('[1]U$S'!$H$5:$H$1008,$L$5),"",INDEX(CuentaUS,_xlfn.AGGREGATE(15,6,ROW('[1]U$S'!$H$5:$H$1008)-ROW('[1]U$S'!$O$5)+1/--('[1]U$S'!$H$5:$H$1008=$L$5),ROWS($E$7:E609)),6))</f>
        <v/>
      </c>
      <c r="F609" s="22" t="str">
        <f>IF(E609="","",IF(E609&gt;0,SUMIFS('[1]UY$'!$L$5:$L$993,'[1]UY$'!$O$5:$O$993,"Cambio",'[1]UY$'!$E$5:$E$993,'Efecto TC'!D609),""))</f>
        <v/>
      </c>
      <c r="G609" s="23" t="str">
        <f t="shared" si="71"/>
        <v/>
      </c>
      <c r="H609" s="22" t="str">
        <f t="shared" si="72"/>
        <v/>
      </c>
      <c r="I609" s="54" t="str">
        <f t="shared" si="76"/>
        <v/>
      </c>
      <c r="R609" s="24" t="e">
        <f t="shared" si="73"/>
        <v>#VALUE!</v>
      </c>
      <c r="S609" s="25" t="e">
        <f t="shared" si="77"/>
        <v>#VALUE!</v>
      </c>
    </row>
    <row r="610" spans="1:19" x14ac:dyDescent="0.25">
      <c r="A610" t="e">
        <f t="shared" si="74"/>
        <v>#VALUE!</v>
      </c>
      <c r="B610" t="e">
        <f t="shared" si="75"/>
        <v>#VALUE!</v>
      </c>
      <c r="D610" s="21" t="str" cm="1">
        <f t="array" ref="D610">IF(ROWS($D$7:D610)&gt;COUNTIF('[1]U$S'!$H$5:$H$1008,$L$5),"",INDEX(CuentaUS,_xlfn.AGGREGATE(15,6,ROW('[1]U$S'!$H$5:$H$1008)-ROW('[1]U$S'!$O$5)+1/--('[1]U$S'!$H$5:$H$1008=$L$5),ROWS($D$7:D610)),1))</f>
        <v/>
      </c>
      <c r="E610" s="22" t="str" cm="1">
        <f t="array" ref="E610">IF(ROWS($E$7:E610)&gt;COUNTIF('[1]U$S'!$H$5:$H$1008,$L$5),"",INDEX(CuentaUS,_xlfn.AGGREGATE(15,6,ROW('[1]U$S'!$H$5:$H$1008)-ROW('[1]U$S'!$O$5)+1/--('[1]U$S'!$H$5:$H$1008=$L$5),ROWS($E$7:E610)),6))</f>
        <v/>
      </c>
      <c r="F610" s="22" t="str">
        <f>IF(E610="","",IF(E610&gt;0,SUMIFS('[1]UY$'!$L$5:$L$993,'[1]UY$'!$O$5:$O$993,"Cambio",'[1]UY$'!$E$5:$E$993,'Efecto TC'!D610),""))</f>
        <v/>
      </c>
      <c r="G610" s="23" t="str">
        <f t="shared" ref="G610:G673" si="78">IF(F610="","",F610/E610)</f>
        <v/>
      </c>
      <c r="H610" s="22" t="str">
        <f t="shared" ref="H610:H673" si="79">IF(E610="","",F610/$F$2-F610/G610)</f>
        <v/>
      </c>
      <c r="I610" s="54" t="str">
        <f t="shared" si="76"/>
        <v/>
      </c>
      <c r="R610" s="24" t="e">
        <f t="shared" ref="R610:R673" si="80">E610/$E$1001</f>
        <v>#VALUE!</v>
      </c>
      <c r="S610" s="25" t="e">
        <f t="shared" si="77"/>
        <v>#VALUE!</v>
      </c>
    </row>
    <row r="611" spans="1:19" x14ac:dyDescent="0.25">
      <c r="A611" t="e">
        <f t="shared" si="74"/>
        <v>#VALUE!</v>
      </c>
      <c r="B611" t="e">
        <f t="shared" si="75"/>
        <v>#VALUE!</v>
      </c>
      <c r="D611" s="21" t="str" cm="1">
        <f t="array" ref="D611">IF(ROWS($D$7:D611)&gt;COUNTIF('[1]U$S'!$H$5:$H$1008,$L$5),"",INDEX(CuentaUS,_xlfn.AGGREGATE(15,6,ROW('[1]U$S'!$H$5:$H$1008)-ROW('[1]U$S'!$O$5)+1/--('[1]U$S'!$H$5:$H$1008=$L$5),ROWS($D$7:D611)),1))</f>
        <v/>
      </c>
      <c r="E611" s="22" t="str" cm="1">
        <f t="array" ref="E611">IF(ROWS($E$7:E611)&gt;COUNTIF('[1]U$S'!$H$5:$H$1008,$L$5),"",INDEX(CuentaUS,_xlfn.AGGREGATE(15,6,ROW('[1]U$S'!$H$5:$H$1008)-ROW('[1]U$S'!$O$5)+1/--('[1]U$S'!$H$5:$H$1008=$L$5),ROWS($E$7:E611)),6))</f>
        <v/>
      </c>
      <c r="F611" s="22" t="str">
        <f>IF(E611="","",IF(E611&gt;0,SUMIFS('[1]UY$'!$L$5:$L$993,'[1]UY$'!$O$5:$O$993,"Cambio",'[1]UY$'!$E$5:$E$993,'Efecto TC'!D611),""))</f>
        <v/>
      </c>
      <c r="G611" s="23" t="str">
        <f t="shared" si="78"/>
        <v/>
      </c>
      <c r="H611" s="22" t="str">
        <f t="shared" si="79"/>
        <v/>
      </c>
      <c r="I611" s="54" t="str">
        <f t="shared" si="76"/>
        <v/>
      </c>
      <c r="R611" s="24" t="e">
        <f t="shared" si="80"/>
        <v>#VALUE!</v>
      </c>
      <c r="S611" s="25" t="e">
        <f t="shared" si="77"/>
        <v>#VALUE!</v>
      </c>
    </row>
    <row r="612" spans="1:19" x14ac:dyDescent="0.25">
      <c r="A612" t="e">
        <f t="shared" si="74"/>
        <v>#VALUE!</v>
      </c>
      <c r="B612" t="e">
        <f t="shared" si="75"/>
        <v>#VALUE!</v>
      </c>
      <c r="D612" s="21" t="str" cm="1">
        <f t="array" ref="D612">IF(ROWS($D$7:D612)&gt;COUNTIF('[1]U$S'!$H$5:$H$1008,$L$5),"",INDEX(CuentaUS,_xlfn.AGGREGATE(15,6,ROW('[1]U$S'!$H$5:$H$1008)-ROW('[1]U$S'!$O$5)+1/--('[1]U$S'!$H$5:$H$1008=$L$5),ROWS($D$7:D612)),1))</f>
        <v/>
      </c>
      <c r="E612" s="22" t="str" cm="1">
        <f t="array" ref="E612">IF(ROWS($E$7:E612)&gt;COUNTIF('[1]U$S'!$H$5:$H$1008,$L$5),"",INDEX(CuentaUS,_xlfn.AGGREGATE(15,6,ROW('[1]U$S'!$H$5:$H$1008)-ROW('[1]U$S'!$O$5)+1/--('[1]U$S'!$H$5:$H$1008=$L$5),ROWS($E$7:E612)),6))</f>
        <v/>
      </c>
      <c r="F612" s="22" t="str">
        <f>IF(E612="","",IF(E612&gt;0,SUMIFS('[1]UY$'!$L$5:$L$993,'[1]UY$'!$O$5:$O$993,"Cambio",'[1]UY$'!$E$5:$E$993,'Efecto TC'!D612),""))</f>
        <v/>
      </c>
      <c r="G612" s="23" t="str">
        <f t="shared" si="78"/>
        <v/>
      </c>
      <c r="H612" s="22" t="str">
        <f t="shared" si="79"/>
        <v/>
      </c>
      <c r="I612" s="54" t="str">
        <f t="shared" si="76"/>
        <v/>
      </c>
      <c r="R612" s="24" t="e">
        <f t="shared" si="80"/>
        <v>#VALUE!</v>
      </c>
      <c r="S612" s="25" t="e">
        <f t="shared" si="77"/>
        <v>#VALUE!</v>
      </c>
    </row>
    <row r="613" spans="1:19" x14ac:dyDescent="0.25">
      <c r="A613" t="e">
        <f t="shared" si="74"/>
        <v>#VALUE!</v>
      </c>
      <c r="B613" t="e">
        <f t="shared" si="75"/>
        <v>#VALUE!</v>
      </c>
      <c r="D613" s="21" t="str" cm="1">
        <f t="array" ref="D613">IF(ROWS($D$7:D613)&gt;COUNTIF('[1]U$S'!$H$5:$H$1008,$L$5),"",INDEX(CuentaUS,_xlfn.AGGREGATE(15,6,ROW('[1]U$S'!$H$5:$H$1008)-ROW('[1]U$S'!$O$5)+1/--('[1]U$S'!$H$5:$H$1008=$L$5),ROWS($D$7:D613)),1))</f>
        <v/>
      </c>
      <c r="E613" s="22" t="str" cm="1">
        <f t="array" ref="E613">IF(ROWS($E$7:E613)&gt;COUNTIF('[1]U$S'!$H$5:$H$1008,$L$5),"",INDEX(CuentaUS,_xlfn.AGGREGATE(15,6,ROW('[1]U$S'!$H$5:$H$1008)-ROW('[1]U$S'!$O$5)+1/--('[1]U$S'!$H$5:$H$1008=$L$5),ROWS($E$7:E613)),6))</f>
        <v/>
      </c>
      <c r="F613" s="22" t="str">
        <f>IF(E613="","",IF(E613&gt;0,SUMIFS('[1]UY$'!$L$5:$L$993,'[1]UY$'!$O$5:$O$993,"Cambio",'[1]UY$'!$E$5:$E$993,'Efecto TC'!D613),""))</f>
        <v/>
      </c>
      <c r="G613" s="23" t="str">
        <f t="shared" si="78"/>
        <v/>
      </c>
      <c r="H613" s="22" t="str">
        <f t="shared" si="79"/>
        <v/>
      </c>
      <c r="I613" s="54" t="str">
        <f t="shared" si="76"/>
        <v/>
      </c>
      <c r="R613" s="24" t="e">
        <f t="shared" si="80"/>
        <v>#VALUE!</v>
      </c>
      <c r="S613" s="25" t="e">
        <f t="shared" si="77"/>
        <v>#VALUE!</v>
      </c>
    </row>
    <row r="614" spans="1:19" x14ac:dyDescent="0.25">
      <c r="A614" t="e">
        <f t="shared" si="74"/>
        <v>#VALUE!</v>
      </c>
      <c r="B614" t="e">
        <f t="shared" si="75"/>
        <v>#VALUE!</v>
      </c>
      <c r="D614" s="21" t="str" cm="1">
        <f t="array" ref="D614">IF(ROWS($D$7:D614)&gt;COUNTIF('[1]U$S'!$H$5:$H$1008,$L$5),"",INDEX(CuentaUS,_xlfn.AGGREGATE(15,6,ROW('[1]U$S'!$H$5:$H$1008)-ROW('[1]U$S'!$O$5)+1/--('[1]U$S'!$H$5:$H$1008=$L$5),ROWS($D$7:D614)),1))</f>
        <v/>
      </c>
      <c r="E614" s="22" t="str" cm="1">
        <f t="array" ref="E614">IF(ROWS($E$7:E614)&gt;COUNTIF('[1]U$S'!$H$5:$H$1008,$L$5),"",INDEX(CuentaUS,_xlfn.AGGREGATE(15,6,ROW('[1]U$S'!$H$5:$H$1008)-ROW('[1]U$S'!$O$5)+1/--('[1]U$S'!$H$5:$H$1008=$L$5),ROWS($E$7:E614)),6))</f>
        <v/>
      </c>
      <c r="F614" s="22" t="str">
        <f>IF(E614="","",IF(E614&gt;0,SUMIFS('[1]UY$'!$L$5:$L$993,'[1]UY$'!$O$5:$O$993,"Cambio",'[1]UY$'!$E$5:$E$993,'Efecto TC'!D614),""))</f>
        <v/>
      </c>
      <c r="G614" s="23" t="str">
        <f t="shared" si="78"/>
        <v/>
      </c>
      <c r="H614" s="22" t="str">
        <f t="shared" si="79"/>
        <v/>
      </c>
      <c r="I614" s="54" t="str">
        <f t="shared" si="76"/>
        <v/>
      </c>
      <c r="R614" s="24" t="e">
        <f t="shared" si="80"/>
        <v>#VALUE!</v>
      </c>
      <c r="S614" s="25" t="e">
        <f t="shared" si="77"/>
        <v>#VALUE!</v>
      </c>
    </row>
    <row r="615" spans="1:19" x14ac:dyDescent="0.25">
      <c r="A615" t="e">
        <f t="shared" si="74"/>
        <v>#VALUE!</v>
      </c>
      <c r="B615" t="e">
        <f t="shared" si="75"/>
        <v>#VALUE!</v>
      </c>
      <c r="D615" s="21" t="str" cm="1">
        <f t="array" ref="D615">IF(ROWS($D$7:D615)&gt;COUNTIF('[1]U$S'!$H$5:$H$1008,$L$5),"",INDEX(CuentaUS,_xlfn.AGGREGATE(15,6,ROW('[1]U$S'!$H$5:$H$1008)-ROW('[1]U$S'!$O$5)+1/--('[1]U$S'!$H$5:$H$1008=$L$5),ROWS($D$7:D615)),1))</f>
        <v/>
      </c>
      <c r="E615" s="22" t="str" cm="1">
        <f t="array" ref="E615">IF(ROWS($E$7:E615)&gt;COUNTIF('[1]U$S'!$H$5:$H$1008,$L$5),"",INDEX(CuentaUS,_xlfn.AGGREGATE(15,6,ROW('[1]U$S'!$H$5:$H$1008)-ROW('[1]U$S'!$O$5)+1/--('[1]U$S'!$H$5:$H$1008=$L$5),ROWS($E$7:E615)),6))</f>
        <v/>
      </c>
      <c r="F615" s="22" t="str">
        <f>IF(E615="","",IF(E615&gt;0,SUMIFS('[1]UY$'!$L$5:$L$993,'[1]UY$'!$O$5:$O$993,"Cambio",'[1]UY$'!$E$5:$E$993,'Efecto TC'!D615),""))</f>
        <v/>
      </c>
      <c r="G615" s="23" t="str">
        <f t="shared" si="78"/>
        <v/>
      </c>
      <c r="H615" s="22" t="str">
        <f t="shared" si="79"/>
        <v/>
      </c>
      <c r="I615" s="54" t="str">
        <f t="shared" si="76"/>
        <v/>
      </c>
      <c r="R615" s="24" t="e">
        <f t="shared" si="80"/>
        <v>#VALUE!</v>
      </c>
      <c r="S615" s="25" t="e">
        <f t="shared" si="77"/>
        <v>#VALUE!</v>
      </c>
    </row>
    <row r="616" spans="1:19" x14ac:dyDescent="0.25">
      <c r="A616" t="e">
        <f t="shared" si="74"/>
        <v>#VALUE!</v>
      </c>
      <c r="B616" t="e">
        <f t="shared" si="75"/>
        <v>#VALUE!</v>
      </c>
      <c r="D616" s="21" t="str" cm="1">
        <f t="array" ref="D616">IF(ROWS($D$7:D616)&gt;COUNTIF('[1]U$S'!$H$5:$H$1008,$L$5),"",INDEX(CuentaUS,_xlfn.AGGREGATE(15,6,ROW('[1]U$S'!$H$5:$H$1008)-ROW('[1]U$S'!$O$5)+1/--('[1]U$S'!$H$5:$H$1008=$L$5),ROWS($D$7:D616)),1))</f>
        <v/>
      </c>
      <c r="E616" s="22" t="str" cm="1">
        <f t="array" ref="E616">IF(ROWS($E$7:E616)&gt;COUNTIF('[1]U$S'!$H$5:$H$1008,$L$5),"",INDEX(CuentaUS,_xlfn.AGGREGATE(15,6,ROW('[1]U$S'!$H$5:$H$1008)-ROW('[1]U$S'!$O$5)+1/--('[1]U$S'!$H$5:$H$1008=$L$5),ROWS($E$7:E616)),6))</f>
        <v/>
      </c>
      <c r="F616" s="22" t="str">
        <f>IF(E616="","",IF(E616&gt;0,SUMIFS('[1]UY$'!$L$5:$L$993,'[1]UY$'!$O$5:$O$993,"Cambio",'[1]UY$'!$E$5:$E$993,'Efecto TC'!D616),""))</f>
        <v/>
      </c>
      <c r="G616" s="23" t="str">
        <f t="shared" si="78"/>
        <v/>
      </c>
      <c r="H616" s="22" t="str">
        <f t="shared" si="79"/>
        <v/>
      </c>
      <c r="I616" s="54" t="str">
        <f t="shared" si="76"/>
        <v/>
      </c>
      <c r="R616" s="24" t="e">
        <f t="shared" si="80"/>
        <v>#VALUE!</v>
      </c>
      <c r="S616" s="25" t="e">
        <f t="shared" si="77"/>
        <v>#VALUE!</v>
      </c>
    </row>
    <row r="617" spans="1:19" x14ac:dyDescent="0.25">
      <c r="A617" t="e">
        <f t="shared" si="74"/>
        <v>#VALUE!</v>
      </c>
      <c r="B617" t="e">
        <f t="shared" si="75"/>
        <v>#VALUE!</v>
      </c>
      <c r="D617" s="21" t="str" cm="1">
        <f t="array" ref="D617">IF(ROWS($D$7:D617)&gt;COUNTIF('[1]U$S'!$H$5:$H$1008,$L$5),"",INDEX(CuentaUS,_xlfn.AGGREGATE(15,6,ROW('[1]U$S'!$H$5:$H$1008)-ROW('[1]U$S'!$O$5)+1/--('[1]U$S'!$H$5:$H$1008=$L$5),ROWS($D$7:D617)),1))</f>
        <v/>
      </c>
      <c r="E617" s="22" t="str" cm="1">
        <f t="array" ref="E617">IF(ROWS($E$7:E617)&gt;COUNTIF('[1]U$S'!$H$5:$H$1008,$L$5),"",INDEX(CuentaUS,_xlfn.AGGREGATE(15,6,ROW('[1]U$S'!$H$5:$H$1008)-ROW('[1]U$S'!$O$5)+1/--('[1]U$S'!$H$5:$H$1008=$L$5),ROWS($E$7:E617)),6))</f>
        <v/>
      </c>
      <c r="F617" s="22" t="str">
        <f>IF(E617="","",IF(E617&gt;0,SUMIFS('[1]UY$'!$L$5:$L$993,'[1]UY$'!$O$5:$O$993,"Cambio",'[1]UY$'!$E$5:$E$993,'Efecto TC'!D617),""))</f>
        <v/>
      </c>
      <c r="G617" s="23" t="str">
        <f t="shared" si="78"/>
        <v/>
      </c>
      <c r="H617" s="22" t="str">
        <f t="shared" si="79"/>
        <v/>
      </c>
      <c r="I617" s="54" t="str">
        <f t="shared" si="76"/>
        <v/>
      </c>
      <c r="R617" s="24" t="e">
        <f t="shared" si="80"/>
        <v>#VALUE!</v>
      </c>
      <c r="S617" s="25" t="e">
        <f t="shared" si="77"/>
        <v>#VALUE!</v>
      </c>
    </row>
    <row r="618" spans="1:19" x14ac:dyDescent="0.25">
      <c r="A618" t="e">
        <f t="shared" si="74"/>
        <v>#VALUE!</v>
      </c>
      <c r="B618" t="e">
        <f t="shared" si="75"/>
        <v>#VALUE!</v>
      </c>
      <c r="D618" s="21" t="str" cm="1">
        <f t="array" ref="D618">IF(ROWS($D$7:D618)&gt;COUNTIF('[1]U$S'!$H$5:$H$1008,$L$5),"",INDEX(CuentaUS,_xlfn.AGGREGATE(15,6,ROW('[1]U$S'!$H$5:$H$1008)-ROW('[1]U$S'!$O$5)+1/--('[1]U$S'!$H$5:$H$1008=$L$5),ROWS($D$7:D618)),1))</f>
        <v/>
      </c>
      <c r="E618" s="22" t="str" cm="1">
        <f t="array" ref="E618">IF(ROWS($E$7:E618)&gt;COUNTIF('[1]U$S'!$H$5:$H$1008,$L$5),"",INDEX(CuentaUS,_xlfn.AGGREGATE(15,6,ROW('[1]U$S'!$H$5:$H$1008)-ROW('[1]U$S'!$O$5)+1/--('[1]U$S'!$H$5:$H$1008=$L$5),ROWS($E$7:E618)),6))</f>
        <v/>
      </c>
      <c r="F618" s="22" t="str">
        <f>IF(E618="","",IF(E618&gt;0,SUMIFS('[1]UY$'!$L$5:$L$993,'[1]UY$'!$O$5:$O$993,"Cambio",'[1]UY$'!$E$5:$E$993,'Efecto TC'!D618),""))</f>
        <v/>
      </c>
      <c r="G618" s="23" t="str">
        <f t="shared" si="78"/>
        <v/>
      </c>
      <c r="H618" s="22" t="str">
        <f t="shared" si="79"/>
        <v/>
      </c>
      <c r="I618" s="54" t="str">
        <f t="shared" si="76"/>
        <v/>
      </c>
      <c r="R618" s="24" t="e">
        <f t="shared" si="80"/>
        <v>#VALUE!</v>
      </c>
      <c r="S618" s="25" t="e">
        <f t="shared" si="77"/>
        <v>#VALUE!</v>
      </c>
    </row>
    <row r="619" spans="1:19" x14ac:dyDescent="0.25">
      <c r="A619" t="e">
        <f t="shared" si="74"/>
        <v>#VALUE!</v>
      </c>
      <c r="B619" t="e">
        <f t="shared" si="75"/>
        <v>#VALUE!</v>
      </c>
      <c r="D619" s="21" t="str" cm="1">
        <f t="array" ref="D619">IF(ROWS($D$7:D619)&gt;COUNTIF('[1]U$S'!$H$5:$H$1008,$L$5),"",INDEX(CuentaUS,_xlfn.AGGREGATE(15,6,ROW('[1]U$S'!$H$5:$H$1008)-ROW('[1]U$S'!$O$5)+1/--('[1]U$S'!$H$5:$H$1008=$L$5),ROWS($D$7:D619)),1))</f>
        <v/>
      </c>
      <c r="E619" s="22" t="str" cm="1">
        <f t="array" ref="E619">IF(ROWS($E$7:E619)&gt;COUNTIF('[1]U$S'!$H$5:$H$1008,$L$5),"",INDEX(CuentaUS,_xlfn.AGGREGATE(15,6,ROW('[1]U$S'!$H$5:$H$1008)-ROW('[1]U$S'!$O$5)+1/--('[1]U$S'!$H$5:$H$1008=$L$5),ROWS($E$7:E619)),6))</f>
        <v/>
      </c>
      <c r="F619" s="22" t="str">
        <f>IF(E619="","",IF(E619&gt;0,SUMIFS('[1]UY$'!$L$5:$L$993,'[1]UY$'!$O$5:$O$993,"Cambio",'[1]UY$'!$E$5:$E$993,'Efecto TC'!D619),""))</f>
        <v/>
      </c>
      <c r="G619" s="23" t="str">
        <f t="shared" si="78"/>
        <v/>
      </c>
      <c r="H619" s="22" t="str">
        <f t="shared" si="79"/>
        <v/>
      </c>
      <c r="I619" s="54" t="str">
        <f t="shared" si="76"/>
        <v/>
      </c>
      <c r="R619" s="24" t="e">
        <f t="shared" si="80"/>
        <v>#VALUE!</v>
      </c>
      <c r="S619" s="25" t="e">
        <f t="shared" si="77"/>
        <v>#VALUE!</v>
      </c>
    </row>
    <row r="620" spans="1:19" x14ac:dyDescent="0.25">
      <c r="A620" t="e">
        <f t="shared" si="74"/>
        <v>#VALUE!</v>
      </c>
      <c r="B620" t="e">
        <f t="shared" si="75"/>
        <v>#VALUE!</v>
      </c>
      <c r="D620" s="21" t="str" cm="1">
        <f t="array" ref="D620">IF(ROWS($D$7:D620)&gt;COUNTIF('[1]U$S'!$H$5:$H$1008,$L$5),"",INDEX(CuentaUS,_xlfn.AGGREGATE(15,6,ROW('[1]U$S'!$H$5:$H$1008)-ROW('[1]U$S'!$O$5)+1/--('[1]U$S'!$H$5:$H$1008=$L$5),ROWS($D$7:D620)),1))</f>
        <v/>
      </c>
      <c r="E620" s="22" t="str" cm="1">
        <f t="array" ref="E620">IF(ROWS($E$7:E620)&gt;COUNTIF('[1]U$S'!$H$5:$H$1008,$L$5),"",INDEX(CuentaUS,_xlfn.AGGREGATE(15,6,ROW('[1]U$S'!$H$5:$H$1008)-ROW('[1]U$S'!$O$5)+1/--('[1]U$S'!$H$5:$H$1008=$L$5),ROWS($E$7:E620)),6))</f>
        <v/>
      </c>
      <c r="F620" s="22" t="str">
        <f>IF(E620="","",IF(E620&gt;0,SUMIFS('[1]UY$'!$L$5:$L$993,'[1]UY$'!$O$5:$O$993,"Cambio",'[1]UY$'!$E$5:$E$993,'Efecto TC'!D620),""))</f>
        <v/>
      </c>
      <c r="G620" s="23" t="str">
        <f t="shared" si="78"/>
        <v/>
      </c>
      <c r="H620" s="22" t="str">
        <f t="shared" si="79"/>
        <v/>
      </c>
      <c r="I620" s="54" t="str">
        <f t="shared" si="76"/>
        <v/>
      </c>
      <c r="R620" s="24" t="e">
        <f t="shared" si="80"/>
        <v>#VALUE!</v>
      </c>
      <c r="S620" s="25" t="e">
        <f t="shared" si="77"/>
        <v>#VALUE!</v>
      </c>
    </row>
    <row r="621" spans="1:19" x14ac:dyDescent="0.25">
      <c r="A621" t="e">
        <f t="shared" si="74"/>
        <v>#VALUE!</v>
      </c>
      <c r="B621" t="e">
        <f t="shared" si="75"/>
        <v>#VALUE!</v>
      </c>
      <c r="D621" s="21" t="str" cm="1">
        <f t="array" ref="D621">IF(ROWS($D$7:D621)&gt;COUNTIF('[1]U$S'!$H$5:$H$1008,$L$5),"",INDEX(CuentaUS,_xlfn.AGGREGATE(15,6,ROW('[1]U$S'!$H$5:$H$1008)-ROW('[1]U$S'!$O$5)+1/--('[1]U$S'!$H$5:$H$1008=$L$5),ROWS($D$7:D621)),1))</f>
        <v/>
      </c>
      <c r="E621" s="22" t="str" cm="1">
        <f t="array" ref="E621">IF(ROWS($E$7:E621)&gt;COUNTIF('[1]U$S'!$H$5:$H$1008,$L$5),"",INDEX(CuentaUS,_xlfn.AGGREGATE(15,6,ROW('[1]U$S'!$H$5:$H$1008)-ROW('[1]U$S'!$O$5)+1/--('[1]U$S'!$H$5:$H$1008=$L$5),ROWS($E$7:E621)),6))</f>
        <v/>
      </c>
      <c r="F621" s="22" t="str">
        <f>IF(E621="","",IF(E621&gt;0,SUMIFS('[1]UY$'!$L$5:$L$993,'[1]UY$'!$O$5:$O$993,"Cambio",'[1]UY$'!$E$5:$E$993,'Efecto TC'!D621),""))</f>
        <v/>
      </c>
      <c r="G621" s="23" t="str">
        <f t="shared" si="78"/>
        <v/>
      </c>
      <c r="H621" s="22" t="str">
        <f t="shared" si="79"/>
        <v/>
      </c>
      <c r="I621" s="54" t="str">
        <f t="shared" si="76"/>
        <v/>
      </c>
      <c r="R621" s="24" t="e">
        <f t="shared" si="80"/>
        <v>#VALUE!</v>
      </c>
      <c r="S621" s="25" t="e">
        <f t="shared" si="77"/>
        <v>#VALUE!</v>
      </c>
    </row>
    <row r="622" spans="1:19" x14ac:dyDescent="0.25">
      <c r="A622" t="e">
        <f t="shared" si="74"/>
        <v>#VALUE!</v>
      </c>
      <c r="B622" t="e">
        <f t="shared" si="75"/>
        <v>#VALUE!</v>
      </c>
      <c r="D622" s="21" t="str" cm="1">
        <f t="array" ref="D622">IF(ROWS($D$7:D622)&gt;COUNTIF('[1]U$S'!$H$5:$H$1008,$L$5),"",INDEX(CuentaUS,_xlfn.AGGREGATE(15,6,ROW('[1]U$S'!$H$5:$H$1008)-ROW('[1]U$S'!$O$5)+1/--('[1]U$S'!$H$5:$H$1008=$L$5),ROWS($D$7:D622)),1))</f>
        <v/>
      </c>
      <c r="E622" s="22" t="str" cm="1">
        <f t="array" ref="E622">IF(ROWS($E$7:E622)&gt;COUNTIF('[1]U$S'!$H$5:$H$1008,$L$5),"",INDEX(CuentaUS,_xlfn.AGGREGATE(15,6,ROW('[1]U$S'!$H$5:$H$1008)-ROW('[1]U$S'!$O$5)+1/--('[1]U$S'!$H$5:$H$1008=$L$5),ROWS($E$7:E622)),6))</f>
        <v/>
      </c>
      <c r="F622" s="22" t="str">
        <f>IF(E622="","",IF(E622&gt;0,SUMIFS('[1]UY$'!$L$5:$L$993,'[1]UY$'!$O$5:$O$993,"Cambio",'[1]UY$'!$E$5:$E$993,'Efecto TC'!D622),""))</f>
        <v/>
      </c>
      <c r="G622" s="23" t="str">
        <f t="shared" si="78"/>
        <v/>
      </c>
      <c r="H622" s="22" t="str">
        <f t="shared" si="79"/>
        <v/>
      </c>
      <c r="I622" s="54" t="str">
        <f t="shared" si="76"/>
        <v/>
      </c>
      <c r="R622" s="24" t="e">
        <f t="shared" si="80"/>
        <v>#VALUE!</v>
      </c>
      <c r="S622" s="25" t="e">
        <f t="shared" si="77"/>
        <v>#VALUE!</v>
      </c>
    </row>
    <row r="623" spans="1:19" x14ac:dyDescent="0.25">
      <c r="A623" t="e">
        <f t="shared" si="74"/>
        <v>#VALUE!</v>
      </c>
      <c r="B623" t="e">
        <f t="shared" si="75"/>
        <v>#VALUE!</v>
      </c>
      <c r="D623" s="21" t="str" cm="1">
        <f t="array" ref="D623">IF(ROWS($D$7:D623)&gt;COUNTIF('[1]U$S'!$H$5:$H$1008,$L$5),"",INDEX(CuentaUS,_xlfn.AGGREGATE(15,6,ROW('[1]U$S'!$H$5:$H$1008)-ROW('[1]U$S'!$O$5)+1/--('[1]U$S'!$H$5:$H$1008=$L$5),ROWS($D$7:D623)),1))</f>
        <v/>
      </c>
      <c r="E623" s="22" t="str" cm="1">
        <f t="array" ref="E623">IF(ROWS($E$7:E623)&gt;COUNTIF('[1]U$S'!$H$5:$H$1008,$L$5),"",INDEX(CuentaUS,_xlfn.AGGREGATE(15,6,ROW('[1]U$S'!$H$5:$H$1008)-ROW('[1]U$S'!$O$5)+1/--('[1]U$S'!$H$5:$H$1008=$L$5),ROWS($E$7:E623)),6))</f>
        <v/>
      </c>
      <c r="F623" s="22" t="str">
        <f>IF(E623="","",IF(E623&gt;0,SUMIFS('[1]UY$'!$L$5:$L$993,'[1]UY$'!$O$5:$O$993,"Cambio",'[1]UY$'!$E$5:$E$993,'Efecto TC'!D623),""))</f>
        <v/>
      </c>
      <c r="G623" s="23" t="str">
        <f t="shared" si="78"/>
        <v/>
      </c>
      <c r="H623" s="22" t="str">
        <f t="shared" si="79"/>
        <v/>
      </c>
      <c r="I623" s="54" t="str">
        <f t="shared" si="76"/>
        <v/>
      </c>
      <c r="R623" s="24" t="e">
        <f t="shared" si="80"/>
        <v>#VALUE!</v>
      </c>
      <c r="S623" s="25" t="e">
        <f t="shared" si="77"/>
        <v>#VALUE!</v>
      </c>
    </row>
    <row r="624" spans="1:19" x14ac:dyDescent="0.25">
      <c r="A624" t="e">
        <f t="shared" si="74"/>
        <v>#VALUE!</v>
      </c>
      <c r="B624" t="e">
        <f t="shared" si="75"/>
        <v>#VALUE!</v>
      </c>
      <c r="D624" s="21" t="str" cm="1">
        <f t="array" ref="D624">IF(ROWS($D$7:D624)&gt;COUNTIF('[1]U$S'!$H$5:$H$1008,$L$5),"",INDEX(CuentaUS,_xlfn.AGGREGATE(15,6,ROW('[1]U$S'!$H$5:$H$1008)-ROW('[1]U$S'!$O$5)+1/--('[1]U$S'!$H$5:$H$1008=$L$5),ROWS($D$7:D624)),1))</f>
        <v/>
      </c>
      <c r="E624" s="22" t="str" cm="1">
        <f t="array" ref="E624">IF(ROWS($E$7:E624)&gt;COUNTIF('[1]U$S'!$H$5:$H$1008,$L$5),"",INDEX(CuentaUS,_xlfn.AGGREGATE(15,6,ROW('[1]U$S'!$H$5:$H$1008)-ROW('[1]U$S'!$O$5)+1/--('[1]U$S'!$H$5:$H$1008=$L$5),ROWS($E$7:E624)),6))</f>
        <v/>
      </c>
      <c r="F624" s="22" t="str">
        <f>IF(E624="","",IF(E624&gt;0,SUMIFS('[1]UY$'!$L$5:$L$993,'[1]UY$'!$O$5:$O$993,"Cambio",'[1]UY$'!$E$5:$E$993,'Efecto TC'!D624),""))</f>
        <v/>
      </c>
      <c r="G624" s="23" t="str">
        <f t="shared" si="78"/>
        <v/>
      </c>
      <c r="H624" s="22" t="str">
        <f t="shared" si="79"/>
        <v/>
      </c>
      <c r="I624" s="54" t="str">
        <f t="shared" si="76"/>
        <v/>
      </c>
      <c r="R624" s="24" t="e">
        <f t="shared" si="80"/>
        <v>#VALUE!</v>
      </c>
      <c r="S624" s="25" t="e">
        <f t="shared" si="77"/>
        <v>#VALUE!</v>
      </c>
    </row>
    <row r="625" spans="1:19" x14ac:dyDescent="0.25">
      <c r="A625" t="e">
        <f t="shared" si="74"/>
        <v>#VALUE!</v>
      </c>
      <c r="B625" t="e">
        <f t="shared" si="75"/>
        <v>#VALUE!</v>
      </c>
      <c r="D625" s="21" t="str" cm="1">
        <f t="array" ref="D625">IF(ROWS($D$7:D625)&gt;COUNTIF('[1]U$S'!$H$5:$H$1008,$L$5),"",INDEX(CuentaUS,_xlfn.AGGREGATE(15,6,ROW('[1]U$S'!$H$5:$H$1008)-ROW('[1]U$S'!$O$5)+1/--('[1]U$S'!$H$5:$H$1008=$L$5),ROWS($D$7:D625)),1))</f>
        <v/>
      </c>
      <c r="E625" s="22" t="str" cm="1">
        <f t="array" ref="E625">IF(ROWS($E$7:E625)&gt;COUNTIF('[1]U$S'!$H$5:$H$1008,$L$5),"",INDEX(CuentaUS,_xlfn.AGGREGATE(15,6,ROW('[1]U$S'!$H$5:$H$1008)-ROW('[1]U$S'!$O$5)+1/--('[1]U$S'!$H$5:$H$1008=$L$5),ROWS($E$7:E625)),6))</f>
        <v/>
      </c>
      <c r="F625" s="22" t="str">
        <f>IF(E625="","",IF(E625&gt;0,SUMIFS('[1]UY$'!$L$5:$L$993,'[1]UY$'!$O$5:$O$993,"Cambio",'[1]UY$'!$E$5:$E$993,'Efecto TC'!D625),""))</f>
        <v/>
      </c>
      <c r="G625" s="23" t="str">
        <f t="shared" si="78"/>
        <v/>
      </c>
      <c r="H625" s="22" t="str">
        <f t="shared" si="79"/>
        <v/>
      </c>
      <c r="I625" s="54" t="str">
        <f t="shared" si="76"/>
        <v/>
      </c>
      <c r="R625" s="24" t="e">
        <f t="shared" si="80"/>
        <v>#VALUE!</v>
      </c>
      <c r="S625" s="25" t="e">
        <f t="shared" si="77"/>
        <v>#VALUE!</v>
      </c>
    </row>
    <row r="626" spans="1:19" x14ac:dyDescent="0.25">
      <c r="A626" t="e">
        <f t="shared" si="74"/>
        <v>#VALUE!</v>
      </c>
      <c r="B626" t="e">
        <f t="shared" si="75"/>
        <v>#VALUE!</v>
      </c>
      <c r="D626" s="21" t="str" cm="1">
        <f t="array" ref="D626">IF(ROWS($D$7:D626)&gt;COUNTIF('[1]U$S'!$H$5:$H$1008,$L$5),"",INDEX(CuentaUS,_xlfn.AGGREGATE(15,6,ROW('[1]U$S'!$H$5:$H$1008)-ROW('[1]U$S'!$O$5)+1/--('[1]U$S'!$H$5:$H$1008=$L$5),ROWS($D$7:D626)),1))</f>
        <v/>
      </c>
      <c r="E626" s="22" t="str" cm="1">
        <f t="array" ref="E626">IF(ROWS($E$7:E626)&gt;COUNTIF('[1]U$S'!$H$5:$H$1008,$L$5),"",INDEX(CuentaUS,_xlfn.AGGREGATE(15,6,ROW('[1]U$S'!$H$5:$H$1008)-ROW('[1]U$S'!$O$5)+1/--('[1]U$S'!$H$5:$H$1008=$L$5),ROWS($E$7:E626)),6))</f>
        <v/>
      </c>
      <c r="F626" s="22" t="str">
        <f>IF(E626="","",IF(E626&gt;0,SUMIFS('[1]UY$'!$L$5:$L$993,'[1]UY$'!$O$5:$O$993,"Cambio",'[1]UY$'!$E$5:$E$993,'Efecto TC'!D626),""))</f>
        <v/>
      </c>
      <c r="G626" s="23" t="str">
        <f t="shared" si="78"/>
        <v/>
      </c>
      <c r="H626" s="22" t="str">
        <f t="shared" si="79"/>
        <v/>
      </c>
      <c r="I626" s="54" t="str">
        <f t="shared" si="76"/>
        <v/>
      </c>
      <c r="R626" s="24" t="e">
        <f t="shared" si="80"/>
        <v>#VALUE!</v>
      </c>
      <c r="S626" s="25" t="e">
        <f t="shared" si="77"/>
        <v>#VALUE!</v>
      </c>
    </row>
    <row r="627" spans="1:19" x14ac:dyDescent="0.25">
      <c r="A627" t="e">
        <f t="shared" si="74"/>
        <v>#VALUE!</v>
      </c>
      <c r="B627" t="e">
        <f t="shared" si="75"/>
        <v>#VALUE!</v>
      </c>
      <c r="D627" s="21" t="str" cm="1">
        <f t="array" ref="D627">IF(ROWS($D$7:D627)&gt;COUNTIF('[1]U$S'!$H$5:$H$1008,$L$5),"",INDEX(CuentaUS,_xlfn.AGGREGATE(15,6,ROW('[1]U$S'!$H$5:$H$1008)-ROW('[1]U$S'!$O$5)+1/--('[1]U$S'!$H$5:$H$1008=$L$5),ROWS($D$7:D627)),1))</f>
        <v/>
      </c>
      <c r="E627" s="22" t="str" cm="1">
        <f t="array" ref="E627">IF(ROWS($E$7:E627)&gt;COUNTIF('[1]U$S'!$H$5:$H$1008,$L$5),"",INDEX(CuentaUS,_xlfn.AGGREGATE(15,6,ROW('[1]U$S'!$H$5:$H$1008)-ROW('[1]U$S'!$O$5)+1/--('[1]U$S'!$H$5:$H$1008=$L$5),ROWS($E$7:E627)),6))</f>
        <v/>
      </c>
      <c r="F627" s="22" t="str">
        <f>IF(E627="","",IF(E627&gt;0,SUMIFS('[1]UY$'!$L$5:$L$993,'[1]UY$'!$O$5:$O$993,"Cambio",'[1]UY$'!$E$5:$E$993,'Efecto TC'!D627),""))</f>
        <v/>
      </c>
      <c r="G627" s="23" t="str">
        <f t="shared" si="78"/>
        <v/>
      </c>
      <c r="H627" s="22" t="str">
        <f t="shared" si="79"/>
        <v/>
      </c>
      <c r="I627" s="54" t="str">
        <f t="shared" si="76"/>
        <v/>
      </c>
      <c r="R627" s="24" t="e">
        <f t="shared" si="80"/>
        <v>#VALUE!</v>
      </c>
      <c r="S627" s="25" t="e">
        <f t="shared" si="77"/>
        <v>#VALUE!</v>
      </c>
    </row>
    <row r="628" spans="1:19" x14ac:dyDescent="0.25">
      <c r="A628" t="e">
        <f t="shared" si="74"/>
        <v>#VALUE!</v>
      </c>
      <c r="B628" t="e">
        <f t="shared" si="75"/>
        <v>#VALUE!</v>
      </c>
      <c r="D628" s="21" t="str" cm="1">
        <f t="array" ref="D628">IF(ROWS($D$7:D628)&gt;COUNTIF('[1]U$S'!$H$5:$H$1008,$L$5),"",INDEX(CuentaUS,_xlfn.AGGREGATE(15,6,ROW('[1]U$S'!$H$5:$H$1008)-ROW('[1]U$S'!$O$5)+1/--('[1]U$S'!$H$5:$H$1008=$L$5),ROWS($D$7:D628)),1))</f>
        <v/>
      </c>
      <c r="E628" s="22" t="str" cm="1">
        <f t="array" ref="E628">IF(ROWS($E$7:E628)&gt;COUNTIF('[1]U$S'!$H$5:$H$1008,$L$5),"",INDEX(CuentaUS,_xlfn.AGGREGATE(15,6,ROW('[1]U$S'!$H$5:$H$1008)-ROW('[1]U$S'!$O$5)+1/--('[1]U$S'!$H$5:$H$1008=$L$5),ROWS($E$7:E628)),6))</f>
        <v/>
      </c>
      <c r="F628" s="22" t="str">
        <f>IF(E628="","",IF(E628&gt;0,SUMIFS('[1]UY$'!$L$5:$L$993,'[1]UY$'!$O$5:$O$993,"Cambio",'[1]UY$'!$E$5:$E$993,'Efecto TC'!D628),""))</f>
        <v/>
      </c>
      <c r="G628" s="23" t="str">
        <f t="shared" si="78"/>
        <v/>
      </c>
      <c r="H628" s="22" t="str">
        <f t="shared" si="79"/>
        <v/>
      </c>
      <c r="I628" s="54" t="str">
        <f t="shared" si="76"/>
        <v/>
      </c>
      <c r="R628" s="24" t="e">
        <f t="shared" si="80"/>
        <v>#VALUE!</v>
      </c>
      <c r="S628" s="25" t="e">
        <f t="shared" si="77"/>
        <v>#VALUE!</v>
      </c>
    </row>
    <row r="629" spans="1:19" x14ac:dyDescent="0.25">
      <c r="A629" t="e">
        <f t="shared" si="74"/>
        <v>#VALUE!</v>
      </c>
      <c r="B629" t="e">
        <f t="shared" si="75"/>
        <v>#VALUE!</v>
      </c>
      <c r="D629" s="21" t="str" cm="1">
        <f t="array" ref="D629">IF(ROWS($D$7:D629)&gt;COUNTIF('[1]U$S'!$H$5:$H$1008,$L$5),"",INDEX(CuentaUS,_xlfn.AGGREGATE(15,6,ROW('[1]U$S'!$H$5:$H$1008)-ROW('[1]U$S'!$O$5)+1/--('[1]U$S'!$H$5:$H$1008=$L$5),ROWS($D$7:D629)),1))</f>
        <v/>
      </c>
      <c r="E629" s="22" t="str" cm="1">
        <f t="array" ref="E629">IF(ROWS($E$7:E629)&gt;COUNTIF('[1]U$S'!$H$5:$H$1008,$L$5),"",INDEX(CuentaUS,_xlfn.AGGREGATE(15,6,ROW('[1]U$S'!$H$5:$H$1008)-ROW('[1]U$S'!$O$5)+1/--('[1]U$S'!$H$5:$H$1008=$L$5),ROWS($E$7:E629)),6))</f>
        <v/>
      </c>
      <c r="F629" s="22" t="str">
        <f>IF(E629="","",IF(E629&gt;0,SUMIFS('[1]UY$'!$L$5:$L$993,'[1]UY$'!$O$5:$O$993,"Cambio",'[1]UY$'!$E$5:$E$993,'Efecto TC'!D629),""))</f>
        <v/>
      </c>
      <c r="G629" s="23" t="str">
        <f t="shared" si="78"/>
        <v/>
      </c>
      <c r="H629" s="22" t="str">
        <f t="shared" si="79"/>
        <v/>
      </c>
      <c r="I629" s="54" t="str">
        <f t="shared" si="76"/>
        <v/>
      </c>
      <c r="R629" s="24" t="e">
        <f t="shared" si="80"/>
        <v>#VALUE!</v>
      </c>
      <c r="S629" s="25" t="e">
        <f t="shared" si="77"/>
        <v>#VALUE!</v>
      </c>
    </row>
    <row r="630" spans="1:19" x14ac:dyDescent="0.25">
      <c r="A630" t="e">
        <f t="shared" si="74"/>
        <v>#VALUE!</v>
      </c>
      <c r="B630" t="e">
        <f t="shared" si="75"/>
        <v>#VALUE!</v>
      </c>
      <c r="D630" s="21" t="str" cm="1">
        <f t="array" ref="D630">IF(ROWS($D$7:D630)&gt;COUNTIF('[1]U$S'!$H$5:$H$1008,$L$5),"",INDEX(CuentaUS,_xlfn.AGGREGATE(15,6,ROW('[1]U$S'!$H$5:$H$1008)-ROW('[1]U$S'!$O$5)+1/--('[1]U$S'!$H$5:$H$1008=$L$5),ROWS($D$7:D630)),1))</f>
        <v/>
      </c>
      <c r="E630" s="22" t="str" cm="1">
        <f t="array" ref="E630">IF(ROWS($E$7:E630)&gt;COUNTIF('[1]U$S'!$H$5:$H$1008,$L$5),"",INDEX(CuentaUS,_xlfn.AGGREGATE(15,6,ROW('[1]U$S'!$H$5:$H$1008)-ROW('[1]U$S'!$O$5)+1/--('[1]U$S'!$H$5:$H$1008=$L$5),ROWS($E$7:E630)),6))</f>
        <v/>
      </c>
      <c r="F630" s="22" t="str">
        <f>IF(E630="","",IF(E630&gt;0,SUMIFS('[1]UY$'!$L$5:$L$993,'[1]UY$'!$O$5:$O$993,"Cambio",'[1]UY$'!$E$5:$E$993,'Efecto TC'!D630),""))</f>
        <v/>
      </c>
      <c r="G630" s="23" t="str">
        <f t="shared" si="78"/>
        <v/>
      </c>
      <c r="H630" s="22" t="str">
        <f t="shared" si="79"/>
        <v/>
      </c>
      <c r="I630" s="54" t="str">
        <f t="shared" si="76"/>
        <v/>
      </c>
      <c r="R630" s="24" t="e">
        <f t="shared" si="80"/>
        <v>#VALUE!</v>
      </c>
      <c r="S630" s="25" t="e">
        <f t="shared" si="77"/>
        <v>#VALUE!</v>
      </c>
    </row>
    <row r="631" spans="1:19" x14ac:dyDescent="0.25">
      <c r="A631" t="e">
        <f t="shared" si="74"/>
        <v>#VALUE!</v>
      </c>
      <c r="B631" t="e">
        <f t="shared" si="75"/>
        <v>#VALUE!</v>
      </c>
      <c r="D631" s="21" t="str" cm="1">
        <f t="array" ref="D631">IF(ROWS($D$7:D631)&gt;COUNTIF('[1]U$S'!$H$5:$H$1008,$L$5),"",INDEX(CuentaUS,_xlfn.AGGREGATE(15,6,ROW('[1]U$S'!$H$5:$H$1008)-ROW('[1]U$S'!$O$5)+1/--('[1]U$S'!$H$5:$H$1008=$L$5),ROWS($D$7:D631)),1))</f>
        <v/>
      </c>
      <c r="E631" s="22" t="str" cm="1">
        <f t="array" ref="E631">IF(ROWS($E$7:E631)&gt;COUNTIF('[1]U$S'!$H$5:$H$1008,$L$5),"",INDEX(CuentaUS,_xlfn.AGGREGATE(15,6,ROW('[1]U$S'!$H$5:$H$1008)-ROW('[1]U$S'!$O$5)+1/--('[1]U$S'!$H$5:$H$1008=$L$5),ROWS($E$7:E631)),6))</f>
        <v/>
      </c>
      <c r="F631" s="22" t="str">
        <f>IF(E631="","",IF(E631&gt;0,SUMIFS('[1]UY$'!$L$5:$L$993,'[1]UY$'!$O$5:$O$993,"Cambio",'[1]UY$'!$E$5:$E$993,'Efecto TC'!D631),""))</f>
        <v/>
      </c>
      <c r="G631" s="23" t="str">
        <f t="shared" si="78"/>
        <v/>
      </c>
      <c r="H631" s="22" t="str">
        <f t="shared" si="79"/>
        <v/>
      </c>
      <c r="I631" s="54" t="str">
        <f t="shared" si="76"/>
        <v/>
      </c>
      <c r="R631" s="24" t="e">
        <f t="shared" si="80"/>
        <v>#VALUE!</v>
      </c>
      <c r="S631" s="25" t="e">
        <f t="shared" si="77"/>
        <v>#VALUE!</v>
      </c>
    </row>
    <row r="632" spans="1:19" x14ac:dyDescent="0.25">
      <c r="A632" t="e">
        <f t="shared" si="74"/>
        <v>#VALUE!</v>
      </c>
      <c r="B632" t="e">
        <f t="shared" si="75"/>
        <v>#VALUE!</v>
      </c>
      <c r="D632" s="21" t="str" cm="1">
        <f t="array" ref="D632">IF(ROWS($D$7:D632)&gt;COUNTIF('[1]U$S'!$H$5:$H$1008,$L$5),"",INDEX(CuentaUS,_xlfn.AGGREGATE(15,6,ROW('[1]U$S'!$H$5:$H$1008)-ROW('[1]U$S'!$O$5)+1/--('[1]U$S'!$H$5:$H$1008=$L$5),ROWS($D$7:D632)),1))</f>
        <v/>
      </c>
      <c r="E632" s="22" t="str" cm="1">
        <f t="array" ref="E632">IF(ROWS($E$7:E632)&gt;COUNTIF('[1]U$S'!$H$5:$H$1008,$L$5),"",INDEX(CuentaUS,_xlfn.AGGREGATE(15,6,ROW('[1]U$S'!$H$5:$H$1008)-ROW('[1]U$S'!$O$5)+1/--('[1]U$S'!$H$5:$H$1008=$L$5),ROWS($E$7:E632)),6))</f>
        <v/>
      </c>
      <c r="F632" s="22" t="str">
        <f>IF(E632="","",IF(E632&gt;0,SUMIFS('[1]UY$'!$L$5:$L$993,'[1]UY$'!$O$5:$O$993,"Cambio",'[1]UY$'!$E$5:$E$993,'Efecto TC'!D632),""))</f>
        <v/>
      </c>
      <c r="G632" s="23" t="str">
        <f t="shared" si="78"/>
        <v/>
      </c>
      <c r="H632" s="22" t="str">
        <f t="shared" si="79"/>
        <v/>
      </c>
      <c r="I632" s="54" t="str">
        <f t="shared" si="76"/>
        <v/>
      </c>
      <c r="R632" s="24" t="e">
        <f t="shared" si="80"/>
        <v>#VALUE!</v>
      </c>
      <c r="S632" s="25" t="e">
        <f t="shared" si="77"/>
        <v>#VALUE!</v>
      </c>
    </row>
    <row r="633" spans="1:19" x14ac:dyDescent="0.25">
      <c r="A633" t="e">
        <f t="shared" si="74"/>
        <v>#VALUE!</v>
      </c>
      <c r="B633" t="e">
        <f t="shared" si="75"/>
        <v>#VALUE!</v>
      </c>
      <c r="D633" s="21" t="str" cm="1">
        <f t="array" ref="D633">IF(ROWS($D$7:D633)&gt;COUNTIF('[1]U$S'!$H$5:$H$1008,$L$5),"",INDEX(CuentaUS,_xlfn.AGGREGATE(15,6,ROW('[1]U$S'!$H$5:$H$1008)-ROW('[1]U$S'!$O$5)+1/--('[1]U$S'!$H$5:$H$1008=$L$5),ROWS($D$7:D633)),1))</f>
        <v/>
      </c>
      <c r="E633" s="22" t="str" cm="1">
        <f t="array" ref="E633">IF(ROWS($E$7:E633)&gt;COUNTIF('[1]U$S'!$H$5:$H$1008,$L$5),"",INDEX(CuentaUS,_xlfn.AGGREGATE(15,6,ROW('[1]U$S'!$H$5:$H$1008)-ROW('[1]U$S'!$O$5)+1/--('[1]U$S'!$H$5:$H$1008=$L$5),ROWS($E$7:E633)),6))</f>
        <v/>
      </c>
      <c r="F633" s="22" t="str">
        <f>IF(E633="","",IF(E633&gt;0,SUMIFS('[1]UY$'!$L$5:$L$993,'[1]UY$'!$O$5:$O$993,"Cambio",'[1]UY$'!$E$5:$E$993,'Efecto TC'!D633),""))</f>
        <v/>
      </c>
      <c r="G633" s="23" t="str">
        <f t="shared" si="78"/>
        <v/>
      </c>
      <c r="H633" s="22" t="str">
        <f t="shared" si="79"/>
        <v/>
      </c>
      <c r="I633" s="54" t="str">
        <f t="shared" si="76"/>
        <v/>
      </c>
      <c r="R633" s="24" t="e">
        <f t="shared" si="80"/>
        <v>#VALUE!</v>
      </c>
      <c r="S633" s="25" t="e">
        <f t="shared" si="77"/>
        <v>#VALUE!</v>
      </c>
    </row>
    <row r="634" spans="1:19" x14ac:dyDescent="0.25">
      <c r="A634" t="e">
        <f t="shared" si="74"/>
        <v>#VALUE!</v>
      </c>
      <c r="B634" t="e">
        <f t="shared" si="75"/>
        <v>#VALUE!</v>
      </c>
      <c r="D634" s="21" t="str" cm="1">
        <f t="array" ref="D634">IF(ROWS($D$7:D634)&gt;COUNTIF('[1]U$S'!$H$5:$H$1008,$L$5),"",INDEX(CuentaUS,_xlfn.AGGREGATE(15,6,ROW('[1]U$S'!$H$5:$H$1008)-ROW('[1]U$S'!$O$5)+1/--('[1]U$S'!$H$5:$H$1008=$L$5),ROWS($D$7:D634)),1))</f>
        <v/>
      </c>
      <c r="E634" s="22" t="str" cm="1">
        <f t="array" ref="E634">IF(ROWS($E$7:E634)&gt;COUNTIF('[1]U$S'!$H$5:$H$1008,$L$5),"",INDEX(CuentaUS,_xlfn.AGGREGATE(15,6,ROW('[1]U$S'!$H$5:$H$1008)-ROW('[1]U$S'!$O$5)+1/--('[1]U$S'!$H$5:$H$1008=$L$5),ROWS($E$7:E634)),6))</f>
        <v/>
      </c>
      <c r="F634" s="22" t="str">
        <f>IF(E634="","",IF(E634&gt;0,SUMIFS('[1]UY$'!$L$5:$L$993,'[1]UY$'!$O$5:$O$993,"Cambio",'[1]UY$'!$E$5:$E$993,'Efecto TC'!D634),""))</f>
        <v/>
      </c>
      <c r="G634" s="23" t="str">
        <f t="shared" si="78"/>
        <v/>
      </c>
      <c r="H634" s="22" t="str">
        <f t="shared" si="79"/>
        <v/>
      </c>
      <c r="I634" s="54" t="str">
        <f t="shared" si="76"/>
        <v/>
      </c>
      <c r="R634" s="24" t="e">
        <f t="shared" si="80"/>
        <v>#VALUE!</v>
      </c>
      <c r="S634" s="25" t="e">
        <f t="shared" si="77"/>
        <v>#VALUE!</v>
      </c>
    </row>
    <row r="635" spans="1:19" x14ac:dyDescent="0.25">
      <c r="A635" t="e">
        <f t="shared" si="74"/>
        <v>#VALUE!</v>
      </c>
      <c r="B635" t="e">
        <f t="shared" si="75"/>
        <v>#VALUE!</v>
      </c>
      <c r="D635" s="21" t="str" cm="1">
        <f t="array" ref="D635">IF(ROWS($D$7:D635)&gt;COUNTIF('[1]U$S'!$H$5:$H$1008,$L$5),"",INDEX(CuentaUS,_xlfn.AGGREGATE(15,6,ROW('[1]U$S'!$H$5:$H$1008)-ROW('[1]U$S'!$O$5)+1/--('[1]U$S'!$H$5:$H$1008=$L$5),ROWS($D$7:D635)),1))</f>
        <v/>
      </c>
      <c r="E635" s="22" t="str" cm="1">
        <f t="array" ref="E635">IF(ROWS($E$7:E635)&gt;COUNTIF('[1]U$S'!$H$5:$H$1008,$L$5),"",INDEX(CuentaUS,_xlfn.AGGREGATE(15,6,ROW('[1]U$S'!$H$5:$H$1008)-ROW('[1]U$S'!$O$5)+1/--('[1]U$S'!$H$5:$H$1008=$L$5),ROWS($E$7:E635)),6))</f>
        <v/>
      </c>
      <c r="F635" s="22" t="str">
        <f>IF(E635="","",IF(E635&gt;0,SUMIFS('[1]UY$'!$L$5:$L$993,'[1]UY$'!$O$5:$O$993,"Cambio",'[1]UY$'!$E$5:$E$993,'Efecto TC'!D635),""))</f>
        <v/>
      </c>
      <c r="G635" s="23" t="str">
        <f t="shared" si="78"/>
        <v/>
      </c>
      <c r="H635" s="22" t="str">
        <f t="shared" si="79"/>
        <v/>
      </c>
      <c r="I635" s="54" t="str">
        <f t="shared" si="76"/>
        <v/>
      </c>
      <c r="R635" s="24" t="e">
        <f t="shared" si="80"/>
        <v>#VALUE!</v>
      </c>
      <c r="S635" s="25" t="e">
        <f t="shared" si="77"/>
        <v>#VALUE!</v>
      </c>
    </row>
    <row r="636" spans="1:19" x14ac:dyDescent="0.25">
      <c r="A636" t="e">
        <f t="shared" si="74"/>
        <v>#VALUE!</v>
      </c>
      <c r="B636" t="e">
        <f t="shared" si="75"/>
        <v>#VALUE!</v>
      </c>
      <c r="D636" s="21" t="str" cm="1">
        <f t="array" ref="D636">IF(ROWS($D$7:D636)&gt;COUNTIF('[1]U$S'!$H$5:$H$1008,$L$5),"",INDEX(CuentaUS,_xlfn.AGGREGATE(15,6,ROW('[1]U$S'!$H$5:$H$1008)-ROW('[1]U$S'!$O$5)+1/--('[1]U$S'!$H$5:$H$1008=$L$5),ROWS($D$7:D636)),1))</f>
        <v/>
      </c>
      <c r="E636" s="22" t="str" cm="1">
        <f t="array" ref="E636">IF(ROWS($E$7:E636)&gt;COUNTIF('[1]U$S'!$H$5:$H$1008,$L$5),"",INDEX(CuentaUS,_xlfn.AGGREGATE(15,6,ROW('[1]U$S'!$H$5:$H$1008)-ROW('[1]U$S'!$O$5)+1/--('[1]U$S'!$H$5:$H$1008=$L$5),ROWS($E$7:E636)),6))</f>
        <v/>
      </c>
      <c r="F636" s="22" t="str">
        <f>IF(E636="","",IF(E636&gt;0,SUMIFS('[1]UY$'!$L$5:$L$993,'[1]UY$'!$O$5:$O$993,"Cambio",'[1]UY$'!$E$5:$E$993,'Efecto TC'!D636),""))</f>
        <v/>
      </c>
      <c r="G636" s="23" t="str">
        <f t="shared" si="78"/>
        <v/>
      </c>
      <c r="H636" s="22" t="str">
        <f t="shared" si="79"/>
        <v/>
      </c>
      <c r="I636" s="54" t="str">
        <f t="shared" si="76"/>
        <v/>
      </c>
      <c r="R636" s="24" t="e">
        <f t="shared" si="80"/>
        <v>#VALUE!</v>
      </c>
      <c r="S636" s="25" t="e">
        <f t="shared" si="77"/>
        <v>#VALUE!</v>
      </c>
    </row>
    <row r="637" spans="1:19" x14ac:dyDescent="0.25">
      <c r="A637" t="e">
        <f t="shared" si="74"/>
        <v>#VALUE!</v>
      </c>
      <c r="B637" t="e">
        <f t="shared" si="75"/>
        <v>#VALUE!</v>
      </c>
      <c r="D637" s="21" t="str" cm="1">
        <f t="array" ref="D637">IF(ROWS($D$7:D637)&gt;COUNTIF('[1]U$S'!$H$5:$H$1008,$L$5),"",INDEX(CuentaUS,_xlfn.AGGREGATE(15,6,ROW('[1]U$S'!$H$5:$H$1008)-ROW('[1]U$S'!$O$5)+1/--('[1]U$S'!$H$5:$H$1008=$L$5),ROWS($D$7:D637)),1))</f>
        <v/>
      </c>
      <c r="E637" s="22" t="str" cm="1">
        <f t="array" ref="E637">IF(ROWS($E$7:E637)&gt;COUNTIF('[1]U$S'!$H$5:$H$1008,$L$5),"",INDEX(CuentaUS,_xlfn.AGGREGATE(15,6,ROW('[1]U$S'!$H$5:$H$1008)-ROW('[1]U$S'!$O$5)+1/--('[1]U$S'!$H$5:$H$1008=$L$5),ROWS($E$7:E637)),6))</f>
        <v/>
      </c>
      <c r="F637" s="22" t="str">
        <f>IF(E637="","",IF(E637&gt;0,SUMIFS('[1]UY$'!$L$5:$L$993,'[1]UY$'!$O$5:$O$993,"Cambio",'[1]UY$'!$E$5:$E$993,'Efecto TC'!D637),""))</f>
        <v/>
      </c>
      <c r="G637" s="23" t="str">
        <f t="shared" si="78"/>
        <v/>
      </c>
      <c r="H637" s="22" t="str">
        <f t="shared" si="79"/>
        <v/>
      </c>
      <c r="I637" s="54" t="str">
        <f t="shared" si="76"/>
        <v/>
      </c>
      <c r="R637" s="24" t="e">
        <f t="shared" si="80"/>
        <v>#VALUE!</v>
      </c>
      <c r="S637" s="25" t="e">
        <f t="shared" si="77"/>
        <v>#VALUE!</v>
      </c>
    </row>
    <row r="638" spans="1:19" x14ac:dyDescent="0.25">
      <c r="A638" t="e">
        <f t="shared" si="74"/>
        <v>#VALUE!</v>
      </c>
      <c r="B638" t="e">
        <f t="shared" si="75"/>
        <v>#VALUE!</v>
      </c>
      <c r="D638" s="21" t="str" cm="1">
        <f t="array" ref="D638">IF(ROWS($D$7:D638)&gt;COUNTIF('[1]U$S'!$H$5:$H$1008,$L$5),"",INDEX(CuentaUS,_xlfn.AGGREGATE(15,6,ROW('[1]U$S'!$H$5:$H$1008)-ROW('[1]U$S'!$O$5)+1/--('[1]U$S'!$H$5:$H$1008=$L$5),ROWS($D$7:D638)),1))</f>
        <v/>
      </c>
      <c r="E638" s="22" t="str" cm="1">
        <f t="array" ref="E638">IF(ROWS($E$7:E638)&gt;COUNTIF('[1]U$S'!$H$5:$H$1008,$L$5),"",INDEX(CuentaUS,_xlfn.AGGREGATE(15,6,ROW('[1]U$S'!$H$5:$H$1008)-ROW('[1]U$S'!$O$5)+1/--('[1]U$S'!$H$5:$H$1008=$L$5),ROWS($E$7:E638)),6))</f>
        <v/>
      </c>
      <c r="F638" s="22" t="str">
        <f>IF(E638="","",IF(E638&gt;0,SUMIFS('[1]UY$'!$L$5:$L$993,'[1]UY$'!$O$5:$O$993,"Cambio",'[1]UY$'!$E$5:$E$993,'Efecto TC'!D638),""))</f>
        <v/>
      </c>
      <c r="G638" s="23" t="str">
        <f t="shared" si="78"/>
        <v/>
      </c>
      <c r="H638" s="22" t="str">
        <f t="shared" si="79"/>
        <v/>
      </c>
      <c r="I638" s="54" t="str">
        <f t="shared" si="76"/>
        <v/>
      </c>
      <c r="R638" s="24" t="e">
        <f t="shared" si="80"/>
        <v>#VALUE!</v>
      </c>
      <c r="S638" s="25" t="e">
        <f t="shared" si="77"/>
        <v>#VALUE!</v>
      </c>
    </row>
    <row r="639" spans="1:19" x14ac:dyDescent="0.25">
      <c r="A639" t="e">
        <f t="shared" si="74"/>
        <v>#VALUE!</v>
      </c>
      <c r="B639" t="e">
        <f t="shared" si="75"/>
        <v>#VALUE!</v>
      </c>
      <c r="D639" s="21" t="str" cm="1">
        <f t="array" ref="D639">IF(ROWS($D$7:D639)&gt;COUNTIF('[1]U$S'!$H$5:$H$1008,$L$5),"",INDEX(CuentaUS,_xlfn.AGGREGATE(15,6,ROW('[1]U$S'!$H$5:$H$1008)-ROW('[1]U$S'!$O$5)+1/--('[1]U$S'!$H$5:$H$1008=$L$5),ROWS($D$7:D639)),1))</f>
        <v/>
      </c>
      <c r="E639" s="22" t="str" cm="1">
        <f t="array" ref="E639">IF(ROWS($E$7:E639)&gt;COUNTIF('[1]U$S'!$H$5:$H$1008,$L$5),"",INDEX(CuentaUS,_xlfn.AGGREGATE(15,6,ROW('[1]U$S'!$H$5:$H$1008)-ROW('[1]U$S'!$O$5)+1/--('[1]U$S'!$H$5:$H$1008=$L$5),ROWS($E$7:E639)),6))</f>
        <v/>
      </c>
      <c r="F639" s="22" t="str">
        <f>IF(E639="","",IF(E639&gt;0,SUMIFS('[1]UY$'!$L$5:$L$993,'[1]UY$'!$O$5:$O$993,"Cambio",'[1]UY$'!$E$5:$E$993,'Efecto TC'!D639),""))</f>
        <v/>
      </c>
      <c r="G639" s="23" t="str">
        <f t="shared" si="78"/>
        <v/>
      </c>
      <c r="H639" s="22" t="str">
        <f t="shared" si="79"/>
        <v/>
      </c>
      <c r="I639" s="54" t="str">
        <f t="shared" si="76"/>
        <v/>
      </c>
      <c r="R639" s="24" t="e">
        <f t="shared" si="80"/>
        <v>#VALUE!</v>
      </c>
      <c r="S639" s="25" t="e">
        <f t="shared" si="77"/>
        <v>#VALUE!</v>
      </c>
    </row>
    <row r="640" spans="1:19" x14ac:dyDescent="0.25">
      <c r="A640" t="e">
        <f t="shared" si="74"/>
        <v>#VALUE!</v>
      </c>
      <c r="B640" t="e">
        <f t="shared" si="75"/>
        <v>#VALUE!</v>
      </c>
      <c r="D640" s="21" t="str" cm="1">
        <f t="array" ref="D640">IF(ROWS($D$7:D640)&gt;COUNTIF('[1]U$S'!$H$5:$H$1008,$L$5),"",INDEX(CuentaUS,_xlfn.AGGREGATE(15,6,ROW('[1]U$S'!$H$5:$H$1008)-ROW('[1]U$S'!$O$5)+1/--('[1]U$S'!$H$5:$H$1008=$L$5),ROWS($D$7:D640)),1))</f>
        <v/>
      </c>
      <c r="E640" s="22" t="str" cm="1">
        <f t="array" ref="E640">IF(ROWS($E$7:E640)&gt;COUNTIF('[1]U$S'!$H$5:$H$1008,$L$5),"",INDEX(CuentaUS,_xlfn.AGGREGATE(15,6,ROW('[1]U$S'!$H$5:$H$1008)-ROW('[1]U$S'!$O$5)+1/--('[1]U$S'!$H$5:$H$1008=$L$5),ROWS($E$7:E640)),6))</f>
        <v/>
      </c>
      <c r="F640" s="22" t="str">
        <f>IF(E640="","",IF(E640&gt;0,SUMIFS('[1]UY$'!$L$5:$L$993,'[1]UY$'!$O$5:$O$993,"Cambio",'[1]UY$'!$E$5:$E$993,'Efecto TC'!D640),""))</f>
        <v/>
      </c>
      <c r="G640" s="23" t="str">
        <f t="shared" si="78"/>
        <v/>
      </c>
      <c r="H640" s="22" t="str">
        <f t="shared" si="79"/>
        <v/>
      </c>
      <c r="I640" s="54" t="str">
        <f t="shared" si="76"/>
        <v/>
      </c>
      <c r="R640" s="24" t="e">
        <f t="shared" si="80"/>
        <v>#VALUE!</v>
      </c>
      <c r="S640" s="25" t="e">
        <f t="shared" si="77"/>
        <v>#VALUE!</v>
      </c>
    </row>
    <row r="641" spans="1:19" x14ac:dyDescent="0.25">
      <c r="A641" t="e">
        <f t="shared" si="74"/>
        <v>#VALUE!</v>
      </c>
      <c r="B641" t="e">
        <f t="shared" si="75"/>
        <v>#VALUE!</v>
      </c>
      <c r="D641" s="21" t="str" cm="1">
        <f t="array" ref="D641">IF(ROWS($D$7:D641)&gt;COUNTIF('[1]U$S'!$H$5:$H$1008,$L$5),"",INDEX(CuentaUS,_xlfn.AGGREGATE(15,6,ROW('[1]U$S'!$H$5:$H$1008)-ROW('[1]U$S'!$O$5)+1/--('[1]U$S'!$H$5:$H$1008=$L$5),ROWS($D$7:D641)),1))</f>
        <v/>
      </c>
      <c r="E641" s="22" t="str" cm="1">
        <f t="array" ref="E641">IF(ROWS($E$7:E641)&gt;COUNTIF('[1]U$S'!$H$5:$H$1008,$L$5),"",INDEX(CuentaUS,_xlfn.AGGREGATE(15,6,ROW('[1]U$S'!$H$5:$H$1008)-ROW('[1]U$S'!$O$5)+1/--('[1]U$S'!$H$5:$H$1008=$L$5),ROWS($E$7:E641)),6))</f>
        <v/>
      </c>
      <c r="F641" s="22" t="str">
        <f>IF(E641="","",IF(E641&gt;0,SUMIFS('[1]UY$'!$L$5:$L$993,'[1]UY$'!$O$5:$O$993,"Cambio",'[1]UY$'!$E$5:$E$993,'Efecto TC'!D641),""))</f>
        <v/>
      </c>
      <c r="G641" s="23" t="str">
        <f t="shared" si="78"/>
        <v/>
      </c>
      <c r="H641" s="22" t="str">
        <f t="shared" si="79"/>
        <v/>
      </c>
      <c r="I641" s="54" t="str">
        <f t="shared" si="76"/>
        <v/>
      </c>
      <c r="R641" s="24" t="e">
        <f t="shared" si="80"/>
        <v>#VALUE!</v>
      </c>
      <c r="S641" s="25" t="e">
        <f t="shared" si="77"/>
        <v>#VALUE!</v>
      </c>
    </row>
    <row r="642" spans="1:19" x14ac:dyDescent="0.25">
      <c r="A642" t="e">
        <f t="shared" si="74"/>
        <v>#VALUE!</v>
      </c>
      <c r="B642" t="e">
        <f t="shared" si="75"/>
        <v>#VALUE!</v>
      </c>
      <c r="D642" s="21" t="str" cm="1">
        <f t="array" ref="D642">IF(ROWS($D$7:D642)&gt;COUNTIF('[1]U$S'!$H$5:$H$1008,$L$5),"",INDEX(CuentaUS,_xlfn.AGGREGATE(15,6,ROW('[1]U$S'!$H$5:$H$1008)-ROW('[1]U$S'!$O$5)+1/--('[1]U$S'!$H$5:$H$1008=$L$5),ROWS($D$7:D642)),1))</f>
        <v/>
      </c>
      <c r="E642" s="22" t="str" cm="1">
        <f t="array" ref="E642">IF(ROWS($E$7:E642)&gt;COUNTIF('[1]U$S'!$H$5:$H$1008,$L$5),"",INDEX(CuentaUS,_xlfn.AGGREGATE(15,6,ROW('[1]U$S'!$H$5:$H$1008)-ROW('[1]U$S'!$O$5)+1/--('[1]U$S'!$H$5:$H$1008=$L$5),ROWS($E$7:E642)),6))</f>
        <v/>
      </c>
      <c r="F642" s="22" t="str">
        <f>IF(E642="","",IF(E642&gt;0,SUMIFS('[1]UY$'!$L$5:$L$993,'[1]UY$'!$O$5:$O$993,"Cambio",'[1]UY$'!$E$5:$E$993,'Efecto TC'!D642),""))</f>
        <v/>
      </c>
      <c r="G642" s="23" t="str">
        <f t="shared" si="78"/>
        <v/>
      </c>
      <c r="H642" s="22" t="str">
        <f t="shared" si="79"/>
        <v/>
      </c>
      <c r="I642" s="54" t="str">
        <f t="shared" si="76"/>
        <v/>
      </c>
      <c r="R642" s="24" t="e">
        <f t="shared" si="80"/>
        <v>#VALUE!</v>
      </c>
      <c r="S642" s="25" t="e">
        <f t="shared" si="77"/>
        <v>#VALUE!</v>
      </c>
    </row>
    <row r="643" spans="1:19" x14ac:dyDescent="0.25">
      <c r="A643" t="e">
        <f t="shared" si="74"/>
        <v>#VALUE!</v>
      </c>
      <c r="B643" t="e">
        <f t="shared" si="75"/>
        <v>#VALUE!</v>
      </c>
      <c r="D643" s="21" t="str" cm="1">
        <f t="array" ref="D643">IF(ROWS($D$7:D643)&gt;COUNTIF('[1]U$S'!$H$5:$H$1008,$L$5),"",INDEX(CuentaUS,_xlfn.AGGREGATE(15,6,ROW('[1]U$S'!$H$5:$H$1008)-ROW('[1]U$S'!$O$5)+1/--('[1]U$S'!$H$5:$H$1008=$L$5),ROWS($D$7:D643)),1))</f>
        <v/>
      </c>
      <c r="E643" s="22" t="str" cm="1">
        <f t="array" ref="E643">IF(ROWS($E$7:E643)&gt;COUNTIF('[1]U$S'!$H$5:$H$1008,$L$5),"",INDEX(CuentaUS,_xlfn.AGGREGATE(15,6,ROW('[1]U$S'!$H$5:$H$1008)-ROW('[1]U$S'!$O$5)+1/--('[1]U$S'!$H$5:$H$1008=$L$5),ROWS($E$7:E643)),6))</f>
        <v/>
      </c>
      <c r="F643" s="22" t="str">
        <f>IF(E643="","",IF(E643&gt;0,SUMIFS('[1]UY$'!$L$5:$L$993,'[1]UY$'!$O$5:$O$993,"Cambio",'[1]UY$'!$E$5:$E$993,'Efecto TC'!D643),""))</f>
        <v/>
      </c>
      <c r="G643" s="23" t="str">
        <f t="shared" si="78"/>
        <v/>
      </c>
      <c r="H643" s="22" t="str">
        <f t="shared" si="79"/>
        <v/>
      </c>
      <c r="I643" s="54" t="str">
        <f t="shared" si="76"/>
        <v/>
      </c>
      <c r="R643" s="24" t="e">
        <f t="shared" si="80"/>
        <v>#VALUE!</v>
      </c>
      <c r="S643" s="25" t="e">
        <f t="shared" si="77"/>
        <v>#VALUE!</v>
      </c>
    </row>
    <row r="644" spans="1:19" x14ac:dyDescent="0.25">
      <c r="A644" t="e">
        <f t="shared" si="74"/>
        <v>#VALUE!</v>
      </c>
      <c r="B644" t="e">
        <f t="shared" si="75"/>
        <v>#VALUE!</v>
      </c>
      <c r="D644" s="21" t="str" cm="1">
        <f t="array" ref="D644">IF(ROWS($D$7:D644)&gt;COUNTIF('[1]U$S'!$H$5:$H$1008,$L$5),"",INDEX(CuentaUS,_xlfn.AGGREGATE(15,6,ROW('[1]U$S'!$H$5:$H$1008)-ROW('[1]U$S'!$O$5)+1/--('[1]U$S'!$H$5:$H$1008=$L$5),ROWS($D$7:D644)),1))</f>
        <v/>
      </c>
      <c r="E644" s="22" t="str" cm="1">
        <f t="array" ref="E644">IF(ROWS($E$7:E644)&gt;COUNTIF('[1]U$S'!$H$5:$H$1008,$L$5),"",INDEX(CuentaUS,_xlfn.AGGREGATE(15,6,ROW('[1]U$S'!$H$5:$H$1008)-ROW('[1]U$S'!$O$5)+1/--('[1]U$S'!$H$5:$H$1008=$L$5),ROWS($E$7:E644)),6))</f>
        <v/>
      </c>
      <c r="F644" s="22" t="str">
        <f>IF(E644="","",IF(E644&gt;0,SUMIFS('[1]UY$'!$L$5:$L$993,'[1]UY$'!$O$5:$O$993,"Cambio",'[1]UY$'!$E$5:$E$993,'Efecto TC'!D644),""))</f>
        <v/>
      </c>
      <c r="G644" s="23" t="str">
        <f t="shared" si="78"/>
        <v/>
      </c>
      <c r="H644" s="22" t="str">
        <f t="shared" si="79"/>
        <v/>
      </c>
      <c r="I644" s="54" t="str">
        <f t="shared" si="76"/>
        <v/>
      </c>
      <c r="R644" s="24" t="e">
        <f t="shared" si="80"/>
        <v>#VALUE!</v>
      </c>
      <c r="S644" s="25" t="e">
        <f t="shared" si="77"/>
        <v>#VALUE!</v>
      </c>
    </row>
    <row r="645" spans="1:19" x14ac:dyDescent="0.25">
      <c r="A645" t="e">
        <f t="shared" si="74"/>
        <v>#VALUE!</v>
      </c>
      <c r="B645" t="e">
        <f t="shared" si="75"/>
        <v>#VALUE!</v>
      </c>
      <c r="D645" s="21" t="str" cm="1">
        <f t="array" ref="D645">IF(ROWS($D$7:D645)&gt;COUNTIF('[1]U$S'!$H$5:$H$1008,$L$5),"",INDEX(CuentaUS,_xlfn.AGGREGATE(15,6,ROW('[1]U$S'!$H$5:$H$1008)-ROW('[1]U$S'!$O$5)+1/--('[1]U$S'!$H$5:$H$1008=$L$5),ROWS($D$7:D645)),1))</f>
        <v/>
      </c>
      <c r="E645" s="22" t="str" cm="1">
        <f t="array" ref="E645">IF(ROWS($E$7:E645)&gt;COUNTIF('[1]U$S'!$H$5:$H$1008,$L$5),"",INDEX(CuentaUS,_xlfn.AGGREGATE(15,6,ROW('[1]U$S'!$H$5:$H$1008)-ROW('[1]U$S'!$O$5)+1/--('[1]U$S'!$H$5:$H$1008=$L$5),ROWS($E$7:E645)),6))</f>
        <v/>
      </c>
      <c r="F645" s="22" t="str">
        <f>IF(E645="","",IF(E645&gt;0,SUMIFS('[1]UY$'!$L$5:$L$993,'[1]UY$'!$O$5:$O$993,"Cambio",'[1]UY$'!$E$5:$E$993,'Efecto TC'!D645),""))</f>
        <v/>
      </c>
      <c r="G645" s="23" t="str">
        <f t="shared" si="78"/>
        <v/>
      </c>
      <c r="H645" s="22" t="str">
        <f t="shared" si="79"/>
        <v/>
      </c>
      <c r="I645" s="54" t="str">
        <f t="shared" si="76"/>
        <v/>
      </c>
      <c r="R645" s="24" t="e">
        <f t="shared" si="80"/>
        <v>#VALUE!</v>
      </c>
      <c r="S645" s="25" t="e">
        <f t="shared" si="77"/>
        <v>#VALUE!</v>
      </c>
    </row>
    <row r="646" spans="1:19" x14ac:dyDescent="0.25">
      <c r="A646" t="e">
        <f t="shared" si="74"/>
        <v>#VALUE!</v>
      </c>
      <c r="B646" t="e">
        <f t="shared" si="75"/>
        <v>#VALUE!</v>
      </c>
      <c r="D646" s="21" t="str" cm="1">
        <f t="array" ref="D646">IF(ROWS($D$7:D646)&gt;COUNTIF('[1]U$S'!$H$5:$H$1008,$L$5),"",INDEX(CuentaUS,_xlfn.AGGREGATE(15,6,ROW('[1]U$S'!$H$5:$H$1008)-ROW('[1]U$S'!$O$5)+1/--('[1]U$S'!$H$5:$H$1008=$L$5),ROWS($D$7:D646)),1))</f>
        <v/>
      </c>
      <c r="E646" s="22" t="str" cm="1">
        <f t="array" ref="E646">IF(ROWS($E$7:E646)&gt;COUNTIF('[1]U$S'!$H$5:$H$1008,$L$5),"",INDEX(CuentaUS,_xlfn.AGGREGATE(15,6,ROW('[1]U$S'!$H$5:$H$1008)-ROW('[1]U$S'!$O$5)+1/--('[1]U$S'!$H$5:$H$1008=$L$5),ROWS($E$7:E646)),6))</f>
        <v/>
      </c>
      <c r="F646" s="22" t="str">
        <f>IF(E646="","",IF(E646&gt;0,SUMIFS('[1]UY$'!$L$5:$L$993,'[1]UY$'!$O$5:$O$993,"Cambio",'[1]UY$'!$E$5:$E$993,'Efecto TC'!D646),""))</f>
        <v/>
      </c>
      <c r="G646" s="23" t="str">
        <f t="shared" si="78"/>
        <v/>
      </c>
      <c r="H646" s="22" t="str">
        <f t="shared" si="79"/>
        <v/>
      </c>
      <c r="I646" s="54" t="str">
        <f t="shared" si="76"/>
        <v/>
      </c>
      <c r="R646" s="24" t="e">
        <f t="shared" si="80"/>
        <v>#VALUE!</v>
      </c>
      <c r="S646" s="25" t="e">
        <f t="shared" si="77"/>
        <v>#VALUE!</v>
      </c>
    </row>
    <row r="647" spans="1:19" x14ac:dyDescent="0.25">
      <c r="A647" t="e">
        <f t="shared" ref="A647:A710" si="81">MONTH(D647)</f>
        <v>#VALUE!</v>
      </c>
      <c r="B647" t="e">
        <f t="shared" ref="B647:B710" si="82">YEAR(D647)</f>
        <v>#VALUE!</v>
      </c>
      <c r="D647" s="21" t="str" cm="1">
        <f t="array" ref="D647">IF(ROWS($D$7:D647)&gt;COUNTIF('[1]U$S'!$H$5:$H$1008,$L$5),"",INDEX(CuentaUS,_xlfn.AGGREGATE(15,6,ROW('[1]U$S'!$H$5:$H$1008)-ROW('[1]U$S'!$O$5)+1/--('[1]U$S'!$H$5:$H$1008=$L$5),ROWS($D$7:D647)),1))</f>
        <v/>
      </c>
      <c r="E647" s="22" t="str" cm="1">
        <f t="array" ref="E647">IF(ROWS($E$7:E647)&gt;COUNTIF('[1]U$S'!$H$5:$H$1008,$L$5),"",INDEX(CuentaUS,_xlfn.AGGREGATE(15,6,ROW('[1]U$S'!$H$5:$H$1008)-ROW('[1]U$S'!$O$5)+1/--('[1]U$S'!$H$5:$H$1008=$L$5),ROWS($E$7:E647)),6))</f>
        <v/>
      </c>
      <c r="F647" s="22" t="str">
        <f>IF(E647="","",IF(E647&gt;0,SUMIFS('[1]UY$'!$L$5:$L$993,'[1]UY$'!$O$5:$O$993,"Cambio",'[1]UY$'!$E$5:$E$993,'Efecto TC'!D647),""))</f>
        <v/>
      </c>
      <c r="G647" s="23" t="str">
        <f t="shared" si="78"/>
        <v/>
      </c>
      <c r="H647" s="22" t="str">
        <f t="shared" si="79"/>
        <v/>
      </c>
      <c r="I647" s="54" t="str">
        <f t="shared" si="76"/>
        <v/>
      </c>
      <c r="R647" s="24" t="e">
        <f t="shared" si="80"/>
        <v>#VALUE!</v>
      </c>
      <c r="S647" s="25" t="e">
        <f t="shared" si="77"/>
        <v>#VALUE!</v>
      </c>
    </row>
    <row r="648" spans="1:19" x14ac:dyDescent="0.25">
      <c r="A648" t="e">
        <f t="shared" si="81"/>
        <v>#VALUE!</v>
      </c>
      <c r="B648" t="e">
        <f t="shared" si="82"/>
        <v>#VALUE!</v>
      </c>
      <c r="D648" s="21" t="str" cm="1">
        <f t="array" ref="D648">IF(ROWS($D$7:D648)&gt;COUNTIF('[1]U$S'!$H$5:$H$1008,$L$5),"",INDEX(CuentaUS,_xlfn.AGGREGATE(15,6,ROW('[1]U$S'!$H$5:$H$1008)-ROW('[1]U$S'!$O$5)+1/--('[1]U$S'!$H$5:$H$1008=$L$5),ROWS($D$7:D648)),1))</f>
        <v/>
      </c>
      <c r="E648" s="22" t="str" cm="1">
        <f t="array" ref="E648">IF(ROWS($E$7:E648)&gt;COUNTIF('[1]U$S'!$H$5:$H$1008,$L$5),"",INDEX(CuentaUS,_xlfn.AGGREGATE(15,6,ROW('[1]U$S'!$H$5:$H$1008)-ROW('[1]U$S'!$O$5)+1/--('[1]U$S'!$H$5:$H$1008=$L$5),ROWS($E$7:E648)),6))</f>
        <v/>
      </c>
      <c r="F648" s="22" t="str">
        <f>IF(E648="","",IF(E648&gt;0,SUMIFS('[1]UY$'!$L$5:$L$993,'[1]UY$'!$O$5:$O$993,"Cambio",'[1]UY$'!$E$5:$E$993,'Efecto TC'!D648),""))</f>
        <v/>
      </c>
      <c r="G648" s="23" t="str">
        <f t="shared" si="78"/>
        <v/>
      </c>
      <c r="H648" s="22" t="str">
        <f t="shared" si="79"/>
        <v/>
      </c>
      <c r="I648" s="54" t="str">
        <f t="shared" si="76"/>
        <v/>
      </c>
      <c r="R648" s="24" t="e">
        <f t="shared" si="80"/>
        <v>#VALUE!</v>
      </c>
      <c r="S648" s="25" t="e">
        <f t="shared" si="77"/>
        <v>#VALUE!</v>
      </c>
    </row>
    <row r="649" spans="1:19" x14ac:dyDescent="0.25">
      <c r="A649" t="e">
        <f t="shared" si="81"/>
        <v>#VALUE!</v>
      </c>
      <c r="B649" t="e">
        <f t="shared" si="82"/>
        <v>#VALUE!</v>
      </c>
      <c r="D649" s="21" t="str" cm="1">
        <f t="array" ref="D649">IF(ROWS($D$7:D649)&gt;COUNTIF('[1]U$S'!$H$5:$H$1008,$L$5),"",INDEX(CuentaUS,_xlfn.AGGREGATE(15,6,ROW('[1]U$S'!$H$5:$H$1008)-ROW('[1]U$S'!$O$5)+1/--('[1]U$S'!$H$5:$H$1008=$L$5),ROWS($D$7:D649)),1))</f>
        <v/>
      </c>
      <c r="E649" s="22" t="str" cm="1">
        <f t="array" ref="E649">IF(ROWS($E$7:E649)&gt;COUNTIF('[1]U$S'!$H$5:$H$1008,$L$5),"",INDEX(CuentaUS,_xlfn.AGGREGATE(15,6,ROW('[1]U$S'!$H$5:$H$1008)-ROW('[1]U$S'!$O$5)+1/--('[1]U$S'!$H$5:$H$1008=$L$5),ROWS($E$7:E649)),6))</f>
        <v/>
      </c>
      <c r="F649" s="22" t="str">
        <f>IF(E649="","",IF(E649&gt;0,SUMIFS('[1]UY$'!$L$5:$L$993,'[1]UY$'!$O$5:$O$993,"Cambio",'[1]UY$'!$E$5:$E$993,'Efecto TC'!D649),""))</f>
        <v/>
      </c>
      <c r="G649" s="23" t="str">
        <f t="shared" si="78"/>
        <v/>
      </c>
      <c r="H649" s="22" t="str">
        <f t="shared" si="79"/>
        <v/>
      </c>
      <c r="I649" s="54" t="str">
        <f t="shared" si="76"/>
        <v/>
      </c>
      <c r="R649" s="24" t="e">
        <f t="shared" si="80"/>
        <v>#VALUE!</v>
      </c>
      <c r="S649" s="25" t="e">
        <f t="shared" si="77"/>
        <v>#VALUE!</v>
      </c>
    </row>
    <row r="650" spans="1:19" x14ac:dyDescent="0.25">
      <c r="A650" t="e">
        <f t="shared" si="81"/>
        <v>#VALUE!</v>
      </c>
      <c r="B650" t="e">
        <f t="shared" si="82"/>
        <v>#VALUE!</v>
      </c>
      <c r="D650" s="21" t="str" cm="1">
        <f t="array" ref="D650">IF(ROWS($D$7:D650)&gt;COUNTIF('[1]U$S'!$H$5:$H$1008,$L$5),"",INDEX(CuentaUS,_xlfn.AGGREGATE(15,6,ROW('[1]U$S'!$H$5:$H$1008)-ROW('[1]U$S'!$O$5)+1/--('[1]U$S'!$H$5:$H$1008=$L$5),ROWS($D$7:D650)),1))</f>
        <v/>
      </c>
      <c r="E650" s="22" t="str" cm="1">
        <f t="array" ref="E650">IF(ROWS($E$7:E650)&gt;COUNTIF('[1]U$S'!$H$5:$H$1008,$L$5),"",INDEX(CuentaUS,_xlfn.AGGREGATE(15,6,ROW('[1]U$S'!$H$5:$H$1008)-ROW('[1]U$S'!$O$5)+1/--('[1]U$S'!$H$5:$H$1008=$L$5),ROWS($E$7:E650)),6))</f>
        <v/>
      </c>
      <c r="F650" s="22" t="str">
        <f>IF(E650="","",IF(E650&gt;0,SUMIFS('[1]UY$'!$L$5:$L$993,'[1]UY$'!$O$5:$O$993,"Cambio",'[1]UY$'!$E$5:$E$993,'Efecto TC'!D650),""))</f>
        <v/>
      </c>
      <c r="G650" s="23" t="str">
        <f t="shared" si="78"/>
        <v/>
      </c>
      <c r="H650" s="22" t="str">
        <f t="shared" si="79"/>
        <v/>
      </c>
      <c r="I650" s="54" t="str">
        <f t="shared" ref="I650:I713" si="83">IF(H650="","",+H650+I649)</f>
        <v/>
      </c>
      <c r="R650" s="24" t="e">
        <f t="shared" si="80"/>
        <v>#VALUE!</v>
      </c>
      <c r="S650" s="25" t="e">
        <f t="shared" si="77"/>
        <v>#VALUE!</v>
      </c>
    </row>
    <row r="651" spans="1:19" x14ac:dyDescent="0.25">
      <c r="A651" t="e">
        <f t="shared" si="81"/>
        <v>#VALUE!</v>
      </c>
      <c r="B651" t="e">
        <f t="shared" si="82"/>
        <v>#VALUE!</v>
      </c>
      <c r="D651" s="21" t="str" cm="1">
        <f t="array" ref="D651">IF(ROWS($D$7:D651)&gt;COUNTIF('[1]U$S'!$H$5:$H$1008,$L$5),"",INDEX(CuentaUS,_xlfn.AGGREGATE(15,6,ROW('[1]U$S'!$H$5:$H$1008)-ROW('[1]U$S'!$O$5)+1/--('[1]U$S'!$H$5:$H$1008=$L$5),ROWS($D$7:D651)),1))</f>
        <v/>
      </c>
      <c r="E651" s="22" t="str" cm="1">
        <f t="array" ref="E651">IF(ROWS($E$7:E651)&gt;COUNTIF('[1]U$S'!$H$5:$H$1008,$L$5),"",INDEX(CuentaUS,_xlfn.AGGREGATE(15,6,ROW('[1]U$S'!$H$5:$H$1008)-ROW('[1]U$S'!$O$5)+1/--('[1]U$S'!$H$5:$H$1008=$L$5),ROWS($E$7:E651)),6))</f>
        <v/>
      </c>
      <c r="F651" s="22" t="str">
        <f>IF(E651="","",IF(E651&gt;0,SUMIFS('[1]UY$'!$L$5:$L$993,'[1]UY$'!$O$5:$O$993,"Cambio",'[1]UY$'!$E$5:$E$993,'Efecto TC'!D651),""))</f>
        <v/>
      </c>
      <c r="G651" s="23" t="str">
        <f t="shared" si="78"/>
        <v/>
      </c>
      <c r="H651" s="22" t="str">
        <f t="shared" si="79"/>
        <v/>
      </c>
      <c r="I651" s="54" t="str">
        <f t="shared" si="83"/>
        <v/>
      </c>
      <c r="R651" s="24" t="e">
        <f t="shared" si="80"/>
        <v>#VALUE!</v>
      </c>
      <c r="S651" s="25" t="e">
        <f t="shared" si="77"/>
        <v>#VALUE!</v>
      </c>
    </row>
    <row r="652" spans="1:19" x14ac:dyDescent="0.25">
      <c r="A652" t="e">
        <f t="shared" si="81"/>
        <v>#VALUE!</v>
      </c>
      <c r="B652" t="e">
        <f t="shared" si="82"/>
        <v>#VALUE!</v>
      </c>
      <c r="D652" s="21" t="str" cm="1">
        <f t="array" ref="D652">IF(ROWS($D$7:D652)&gt;COUNTIF('[1]U$S'!$H$5:$H$1008,$L$5),"",INDEX(CuentaUS,_xlfn.AGGREGATE(15,6,ROW('[1]U$S'!$H$5:$H$1008)-ROW('[1]U$S'!$O$5)+1/--('[1]U$S'!$H$5:$H$1008=$L$5),ROWS($D$7:D652)),1))</f>
        <v/>
      </c>
      <c r="E652" s="22" t="str" cm="1">
        <f t="array" ref="E652">IF(ROWS($E$7:E652)&gt;COUNTIF('[1]U$S'!$H$5:$H$1008,$L$5),"",INDEX(CuentaUS,_xlfn.AGGREGATE(15,6,ROW('[1]U$S'!$H$5:$H$1008)-ROW('[1]U$S'!$O$5)+1/--('[1]U$S'!$H$5:$H$1008=$L$5),ROWS($E$7:E652)),6))</f>
        <v/>
      </c>
      <c r="F652" s="22" t="str">
        <f>IF(E652="","",IF(E652&gt;0,SUMIFS('[1]UY$'!$L$5:$L$993,'[1]UY$'!$O$5:$O$993,"Cambio",'[1]UY$'!$E$5:$E$993,'Efecto TC'!D652),""))</f>
        <v/>
      </c>
      <c r="G652" s="23" t="str">
        <f t="shared" si="78"/>
        <v/>
      </c>
      <c r="H652" s="22" t="str">
        <f t="shared" si="79"/>
        <v/>
      </c>
      <c r="I652" s="54" t="str">
        <f t="shared" si="83"/>
        <v/>
      </c>
      <c r="R652" s="24" t="e">
        <f t="shared" si="80"/>
        <v>#VALUE!</v>
      </c>
      <c r="S652" s="25" t="e">
        <f t="shared" si="77"/>
        <v>#VALUE!</v>
      </c>
    </row>
    <row r="653" spans="1:19" x14ac:dyDescent="0.25">
      <c r="A653" t="e">
        <f t="shared" si="81"/>
        <v>#VALUE!</v>
      </c>
      <c r="B653" t="e">
        <f t="shared" si="82"/>
        <v>#VALUE!</v>
      </c>
      <c r="D653" s="21" t="str" cm="1">
        <f t="array" ref="D653">IF(ROWS($D$7:D653)&gt;COUNTIF('[1]U$S'!$H$5:$H$1008,$L$5),"",INDEX(CuentaUS,_xlfn.AGGREGATE(15,6,ROW('[1]U$S'!$H$5:$H$1008)-ROW('[1]U$S'!$O$5)+1/--('[1]U$S'!$H$5:$H$1008=$L$5),ROWS($D$7:D653)),1))</f>
        <v/>
      </c>
      <c r="E653" s="22" t="str" cm="1">
        <f t="array" ref="E653">IF(ROWS($E$7:E653)&gt;COUNTIF('[1]U$S'!$H$5:$H$1008,$L$5),"",INDEX(CuentaUS,_xlfn.AGGREGATE(15,6,ROW('[1]U$S'!$H$5:$H$1008)-ROW('[1]U$S'!$O$5)+1/--('[1]U$S'!$H$5:$H$1008=$L$5),ROWS($E$7:E653)),6))</f>
        <v/>
      </c>
      <c r="F653" s="22" t="str">
        <f>IF(E653="","",IF(E653&gt;0,SUMIFS('[1]UY$'!$L$5:$L$993,'[1]UY$'!$O$5:$O$993,"Cambio",'[1]UY$'!$E$5:$E$993,'Efecto TC'!D653),""))</f>
        <v/>
      </c>
      <c r="G653" s="23" t="str">
        <f t="shared" si="78"/>
        <v/>
      </c>
      <c r="H653" s="22" t="str">
        <f t="shared" si="79"/>
        <v/>
      </c>
      <c r="I653" s="54" t="str">
        <f t="shared" si="83"/>
        <v/>
      </c>
      <c r="R653" s="24" t="e">
        <f t="shared" si="80"/>
        <v>#VALUE!</v>
      </c>
      <c r="S653" s="25" t="e">
        <f t="shared" si="77"/>
        <v>#VALUE!</v>
      </c>
    </row>
    <row r="654" spans="1:19" x14ac:dyDescent="0.25">
      <c r="A654" t="e">
        <f t="shared" si="81"/>
        <v>#VALUE!</v>
      </c>
      <c r="B654" t="e">
        <f t="shared" si="82"/>
        <v>#VALUE!</v>
      </c>
      <c r="D654" s="21" t="str" cm="1">
        <f t="array" ref="D654">IF(ROWS($D$7:D654)&gt;COUNTIF('[1]U$S'!$H$5:$H$1008,$L$5),"",INDEX(CuentaUS,_xlfn.AGGREGATE(15,6,ROW('[1]U$S'!$H$5:$H$1008)-ROW('[1]U$S'!$O$5)+1/--('[1]U$S'!$H$5:$H$1008=$L$5),ROWS($D$7:D654)),1))</f>
        <v/>
      </c>
      <c r="E654" s="22" t="str" cm="1">
        <f t="array" ref="E654">IF(ROWS($E$7:E654)&gt;COUNTIF('[1]U$S'!$H$5:$H$1008,$L$5),"",INDEX(CuentaUS,_xlfn.AGGREGATE(15,6,ROW('[1]U$S'!$H$5:$H$1008)-ROW('[1]U$S'!$O$5)+1/--('[1]U$S'!$H$5:$H$1008=$L$5),ROWS($E$7:E654)),6))</f>
        <v/>
      </c>
      <c r="F654" s="22" t="str">
        <f>IF(E654="","",IF(E654&gt;0,SUMIFS('[1]UY$'!$L$5:$L$993,'[1]UY$'!$O$5:$O$993,"Cambio",'[1]UY$'!$E$5:$E$993,'Efecto TC'!D654),""))</f>
        <v/>
      </c>
      <c r="G654" s="23" t="str">
        <f t="shared" si="78"/>
        <v/>
      </c>
      <c r="H654" s="22" t="str">
        <f t="shared" si="79"/>
        <v/>
      </c>
      <c r="I654" s="54" t="str">
        <f t="shared" si="83"/>
        <v/>
      </c>
      <c r="R654" s="24" t="e">
        <f t="shared" si="80"/>
        <v>#VALUE!</v>
      </c>
      <c r="S654" s="25" t="e">
        <f t="shared" si="77"/>
        <v>#VALUE!</v>
      </c>
    </row>
    <row r="655" spans="1:19" x14ac:dyDescent="0.25">
      <c r="A655" t="e">
        <f t="shared" si="81"/>
        <v>#VALUE!</v>
      </c>
      <c r="B655" t="e">
        <f t="shared" si="82"/>
        <v>#VALUE!</v>
      </c>
      <c r="D655" s="21" t="str" cm="1">
        <f t="array" ref="D655">IF(ROWS($D$7:D655)&gt;COUNTIF('[1]U$S'!$H$5:$H$1008,$L$5),"",INDEX(CuentaUS,_xlfn.AGGREGATE(15,6,ROW('[1]U$S'!$H$5:$H$1008)-ROW('[1]U$S'!$O$5)+1/--('[1]U$S'!$H$5:$H$1008=$L$5),ROWS($D$7:D655)),1))</f>
        <v/>
      </c>
      <c r="E655" s="22" t="str" cm="1">
        <f t="array" ref="E655">IF(ROWS($E$7:E655)&gt;COUNTIF('[1]U$S'!$H$5:$H$1008,$L$5),"",INDEX(CuentaUS,_xlfn.AGGREGATE(15,6,ROW('[1]U$S'!$H$5:$H$1008)-ROW('[1]U$S'!$O$5)+1/--('[1]U$S'!$H$5:$H$1008=$L$5),ROWS($E$7:E655)),6))</f>
        <v/>
      </c>
      <c r="F655" s="22" t="str">
        <f>IF(E655="","",IF(E655&gt;0,SUMIFS('[1]UY$'!$L$5:$L$993,'[1]UY$'!$O$5:$O$993,"Cambio",'[1]UY$'!$E$5:$E$993,'Efecto TC'!D655),""))</f>
        <v/>
      </c>
      <c r="G655" s="23" t="str">
        <f t="shared" si="78"/>
        <v/>
      </c>
      <c r="H655" s="22" t="str">
        <f t="shared" si="79"/>
        <v/>
      </c>
      <c r="I655" s="54" t="str">
        <f t="shared" si="83"/>
        <v/>
      </c>
      <c r="R655" s="24" t="e">
        <f t="shared" si="80"/>
        <v>#VALUE!</v>
      </c>
      <c r="S655" s="25" t="e">
        <f t="shared" si="77"/>
        <v>#VALUE!</v>
      </c>
    </row>
    <row r="656" spans="1:19" x14ac:dyDescent="0.25">
      <c r="A656" t="e">
        <f t="shared" si="81"/>
        <v>#VALUE!</v>
      </c>
      <c r="B656" t="e">
        <f t="shared" si="82"/>
        <v>#VALUE!</v>
      </c>
      <c r="D656" s="21" t="str" cm="1">
        <f t="array" ref="D656">IF(ROWS($D$7:D656)&gt;COUNTIF('[1]U$S'!$H$5:$H$1008,$L$5),"",INDEX(CuentaUS,_xlfn.AGGREGATE(15,6,ROW('[1]U$S'!$H$5:$H$1008)-ROW('[1]U$S'!$O$5)+1/--('[1]U$S'!$H$5:$H$1008=$L$5),ROWS($D$7:D656)),1))</f>
        <v/>
      </c>
      <c r="E656" s="22" t="str" cm="1">
        <f t="array" ref="E656">IF(ROWS($E$7:E656)&gt;COUNTIF('[1]U$S'!$H$5:$H$1008,$L$5),"",INDEX(CuentaUS,_xlfn.AGGREGATE(15,6,ROW('[1]U$S'!$H$5:$H$1008)-ROW('[1]U$S'!$O$5)+1/--('[1]U$S'!$H$5:$H$1008=$L$5),ROWS($E$7:E656)),6))</f>
        <v/>
      </c>
      <c r="F656" s="22" t="str">
        <f>IF(E656="","",IF(E656&gt;0,SUMIFS('[1]UY$'!$L$5:$L$993,'[1]UY$'!$O$5:$O$993,"Cambio",'[1]UY$'!$E$5:$E$993,'Efecto TC'!D656),""))</f>
        <v/>
      </c>
      <c r="G656" s="23" t="str">
        <f t="shared" si="78"/>
        <v/>
      </c>
      <c r="H656" s="22" t="str">
        <f t="shared" si="79"/>
        <v/>
      </c>
      <c r="I656" s="54" t="str">
        <f t="shared" si="83"/>
        <v/>
      </c>
      <c r="R656" s="24" t="e">
        <f t="shared" si="80"/>
        <v>#VALUE!</v>
      </c>
      <c r="S656" s="25" t="e">
        <f t="shared" si="77"/>
        <v>#VALUE!</v>
      </c>
    </row>
    <row r="657" spans="1:19" x14ac:dyDescent="0.25">
      <c r="A657" t="e">
        <f t="shared" si="81"/>
        <v>#VALUE!</v>
      </c>
      <c r="B657" t="e">
        <f t="shared" si="82"/>
        <v>#VALUE!</v>
      </c>
      <c r="D657" s="21" t="str" cm="1">
        <f t="array" ref="D657">IF(ROWS($D$7:D657)&gt;COUNTIF('[1]U$S'!$H$5:$H$1008,$L$5),"",INDEX(CuentaUS,_xlfn.AGGREGATE(15,6,ROW('[1]U$S'!$H$5:$H$1008)-ROW('[1]U$S'!$O$5)+1/--('[1]U$S'!$H$5:$H$1008=$L$5),ROWS($D$7:D657)),1))</f>
        <v/>
      </c>
      <c r="E657" s="22" t="str" cm="1">
        <f t="array" ref="E657">IF(ROWS($E$7:E657)&gt;COUNTIF('[1]U$S'!$H$5:$H$1008,$L$5),"",INDEX(CuentaUS,_xlfn.AGGREGATE(15,6,ROW('[1]U$S'!$H$5:$H$1008)-ROW('[1]U$S'!$O$5)+1/--('[1]U$S'!$H$5:$H$1008=$L$5),ROWS($E$7:E657)),6))</f>
        <v/>
      </c>
      <c r="F657" s="22" t="str">
        <f>IF(E657="","",IF(E657&gt;0,SUMIFS('[1]UY$'!$L$5:$L$993,'[1]UY$'!$O$5:$O$993,"Cambio",'[1]UY$'!$E$5:$E$993,'Efecto TC'!D657),""))</f>
        <v/>
      </c>
      <c r="G657" s="23" t="str">
        <f t="shared" si="78"/>
        <v/>
      </c>
      <c r="H657" s="22" t="str">
        <f t="shared" si="79"/>
        <v/>
      </c>
      <c r="I657" s="54" t="str">
        <f t="shared" si="83"/>
        <v/>
      </c>
      <c r="R657" s="24" t="e">
        <f t="shared" si="80"/>
        <v>#VALUE!</v>
      </c>
      <c r="S657" s="25" t="e">
        <f t="shared" si="77"/>
        <v>#VALUE!</v>
      </c>
    </row>
    <row r="658" spans="1:19" x14ac:dyDescent="0.25">
      <c r="A658" t="e">
        <f t="shared" si="81"/>
        <v>#VALUE!</v>
      </c>
      <c r="B658" t="e">
        <f t="shared" si="82"/>
        <v>#VALUE!</v>
      </c>
      <c r="D658" s="21" t="str" cm="1">
        <f t="array" ref="D658">IF(ROWS($D$7:D658)&gt;COUNTIF('[1]U$S'!$H$5:$H$1008,$L$5),"",INDEX(CuentaUS,_xlfn.AGGREGATE(15,6,ROW('[1]U$S'!$H$5:$H$1008)-ROW('[1]U$S'!$O$5)+1/--('[1]U$S'!$H$5:$H$1008=$L$5),ROWS($D$7:D658)),1))</f>
        <v/>
      </c>
      <c r="E658" s="22" t="str" cm="1">
        <f t="array" ref="E658">IF(ROWS($E$7:E658)&gt;COUNTIF('[1]U$S'!$H$5:$H$1008,$L$5),"",INDEX(CuentaUS,_xlfn.AGGREGATE(15,6,ROW('[1]U$S'!$H$5:$H$1008)-ROW('[1]U$S'!$O$5)+1/--('[1]U$S'!$H$5:$H$1008=$L$5),ROWS($E$7:E658)),6))</f>
        <v/>
      </c>
      <c r="F658" s="22" t="str">
        <f>IF(E658="","",IF(E658&gt;0,SUMIFS('[1]UY$'!$L$5:$L$993,'[1]UY$'!$O$5:$O$993,"Cambio",'[1]UY$'!$E$5:$E$993,'Efecto TC'!D658),""))</f>
        <v/>
      </c>
      <c r="G658" s="23" t="str">
        <f t="shared" si="78"/>
        <v/>
      </c>
      <c r="H658" s="22" t="str">
        <f t="shared" si="79"/>
        <v/>
      </c>
      <c r="I658" s="54" t="str">
        <f t="shared" si="83"/>
        <v/>
      </c>
      <c r="R658" s="24" t="e">
        <f t="shared" si="80"/>
        <v>#VALUE!</v>
      </c>
      <c r="S658" s="25" t="e">
        <f t="shared" si="77"/>
        <v>#VALUE!</v>
      </c>
    </row>
    <row r="659" spans="1:19" x14ac:dyDescent="0.25">
      <c r="A659" t="e">
        <f t="shared" si="81"/>
        <v>#VALUE!</v>
      </c>
      <c r="B659" t="e">
        <f t="shared" si="82"/>
        <v>#VALUE!</v>
      </c>
      <c r="D659" s="21" t="str" cm="1">
        <f t="array" ref="D659">IF(ROWS($D$7:D659)&gt;COUNTIF('[1]U$S'!$H$5:$H$1008,$L$5),"",INDEX(CuentaUS,_xlfn.AGGREGATE(15,6,ROW('[1]U$S'!$H$5:$H$1008)-ROW('[1]U$S'!$O$5)+1/--('[1]U$S'!$H$5:$H$1008=$L$5),ROWS($D$7:D659)),1))</f>
        <v/>
      </c>
      <c r="E659" s="22" t="str" cm="1">
        <f t="array" ref="E659">IF(ROWS($E$7:E659)&gt;COUNTIF('[1]U$S'!$H$5:$H$1008,$L$5),"",INDEX(CuentaUS,_xlfn.AGGREGATE(15,6,ROW('[1]U$S'!$H$5:$H$1008)-ROW('[1]U$S'!$O$5)+1/--('[1]U$S'!$H$5:$H$1008=$L$5),ROWS($E$7:E659)),6))</f>
        <v/>
      </c>
      <c r="F659" s="22" t="str">
        <f>IF(E659="","",IF(E659&gt;0,SUMIFS('[1]UY$'!$L$5:$L$993,'[1]UY$'!$O$5:$O$993,"Cambio",'[1]UY$'!$E$5:$E$993,'Efecto TC'!D659),""))</f>
        <v/>
      </c>
      <c r="G659" s="23" t="str">
        <f t="shared" si="78"/>
        <v/>
      </c>
      <c r="H659" s="22" t="str">
        <f t="shared" si="79"/>
        <v/>
      </c>
      <c r="I659" s="54" t="str">
        <f t="shared" si="83"/>
        <v/>
      </c>
      <c r="R659" s="24" t="e">
        <f t="shared" si="80"/>
        <v>#VALUE!</v>
      </c>
      <c r="S659" s="25" t="e">
        <f t="shared" si="77"/>
        <v>#VALUE!</v>
      </c>
    </row>
    <row r="660" spans="1:19" x14ac:dyDescent="0.25">
      <c r="A660" t="e">
        <f t="shared" si="81"/>
        <v>#VALUE!</v>
      </c>
      <c r="B660" t="e">
        <f t="shared" si="82"/>
        <v>#VALUE!</v>
      </c>
      <c r="D660" s="21" t="str" cm="1">
        <f t="array" ref="D660">IF(ROWS($D$7:D660)&gt;COUNTIF('[1]U$S'!$H$5:$H$1008,$L$5),"",INDEX(CuentaUS,_xlfn.AGGREGATE(15,6,ROW('[1]U$S'!$H$5:$H$1008)-ROW('[1]U$S'!$O$5)+1/--('[1]U$S'!$H$5:$H$1008=$L$5),ROWS($D$7:D660)),1))</f>
        <v/>
      </c>
      <c r="E660" s="22" t="str" cm="1">
        <f t="array" ref="E660">IF(ROWS($E$7:E660)&gt;COUNTIF('[1]U$S'!$H$5:$H$1008,$L$5),"",INDEX(CuentaUS,_xlfn.AGGREGATE(15,6,ROW('[1]U$S'!$H$5:$H$1008)-ROW('[1]U$S'!$O$5)+1/--('[1]U$S'!$H$5:$H$1008=$L$5),ROWS($E$7:E660)),6))</f>
        <v/>
      </c>
      <c r="F660" s="22" t="str">
        <f>IF(E660="","",IF(E660&gt;0,SUMIFS('[1]UY$'!$L$5:$L$993,'[1]UY$'!$O$5:$O$993,"Cambio",'[1]UY$'!$E$5:$E$993,'Efecto TC'!D660),""))</f>
        <v/>
      </c>
      <c r="G660" s="23" t="str">
        <f t="shared" si="78"/>
        <v/>
      </c>
      <c r="H660" s="22" t="str">
        <f t="shared" si="79"/>
        <v/>
      </c>
      <c r="I660" s="54" t="str">
        <f t="shared" si="83"/>
        <v/>
      </c>
      <c r="R660" s="24" t="e">
        <f t="shared" si="80"/>
        <v>#VALUE!</v>
      </c>
      <c r="S660" s="25" t="e">
        <f t="shared" si="77"/>
        <v>#VALUE!</v>
      </c>
    </row>
    <row r="661" spans="1:19" x14ac:dyDescent="0.25">
      <c r="A661" t="e">
        <f t="shared" si="81"/>
        <v>#VALUE!</v>
      </c>
      <c r="B661" t="e">
        <f t="shared" si="82"/>
        <v>#VALUE!</v>
      </c>
      <c r="D661" s="21" t="str" cm="1">
        <f t="array" ref="D661">IF(ROWS($D$7:D661)&gt;COUNTIF('[1]U$S'!$H$5:$H$1008,$L$5),"",INDEX(CuentaUS,_xlfn.AGGREGATE(15,6,ROW('[1]U$S'!$H$5:$H$1008)-ROW('[1]U$S'!$O$5)+1/--('[1]U$S'!$H$5:$H$1008=$L$5),ROWS($D$7:D661)),1))</f>
        <v/>
      </c>
      <c r="E661" s="22" t="str" cm="1">
        <f t="array" ref="E661">IF(ROWS($E$7:E661)&gt;COUNTIF('[1]U$S'!$H$5:$H$1008,$L$5),"",INDEX(CuentaUS,_xlfn.AGGREGATE(15,6,ROW('[1]U$S'!$H$5:$H$1008)-ROW('[1]U$S'!$O$5)+1/--('[1]U$S'!$H$5:$H$1008=$L$5),ROWS($E$7:E661)),6))</f>
        <v/>
      </c>
      <c r="F661" s="22" t="str">
        <f>IF(E661="","",IF(E661&gt;0,SUMIFS('[1]UY$'!$L$5:$L$993,'[1]UY$'!$O$5:$O$993,"Cambio",'[1]UY$'!$E$5:$E$993,'Efecto TC'!D661),""))</f>
        <v/>
      </c>
      <c r="G661" s="23" t="str">
        <f t="shared" si="78"/>
        <v/>
      </c>
      <c r="H661" s="22" t="str">
        <f t="shared" si="79"/>
        <v/>
      </c>
      <c r="I661" s="54" t="str">
        <f t="shared" si="83"/>
        <v/>
      </c>
      <c r="R661" s="24" t="e">
        <f t="shared" si="80"/>
        <v>#VALUE!</v>
      </c>
      <c r="S661" s="25" t="e">
        <f t="shared" si="77"/>
        <v>#VALUE!</v>
      </c>
    </row>
    <row r="662" spans="1:19" x14ac:dyDescent="0.25">
      <c r="A662" t="e">
        <f t="shared" si="81"/>
        <v>#VALUE!</v>
      </c>
      <c r="B662" t="e">
        <f t="shared" si="82"/>
        <v>#VALUE!</v>
      </c>
      <c r="D662" s="21" t="str" cm="1">
        <f t="array" ref="D662">IF(ROWS($D$7:D662)&gt;COUNTIF('[1]U$S'!$H$5:$H$1008,$L$5),"",INDEX(CuentaUS,_xlfn.AGGREGATE(15,6,ROW('[1]U$S'!$H$5:$H$1008)-ROW('[1]U$S'!$O$5)+1/--('[1]U$S'!$H$5:$H$1008=$L$5),ROWS($D$7:D662)),1))</f>
        <v/>
      </c>
      <c r="E662" s="22" t="str" cm="1">
        <f t="array" ref="E662">IF(ROWS($E$7:E662)&gt;COUNTIF('[1]U$S'!$H$5:$H$1008,$L$5),"",INDEX(CuentaUS,_xlfn.AGGREGATE(15,6,ROW('[1]U$S'!$H$5:$H$1008)-ROW('[1]U$S'!$O$5)+1/--('[1]U$S'!$H$5:$H$1008=$L$5),ROWS($E$7:E662)),6))</f>
        <v/>
      </c>
      <c r="F662" s="22" t="str">
        <f>IF(E662="","",IF(E662&gt;0,SUMIFS('[1]UY$'!$L$5:$L$993,'[1]UY$'!$O$5:$O$993,"Cambio",'[1]UY$'!$E$5:$E$993,'Efecto TC'!D662),""))</f>
        <v/>
      </c>
      <c r="G662" s="23" t="str">
        <f t="shared" si="78"/>
        <v/>
      </c>
      <c r="H662" s="22" t="str">
        <f t="shared" si="79"/>
        <v/>
      </c>
      <c r="I662" s="54" t="str">
        <f t="shared" si="83"/>
        <v/>
      </c>
      <c r="R662" s="24" t="e">
        <f t="shared" si="80"/>
        <v>#VALUE!</v>
      </c>
      <c r="S662" s="25" t="e">
        <f t="shared" si="77"/>
        <v>#VALUE!</v>
      </c>
    </row>
    <row r="663" spans="1:19" x14ac:dyDescent="0.25">
      <c r="A663" t="e">
        <f t="shared" si="81"/>
        <v>#VALUE!</v>
      </c>
      <c r="B663" t="e">
        <f t="shared" si="82"/>
        <v>#VALUE!</v>
      </c>
      <c r="D663" s="21" t="str" cm="1">
        <f t="array" ref="D663">IF(ROWS($D$7:D663)&gt;COUNTIF('[1]U$S'!$H$5:$H$1008,$L$5),"",INDEX(CuentaUS,_xlfn.AGGREGATE(15,6,ROW('[1]U$S'!$H$5:$H$1008)-ROW('[1]U$S'!$O$5)+1/--('[1]U$S'!$H$5:$H$1008=$L$5),ROWS($D$7:D663)),1))</f>
        <v/>
      </c>
      <c r="E663" s="22" t="str" cm="1">
        <f t="array" ref="E663">IF(ROWS($E$7:E663)&gt;COUNTIF('[1]U$S'!$H$5:$H$1008,$L$5),"",INDEX(CuentaUS,_xlfn.AGGREGATE(15,6,ROW('[1]U$S'!$H$5:$H$1008)-ROW('[1]U$S'!$O$5)+1/--('[1]U$S'!$H$5:$H$1008=$L$5),ROWS($E$7:E663)),6))</f>
        <v/>
      </c>
      <c r="F663" s="22" t="str">
        <f>IF(E663="","",IF(E663&gt;0,SUMIFS('[1]UY$'!$L$5:$L$993,'[1]UY$'!$O$5:$O$993,"Cambio",'[1]UY$'!$E$5:$E$993,'Efecto TC'!D663),""))</f>
        <v/>
      </c>
      <c r="G663" s="23" t="str">
        <f t="shared" si="78"/>
        <v/>
      </c>
      <c r="H663" s="22" t="str">
        <f t="shared" si="79"/>
        <v/>
      </c>
      <c r="I663" s="54" t="str">
        <f t="shared" si="83"/>
        <v/>
      </c>
      <c r="R663" s="24" t="e">
        <f t="shared" si="80"/>
        <v>#VALUE!</v>
      </c>
      <c r="S663" s="25" t="e">
        <f t="shared" si="77"/>
        <v>#VALUE!</v>
      </c>
    </row>
    <row r="664" spans="1:19" x14ac:dyDescent="0.25">
      <c r="A664" t="e">
        <f t="shared" si="81"/>
        <v>#VALUE!</v>
      </c>
      <c r="B664" t="e">
        <f t="shared" si="82"/>
        <v>#VALUE!</v>
      </c>
      <c r="D664" s="21" t="str" cm="1">
        <f t="array" ref="D664">IF(ROWS($D$7:D664)&gt;COUNTIF('[1]U$S'!$H$5:$H$1008,$L$5),"",INDEX(CuentaUS,_xlfn.AGGREGATE(15,6,ROW('[1]U$S'!$H$5:$H$1008)-ROW('[1]U$S'!$O$5)+1/--('[1]U$S'!$H$5:$H$1008=$L$5),ROWS($D$7:D664)),1))</f>
        <v/>
      </c>
      <c r="E664" s="22" t="str" cm="1">
        <f t="array" ref="E664">IF(ROWS($E$7:E664)&gt;COUNTIF('[1]U$S'!$H$5:$H$1008,$L$5),"",INDEX(CuentaUS,_xlfn.AGGREGATE(15,6,ROW('[1]U$S'!$H$5:$H$1008)-ROW('[1]U$S'!$O$5)+1/--('[1]U$S'!$H$5:$H$1008=$L$5),ROWS($E$7:E664)),6))</f>
        <v/>
      </c>
      <c r="F664" s="22" t="str">
        <f>IF(E664="","",IF(E664&gt;0,SUMIFS('[1]UY$'!$L$5:$L$993,'[1]UY$'!$O$5:$O$993,"Cambio",'[1]UY$'!$E$5:$E$993,'Efecto TC'!D664),""))</f>
        <v/>
      </c>
      <c r="G664" s="23" t="str">
        <f t="shared" si="78"/>
        <v/>
      </c>
      <c r="H664" s="22" t="str">
        <f t="shared" si="79"/>
        <v/>
      </c>
      <c r="I664" s="54" t="str">
        <f t="shared" si="83"/>
        <v/>
      </c>
      <c r="R664" s="24" t="e">
        <f t="shared" si="80"/>
        <v>#VALUE!</v>
      </c>
      <c r="S664" s="25" t="e">
        <f t="shared" si="77"/>
        <v>#VALUE!</v>
      </c>
    </row>
    <row r="665" spans="1:19" x14ac:dyDescent="0.25">
      <c r="A665" t="e">
        <f t="shared" si="81"/>
        <v>#VALUE!</v>
      </c>
      <c r="B665" t="e">
        <f t="shared" si="82"/>
        <v>#VALUE!</v>
      </c>
      <c r="D665" s="21" t="str" cm="1">
        <f t="array" ref="D665">IF(ROWS($D$7:D665)&gt;COUNTIF('[1]U$S'!$H$5:$H$1008,$L$5),"",INDEX(CuentaUS,_xlfn.AGGREGATE(15,6,ROW('[1]U$S'!$H$5:$H$1008)-ROW('[1]U$S'!$O$5)+1/--('[1]U$S'!$H$5:$H$1008=$L$5),ROWS($D$7:D665)),1))</f>
        <v/>
      </c>
      <c r="E665" s="22" t="str" cm="1">
        <f t="array" ref="E665">IF(ROWS($E$7:E665)&gt;COUNTIF('[1]U$S'!$H$5:$H$1008,$L$5),"",INDEX(CuentaUS,_xlfn.AGGREGATE(15,6,ROW('[1]U$S'!$H$5:$H$1008)-ROW('[1]U$S'!$O$5)+1/--('[1]U$S'!$H$5:$H$1008=$L$5),ROWS($E$7:E665)),6))</f>
        <v/>
      </c>
      <c r="F665" s="22" t="str">
        <f>IF(E665="","",IF(E665&gt;0,SUMIFS('[1]UY$'!$L$5:$L$993,'[1]UY$'!$O$5:$O$993,"Cambio",'[1]UY$'!$E$5:$E$993,'Efecto TC'!D665),""))</f>
        <v/>
      </c>
      <c r="G665" s="23" t="str">
        <f t="shared" si="78"/>
        <v/>
      </c>
      <c r="H665" s="22" t="str">
        <f t="shared" si="79"/>
        <v/>
      </c>
      <c r="I665" s="54" t="str">
        <f t="shared" si="83"/>
        <v/>
      </c>
      <c r="R665" s="24" t="e">
        <f t="shared" si="80"/>
        <v>#VALUE!</v>
      </c>
      <c r="S665" s="25" t="e">
        <f t="shared" si="77"/>
        <v>#VALUE!</v>
      </c>
    </row>
    <row r="666" spans="1:19" x14ac:dyDescent="0.25">
      <c r="A666" t="e">
        <f t="shared" si="81"/>
        <v>#VALUE!</v>
      </c>
      <c r="B666" t="e">
        <f t="shared" si="82"/>
        <v>#VALUE!</v>
      </c>
      <c r="D666" s="21" t="str" cm="1">
        <f t="array" ref="D666">IF(ROWS($D$7:D666)&gt;COUNTIF('[1]U$S'!$H$5:$H$1008,$L$5),"",INDEX(CuentaUS,_xlfn.AGGREGATE(15,6,ROW('[1]U$S'!$H$5:$H$1008)-ROW('[1]U$S'!$O$5)+1/--('[1]U$S'!$H$5:$H$1008=$L$5),ROWS($D$7:D666)),1))</f>
        <v/>
      </c>
      <c r="E666" s="22" t="str" cm="1">
        <f t="array" ref="E666">IF(ROWS($E$7:E666)&gt;COUNTIF('[1]U$S'!$H$5:$H$1008,$L$5),"",INDEX(CuentaUS,_xlfn.AGGREGATE(15,6,ROW('[1]U$S'!$H$5:$H$1008)-ROW('[1]U$S'!$O$5)+1/--('[1]U$S'!$H$5:$H$1008=$L$5),ROWS($E$7:E666)),6))</f>
        <v/>
      </c>
      <c r="F666" s="22" t="str">
        <f>IF(E666="","",IF(E666&gt;0,SUMIFS('[1]UY$'!$L$5:$L$993,'[1]UY$'!$O$5:$O$993,"Cambio",'[1]UY$'!$E$5:$E$993,'Efecto TC'!D666),""))</f>
        <v/>
      </c>
      <c r="G666" s="23" t="str">
        <f t="shared" si="78"/>
        <v/>
      </c>
      <c r="H666" s="22" t="str">
        <f t="shared" si="79"/>
        <v/>
      </c>
      <c r="I666" s="54" t="str">
        <f t="shared" si="83"/>
        <v/>
      </c>
      <c r="R666" s="24" t="e">
        <f t="shared" si="80"/>
        <v>#VALUE!</v>
      </c>
      <c r="S666" s="25" t="e">
        <f t="shared" si="77"/>
        <v>#VALUE!</v>
      </c>
    </row>
    <row r="667" spans="1:19" x14ac:dyDescent="0.25">
      <c r="A667" t="e">
        <f t="shared" si="81"/>
        <v>#VALUE!</v>
      </c>
      <c r="B667" t="e">
        <f t="shared" si="82"/>
        <v>#VALUE!</v>
      </c>
      <c r="D667" s="21" t="str" cm="1">
        <f t="array" ref="D667">IF(ROWS($D$7:D667)&gt;COUNTIF('[1]U$S'!$H$5:$H$1008,$L$5),"",INDEX(CuentaUS,_xlfn.AGGREGATE(15,6,ROW('[1]U$S'!$H$5:$H$1008)-ROW('[1]U$S'!$O$5)+1/--('[1]U$S'!$H$5:$H$1008=$L$5),ROWS($D$7:D667)),1))</f>
        <v/>
      </c>
      <c r="E667" s="22" t="str" cm="1">
        <f t="array" ref="E667">IF(ROWS($E$7:E667)&gt;COUNTIF('[1]U$S'!$H$5:$H$1008,$L$5),"",INDEX(CuentaUS,_xlfn.AGGREGATE(15,6,ROW('[1]U$S'!$H$5:$H$1008)-ROW('[1]U$S'!$O$5)+1/--('[1]U$S'!$H$5:$H$1008=$L$5),ROWS($E$7:E667)),6))</f>
        <v/>
      </c>
      <c r="F667" s="22" t="str">
        <f>IF(E667="","",IF(E667&gt;0,SUMIFS('[1]UY$'!$L$5:$L$993,'[1]UY$'!$O$5:$O$993,"Cambio",'[1]UY$'!$E$5:$E$993,'Efecto TC'!D667),""))</f>
        <v/>
      </c>
      <c r="G667" s="23" t="str">
        <f t="shared" si="78"/>
        <v/>
      </c>
      <c r="H667" s="22" t="str">
        <f t="shared" si="79"/>
        <v/>
      </c>
      <c r="I667" s="54" t="str">
        <f t="shared" si="83"/>
        <v/>
      </c>
      <c r="R667" s="24" t="e">
        <f t="shared" si="80"/>
        <v>#VALUE!</v>
      </c>
      <c r="S667" s="25" t="e">
        <f t="shared" ref="S667:S730" si="84">R667*G661</f>
        <v>#VALUE!</v>
      </c>
    </row>
    <row r="668" spans="1:19" x14ac:dyDescent="0.25">
      <c r="A668" t="e">
        <f t="shared" si="81"/>
        <v>#VALUE!</v>
      </c>
      <c r="B668" t="e">
        <f t="shared" si="82"/>
        <v>#VALUE!</v>
      </c>
      <c r="D668" s="21" t="str" cm="1">
        <f t="array" ref="D668">IF(ROWS($D$7:D668)&gt;COUNTIF('[1]U$S'!$H$5:$H$1008,$L$5),"",INDEX(CuentaUS,_xlfn.AGGREGATE(15,6,ROW('[1]U$S'!$H$5:$H$1008)-ROW('[1]U$S'!$O$5)+1/--('[1]U$S'!$H$5:$H$1008=$L$5),ROWS($D$7:D668)),1))</f>
        <v/>
      </c>
      <c r="E668" s="22" t="str" cm="1">
        <f t="array" ref="E668">IF(ROWS($E$7:E668)&gt;COUNTIF('[1]U$S'!$H$5:$H$1008,$L$5),"",INDEX(CuentaUS,_xlfn.AGGREGATE(15,6,ROW('[1]U$S'!$H$5:$H$1008)-ROW('[1]U$S'!$O$5)+1/--('[1]U$S'!$H$5:$H$1008=$L$5),ROWS($E$7:E668)),6))</f>
        <v/>
      </c>
      <c r="F668" s="22" t="str">
        <f>IF(E668="","",IF(E668&gt;0,SUMIFS('[1]UY$'!$L$5:$L$993,'[1]UY$'!$O$5:$O$993,"Cambio",'[1]UY$'!$E$5:$E$993,'Efecto TC'!D668),""))</f>
        <v/>
      </c>
      <c r="G668" s="23" t="str">
        <f t="shared" si="78"/>
        <v/>
      </c>
      <c r="H668" s="22" t="str">
        <f t="shared" si="79"/>
        <v/>
      </c>
      <c r="I668" s="54" t="str">
        <f t="shared" si="83"/>
        <v/>
      </c>
      <c r="R668" s="24" t="e">
        <f t="shared" si="80"/>
        <v>#VALUE!</v>
      </c>
      <c r="S668" s="25" t="e">
        <f t="shared" si="84"/>
        <v>#VALUE!</v>
      </c>
    </row>
    <row r="669" spans="1:19" x14ac:dyDescent="0.25">
      <c r="A669" t="e">
        <f t="shared" si="81"/>
        <v>#VALUE!</v>
      </c>
      <c r="B669" t="e">
        <f t="shared" si="82"/>
        <v>#VALUE!</v>
      </c>
      <c r="D669" s="21" t="str" cm="1">
        <f t="array" ref="D669">IF(ROWS($D$7:D669)&gt;COUNTIF('[1]U$S'!$H$5:$H$1008,$L$5),"",INDEX(CuentaUS,_xlfn.AGGREGATE(15,6,ROW('[1]U$S'!$H$5:$H$1008)-ROW('[1]U$S'!$O$5)+1/--('[1]U$S'!$H$5:$H$1008=$L$5),ROWS($D$7:D669)),1))</f>
        <v/>
      </c>
      <c r="E669" s="22" t="str" cm="1">
        <f t="array" ref="E669">IF(ROWS($E$7:E669)&gt;COUNTIF('[1]U$S'!$H$5:$H$1008,$L$5),"",INDEX(CuentaUS,_xlfn.AGGREGATE(15,6,ROW('[1]U$S'!$H$5:$H$1008)-ROW('[1]U$S'!$O$5)+1/--('[1]U$S'!$H$5:$H$1008=$L$5),ROWS($E$7:E669)),6))</f>
        <v/>
      </c>
      <c r="F669" s="22" t="str">
        <f>IF(E669="","",IF(E669&gt;0,SUMIFS('[1]UY$'!$L$5:$L$993,'[1]UY$'!$O$5:$O$993,"Cambio",'[1]UY$'!$E$5:$E$993,'Efecto TC'!D669),""))</f>
        <v/>
      </c>
      <c r="G669" s="23" t="str">
        <f t="shared" si="78"/>
        <v/>
      </c>
      <c r="H669" s="22" t="str">
        <f t="shared" si="79"/>
        <v/>
      </c>
      <c r="I669" s="54" t="str">
        <f t="shared" si="83"/>
        <v/>
      </c>
      <c r="R669" s="24" t="e">
        <f t="shared" si="80"/>
        <v>#VALUE!</v>
      </c>
      <c r="S669" s="25" t="e">
        <f t="shared" si="84"/>
        <v>#VALUE!</v>
      </c>
    </row>
    <row r="670" spans="1:19" x14ac:dyDescent="0.25">
      <c r="A670" t="e">
        <f t="shared" si="81"/>
        <v>#VALUE!</v>
      </c>
      <c r="B670" t="e">
        <f t="shared" si="82"/>
        <v>#VALUE!</v>
      </c>
      <c r="D670" s="21" t="str" cm="1">
        <f t="array" ref="D670">IF(ROWS($D$7:D670)&gt;COUNTIF('[1]U$S'!$H$5:$H$1008,$L$5),"",INDEX(CuentaUS,_xlfn.AGGREGATE(15,6,ROW('[1]U$S'!$H$5:$H$1008)-ROW('[1]U$S'!$O$5)+1/--('[1]U$S'!$H$5:$H$1008=$L$5),ROWS($D$7:D670)),1))</f>
        <v/>
      </c>
      <c r="E670" s="22" t="str" cm="1">
        <f t="array" ref="E670">IF(ROWS($E$7:E670)&gt;COUNTIF('[1]U$S'!$H$5:$H$1008,$L$5),"",INDEX(CuentaUS,_xlfn.AGGREGATE(15,6,ROW('[1]U$S'!$H$5:$H$1008)-ROW('[1]U$S'!$O$5)+1/--('[1]U$S'!$H$5:$H$1008=$L$5),ROWS($E$7:E670)),6))</f>
        <v/>
      </c>
      <c r="F670" s="22" t="str">
        <f>IF(E670="","",IF(E670&gt;0,SUMIFS('[1]UY$'!$L$5:$L$993,'[1]UY$'!$O$5:$O$993,"Cambio",'[1]UY$'!$E$5:$E$993,'Efecto TC'!D670),""))</f>
        <v/>
      </c>
      <c r="G670" s="23" t="str">
        <f t="shared" si="78"/>
        <v/>
      </c>
      <c r="H670" s="22" t="str">
        <f t="shared" si="79"/>
        <v/>
      </c>
      <c r="I670" s="54" t="str">
        <f t="shared" si="83"/>
        <v/>
      </c>
      <c r="R670" s="24" t="e">
        <f t="shared" si="80"/>
        <v>#VALUE!</v>
      </c>
      <c r="S670" s="25" t="e">
        <f t="shared" si="84"/>
        <v>#VALUE!</v>
      </c>
    </row>
    <row r="671" spans="1:19" x14ac:dyDescent="0.25">
      <c r="A671" t="e">
        <f t="shared" si="81"/>
        <v>#VALUE!</v>
      </c>
      <c r="B671" t="e">
        <f t="shared" si="82"/>
        <v>#VALUE!</v>
      </c>
      <c r="D671" s="21" t="str" cm="1">
        <f t="array" ref="D671">IF(ROWS($D$7:D671)&gt;COUNTIF('[1]U$S'!$H$5:$H$1008,$L$5),"",INDEX(CuentaUS,_xlfn.AGGREGATE(15,6,ROW('[1]U$S'!$H$5:$H$1008)-ROW('[1]U$S'!$O$5)+1/--('[1]U$S'!$H$5:$H$1008=$L$5),ROWS($D$7:D671)),1))</f>
        <v/>
      </c>
      <c r="E671" s="22" t="str" cm="1">
        <f t="array" ref="E671">IF(ROWS($E$7:E671)&gt;COUNTIF('[1]U$S'!$H$5:$H$1008,$L$5),"",INDEX(CuentaUS,_xlfn.AGGREGATE(15,6,ROW('[1]U$S'!$H$5:$H$1008)-ROW('[1]U$S'!$O$5)+1/--('[1]U$S'!$H$5:$H$1008=$L$5),ROWS($E$7:E671)),6))</f>
        <v/>
      </c>
      <c r="F671" s="22" t="str">
        <f>IF(E671="","",IF(E671&gt;0,SUMIFS('[1]UY$'!$L$5:$L$993,'[1]UY$'!$O$5:$O$993,"Cambio",'[1]UY$'!$E$5:$E$993,'Efecto TC'!D671),""))</f>
        <v/>
      </c>
      <c r="G671" s="23" t="str">
        <f t="shared" si="78"/>
        <v/>
      </c>
      <c r="H671" s="22" t="str">
        <f t="shared" si="79"/>
        <v/>
      </c>
      <c r="I671" s="54" t="str">
        <f t="shared" si="83"/>
        <v/>
      </c>
      <c r="R671" s="24" t="e">
        <f t="shared" si="80"/>
        <v>#VALUE!</v>
      </c>
      <c r="S671" s="25" t="e">
        <f t="shared" si="84"/>
        <v>#VALUE!</v>
      </c>
    </row>
    <row r="672" spans="1:19" x14ac:dyDescent="0.25">
      <c r="A672" t="e">
        <f t="shared" si="81"/>
        <v>#VALUE!</v>
      </c>
      <c r="B672" t="e">
        <f t="shared" si="82"/>
        <v>#VALUE!</v>
      </c>
      <c r="D672" s="21" t="str" cm="1">
        <f t="array" ref="D672">IF(ROWS($D$7:D672)&gt;COUNTIF('[1]U$S'!$H$5:$H$1008,$L$5),"",INDEX(CuentaUS,_xlfn.AGGREGATE(15,6,ROW('[1]U$S'!$H$5:$H$1008)-ROW('[1]U$S'!$O$5)+1/--('[1]U$S'!$H$5:$H$1008=$L$5),ROWS($D$7:D672)),1))</f>
        <v/>
      </c>
      <c r="E672" s="22" t="str" cm="1">
        <f t="array" ref="E672">IF(ROWS($E$7:E672)&gt;COUNTIF('[1]U$S'!$H$5:$H$1008,$L$5),"",INDEX(CuentaUS,_xlfn.AGGREGATE(15,6,ROW('[1]U$S'!$H$5:$H$1008)-ROW('[1]U$S'!$O$5)+1/--('[1]U$S'!$H$5:$H$1008=$L$5),ROWS($E$7:E672)),6))</f>
        <v/>
      </c>
      <c r="F672" s="22" t="str">
        <f>IF(E672="","",IF(E672&gt;0,SUMIFS('[1]UY$'!$L$5:$L$993,'[1]UY$'!$O$5:$O$993,"Cambio",'[1]UY$'!$E$5:$E$993,'Efecto TC'!D672),""))</f>
        <v/>
      </c>
      <c r="G672" s="23" t="str">
        <f t="shared" si="78"/>
        <v/>
      </c>
      <c r="H672" s="22" t="str">
        <f t="shared" si="79"/>
        <v/>
      </c>
      <c r="I672" s="54" t="str">
        <f t="shared" si="83"/>
        <v/>
      </c>
      <c r="R672" s="24" t="e">
        <f t="shared" si="80"/>
        <v>#VALUE!</v>
      </c>
      <c r="S672" s="25" t="e">
        <f t="shared" si="84"/>
        <v>#VALUE!</v>
      </c>
    </row>
    <row r="673" spans="1:19" x14ac:dyDescent="0.25">
      <c r="A673" t="e">
        <f t="shared" si="81"/>
        <v>#VALUE!</v>
      </c>
      <c r="B673" t="e">
        <f t="shared" si="82"/>
        <v>#VALUE!</v>
      </c>
      <c r="D673" s="21" t="str" cm="1">
        <f t="array" ref="D673">IF(ROWS($D$7:D673)&gt;COUNTIF('[1]U$S'!$H$5:$H$1008,$L$5),"",INDEX(CuentaUS,_xlfn.AGGREGATE(15,6,ROW('[1]U$S'!$H$5:$H$1008)-ROW('[1]U$S'!$O$5)+1/--('[1]U$S'!$H$5:$H$1008=$L$5),ROWS($D$7:D673)),1))</f>
        <v/>
      </c>
      <c r="E673" s="22" t="str" cm="1">
        <f t="array" ref="E673">IF(ROWS($E$7:E673)&gt;COUNTIF('[1]U$S'!$H$5:$H$1008,$L$5),"",INDEX(CuentaUS,_xlfn.AGGREGATE(15,6,ROW('[1]U$S'!$H$5:$H$1008)-ROW('[1]U$S'!$O$5)+1/--('[1]U$S'!$H$5:$H$1008=$L$5),ROWS($E$7:E673)),6))</f>
        <v/>
      </c>
      <c r="F673" s="22" t="str">
        <f>IF(E673="","",IF(E673&gt;0,SUMIFS('[1]UY$'!$L$5:$L$993,'[1]UY$'!$O$5:$O$993,"Cambio",'[1]UY$'!$E$5:$E$993,'Efecto TC'!D673),""))</f>
        <v/>
      </c>
      <c r="G673" s="23" t="str">
        <f t="shared" si="78"/>
        <v/>
      </c>
      <c r="H673" s="22" t="str">
        <f t="shared" si="79"/>
        <v/>
      </c>
      <c r="I673" s="54" t="str">
        <f t="shared" si="83"/>
        <v/>
      </c>
      <c r="R673" s="24" t="e">
        <f t="shared" si="80"/>
        <v>#VALUE!</v>
      </c>
      <c r="S673" s="25" t="e">
        <f t="shared" si="84"/>
        <v>#VALUE!</v>
      </c>
    </row>
    <row r="674" spans="1:19" x14ac:dyDescent="0.25">
      <c r="A674" t="e">
        <f t="shared" si="81"/>
        <v>#VALUE!</v>
      </c>
      <c r="B674" t="e">
        <f t="shared" si="82"/>
        <v>#VALUE!</v>
      </c>
      <c r="D674" s="21" t="str" cm="1">
        <f t="array" ref="D674">IF(ROWS($D$7:D674)&gt;COUNTIF('[1]U$S'!$H$5:$H$1008,$L$5),"",INDEX(CuentaUS,_xlfn.AGGREGATE(15,6,ROW('[1]U$S'!$H$5:$H$1008)-ROW('[1]U$S'!$O$5)+1/--('[1]U$S'!$H$5:$H$1008=$L$5),ROWS($D$7:D674)),1))</f>
        <v/>
      </c>
      <c r="E674" s="22" t="str" cm="1">
        <f t="array" ref="E674">IF(ROWS($E$7:E674)&gt;COUNTIF('[1]U$S'!$H$5:$H$1008,$L$5),"",INDEX(CuentaUS,_xlfn.AGGREGATE(15,6,ROW('[1]U$S'!$H$5:$H$1008)-ROW('[1]U$S'!$O$5)+1/--('[1]U$S'!$H$5:$H$1008=$L$5),ROWS($E$7:E674)),6))</f>
        <v/>
      </c>
      <c r="F674" s="22" t="str">
        <f>IF(E674="","",IF(E674&gt;0,SUMIFS('[1]UY$'!$L$5:$L$993,'[1]UY$'!$O$5:$O$993,"Cambio",'[1]UY$'!$E$5:$E$993,'Efecto TC'!D674),""))</f>
        <v/>
      </c>
      <c r="G674" s="23" t="str">
        <f t="shared" ref="G674:G737" si="85">IF(F674="","",F674/E674)</f>
        <v/>
      </c>
      <c r="H674" s="22" t="str">
        <f t="shared" ref="H674:H737" si="86">IF(E674="","",F674/$F$2-F674/G674)</f>
        <v/>
      </c>
      <c r="I674" s="54" t="str">
        <f t="shared" si="83"/>
        <v/>
      </c>
      <c r="R674" s="24" t="e">
        <f t="shared" ref="R674:R737" si="87">E674/$E$1001</f>
        <v>#VALUE!</v>
      </c>
      <c r="S674" s="25" t="e">
        <f t="shared" si="84"/>
        <v>#VALUE!</v>
      </c>
    </row>
    <row r="675" spans="1:19" x14ac:dyDescent="0.25">
      <c r="A675" t="e">
        <f t="shared" si="81"/>
        <v>#VALUE!</v>
      </c>
      <c r="B675" t="e">
        <f t="shared" si="82"/>
        <v>#VALUE!</v>
      </c>
      <c r="D675" s="21" t="str" cm="1">
        <f t="array" ref="D675">IF(ROWS($D$7:D675)&gt;COUNTIF('[1]U$S'!$H$5:$H$1008,$L$5),"",INDEX(CuentaUS,_xlfn.AGGREGATE(15,6,ROW('[1]U$S'!$H$5:$H$1008)-ROW('[1]U$S'!$O$5)+1/--('[1]U$S'!$H$5:$H$1008=$L$5),ROWS($D$7:D675)),1))</f>
        <v/>
      </c>
      <c r="E675" s="22" t="str" cm="1">
        <f t="array" ref="E675">IF(ROWS($E$7:E675)&gt;COUNTIF('[1]U$S'!$H$5:$H$1008,$L$5),"",INDEX(CuentaUS,_xlfn.AGGREGATE(15,6,ROW('[1]U$S'!$H$5:$H$1008)-ROW('[1]U$S'!$O$5)+1/--('[1]U$S'!$H$5:$H$1008=$L$5),ROWS($E$7:E675)),6))</f>
        <v/>
      </c>
      <c r="F675" s="22" t="str">
        <f>IF(E675="","",IF(E675&gt;0,SUMIFS('[1]UY$'!$L$5:$L$993,'[1]UY$'!$O$5:$O$993,"Cambio",'[1]UY$'!$E$5:$E$993,'Efecto TC'!D675),""))</f>
        <v/>
      </c>
      <c r="G675" s="23" t="str">
        <f t="shared" si="85"/>
        <v/>
      </c>
      <c r="H675" s="22" t="str">
        <f t="shared" si="86"/>
        <v/>
      </c>
      <c r="I675" s="54" t="str">
        <f t="shared" si="83"/>
        <v/>
      </c>
      <c r="R675" s="24" t="e">
        <f t="shared" si="87"/>
        <v>#VALUE!</v>
      </c>
      <c r="S675" s="25" t="e">
        <f t="shared" si="84"/>
        <v>#VALUE!</v>
      </c>
    </row>
    <row r="676" spans="1:19" x14ac:dyDescent="0.25">
      <c r="A676" t="e">
        <f t="shared" si="81"/>
        <v>#VALUE!</v>
      </c>
      <c r="B676" t="e">
        <f t="shared" si="82"/>
        <v>#VALUE!</v>
      </c>
      <c r="D676" s="21" t="str" cm="1">
        <f t="array" ref="D676">IF(ROWS($D$7:D676)&gt;COUNTIF('[1]U$S'!$H$5:$H$1008,$L$5),"",INDEX(CuentaUS,_xlfn.AGGREGATE(15,6,ROW('[1]U$S'!$H$5:$H$1008)-ROW('[1]U$S'!$O$5)+1/--('[1]U$S'!$H$5:$H$1008=$L$5),ROWS($D$7:D676)),1))</f>
        <v/>
      </c>
      <c r="E676" s="22" t="str" cm="1">
        <f t="array" ref="E676">IF(ROWS($E$7:E676)&gt;COUNTIF('[1]U$S'!$H$5:$H$1008,$L$5),"",INDEX(CuentaUS,_xlfn.AGGREGATE(15,6,ROW('[1]U$S'!$H$5:$H$1008)-ROW('[1]U$S'!$O$5)+1/--('[1]U$S'!$H$5:$H$1008=$L$5),ROWS($E$7:E676)),6))</f>
        <v/>
      </c>
      <c r="F676" s="22" t="str">
        <f>IF(E676="","",IF(E676&gt;0,SUMIFS('[1]UY$'!$L$5:$L$993,'[1]UY$'!$O$5:$O$993,"Cambio",'[1]UY$'!$E$5:$E$993,'Efecto TC'!D676),""))</f>
        <v/>
      </c>
      <c r="G676" s="23" t="str">
        <f t="shared" si="85"/>
        <v/>
      </c>
      <c r="H676" s="22" t="str">
        <f t="shared" si="86"/>
        <v/>
      </c>
      <c r="I676" s="54" t="str">
        <f t="shared" si="83"/>
        <v/>
      </c>
      <c r="R676" s="24" t="e">
        <f t="shared" si="87"/>
        <v>#VALUE!</v>
      </c>
      <c r="S676" s="25" t="e">
        <f t="shared" si="84"/>
        <v>#VALUE!</v>
      </c>
    </row>
    <row r="677" spans="1:19" x14ac:dyDescent="0.25">
      <c r="A677" t="e">
        <f t="shared" si="81"/>
        <v>#VALUE!</v>
      </c>
      <c r="B677" t="e">
        <f t="shared" si="82"/>
        <v>#VALUE!</v>
      </c>
      <c r="D677" s="21" t="str" cm="1">
        <f t="array" ref="D677">IF(ROWS($D$7:D677)&gt;COUNTIF('[1]U$S'!$H$5:$H$1008,$L$5),"",INDEX(CuentaUS,_xlfn.AGGREGATE(15,6,ROW('[1]U$S'!$H$5:$H$1008)-ROW('[1]U$S'!$O$5)+1/--('[1]U$S'!$H$5:$H$1008=$L$5),ROWS($D$7:D677)),1))</f>
        <v/>
      </c>
      <c r="E677" s="22" t="str" cm="1">
        <f t="array" ref="E677">IF(ROWS($E$7:E677)&gt;COUNTIF('[1]U$S'!$H$5:$H$1008,$L$5),"",INDEX(CuentaUS,_xlfn.AGGREGATE(15,6,ROW('[1]U$S'!$H$5:$H$1008)-ROW('[1]U$S'!$O$5)+1/--('[1]U$S'!$H$5:$H$1008=$L$5),ROWS($E$7:E677)),6))</f>
        <v/>
      </c>
      <c r="F677" s="22" t="str">
        <f>IF(E677="","",IF(E677&gt;0,SUMIFS('[1]UY$'!$L$5:$L$993,'[1]UY$'!$O$5:$O$993,"Cambio",'[1]UY$'!$E$5:$E$993,'Efecto TC'!D677),""))</f>
        <v/>
      </c>
      <c r="G677" s="23" t="str">
        <f t="shared" si="85"/>
        <v/>
      </c>
      <c r="H677" s="22" t="str">
        <f t="shared" si="86"/>
        <v/>
      </c>
      <c r="I677" s="54" t="str">
        <f t="shared" si="83"/>
        <v/>
      </c>
      <c r="R677" s="24" t="e">
        <f t="shared" si="87"/>
        <v>#VALUE!</v>
      </c>
      <c r="S677" s="25" t="e">
        <f t="shared" si="84"/>
        <v>#VALUE!</v>
      </c>
    </row>
    <row r="678" spans="1:19" x14ac:dyDescent="0.25">
      <c r="A678" t="e">
        <f t="shared" si="81"/>
        <v>#VALUE!</v>
      </c>
      <c r="B678" t="e">
        <f t="shared" si="82"/>
        <v>#VALUE!</v>
      </c>
      <c r="D678" s="21" t="str" cm="1">
        <f t="array" ref="D678">IF(ROWS($D$7:D678)&gt;COUNTIF('[1]U$S'!$H$5:$H$1008,$L$5),"",INDEX(CuentaUS,_xlfn.AGGREGATE(15,6,ROW('[1]U$S'!$H$5:$H$1008)-ROW('[1]U$S'!$O$5)+1/--('[1]U$S'!$H$5:$H$1008=$L$5),ROWS($D$7:D678)),1))</f>
        <v/>
      </c>
      <c r="E678" s="22" t="str" cm="1">
        <f t="array" ref="E678">IF(ROWS($E$7:E678)&gt;COUNTIF('[1]U$S'!$H$5:$H$1008,$L$5),"",INDEX(CuentaUS,_xlfn.AGGREGATE(15,6,ROW('[1]U$S'!$H$5:$H$1008)-ROW('[1]U$S'!$O$5)+1/--('[1]U$S'!$H$5:$H$1008=$L$5),ROWS($E$7:E678)),6))</f>
        <v/>
      </c>
      <c r="F678" s="22" t="str">
        <f>IF(E678="","",IF(E678&gt;0,SUMIFS('[1]UY$'!$L$5:$L$993,'[1]UY$'!$O$5:$O$993,"Cambio",'[1]UY$'!$E$5:$E$993,'Efecto TC'!D678),""))</f>
        <v/>
      </c>
      <c r="G678" s="23" t="str">
        <f t="shared" si="85"/>
        <v/>
      </c>
      <c r="H678" s="22" t="str">
        <f t="shared" si="86"/>
        <v/>
      </c>
      <c r="I678" s="54" t="str">
        <f t="shared" si="83"/>
        <v/>
      </c>
      <c r="R678" s="24" t="e">
        <f t="shared" si="87"/>
        <v>#VALUE!</v>
      </c>
      <c r="S678" s="25" t="e">
        <f t="shared" si="84"/>
        <v>#VALUE!</v>
      </c>
    </row>
    <row r="679" spans="1:19" x14ac:dyDescent="0.25">
      <c r="A679" t="e">
        <f t="shared" si="81"/>
        <v>#VALUE!</v>
      </c>
      <c r="B679" t="e">
        <f t="shared" si="82"/>
        <v>#VALUE!</v>
      </c>
      <c r="D679" s="21" t="str" cm="1">
        <f t="array" ref="D679">IF(ROWS($D$7:D679)&gt;COUNTIF('[1]U$S'!$H$5:$H$1008,$L$5),"",INDEX(CuentaUS,_xlfn.AGGREGATE(15,6,ROW('[1]U$S'!$H$5:$H$1008)-ROW('[1]U$S'!$O$5)+1/--('[1]U$S'!$H$5:$H$1008=$L$5),ROWS($D$7:D679)),1))</f>
        <v/>
      </c>
      <c r="E679" s="22" t="str" cm="1">
        <f t="array" ref="E679">IF(ROWS($E$7:E679)&gt;COUNTIF('[1]U$S'!$H$5:$H$1008,$L$5),"",INDEX(CuentaUS,_xlfn.AGGREGATE(15,6,ROW('[1]U$S'!$H$5:$H$1008)-ROW('[1]U$S'!$O$5)+1/--('[1]U$S'!$H$5:$H$1008=$L$5),ROWS($E$7:E679)),6))</f>
        <v/>
      </c>
      <c r="F679" s="22" t="str">
        <f>IF(E679="","",IF(E679&gt;0,SUMIFS('[1]UY$'!$L$5:$L$993,'[1]UY$'!$O$5:$O$993,"Cambio",'[1]UY$'!$E$5:$E$993,'Efecto TC'!D679),""))</f>
        <v/>
      </c>
      <c r="G679" s="23" t="str">
        <f t="shared" si="85"/>
        <v/>
      </c>
      <c r="H679" s="22" t="str">
        <f t="shared" si="86"/>
        <v/>
      </c>
      <c r="I679" s="54" t="str">
        <f t="shared" si="83"/>
        <v/>
      </c>
      <c r="R679" s="24" t="e">
        <f t="shared" si="87"/>
        <v>#VALUE!</v>
      </c>
      <c r="S679" s="25" t="e">
        <f t="shared" si="84"/>
        <v>#VALUE!</v>
      </c>
    </row>
    <row r="680" spans="1:19" x14ac:dyDescent="0.25">
      <c r="A680" t="e">
        <f t="shared" si="81"/>
        <v>#VALUE!</v>
      </c>
      <c r="B680" t="e">
        <f t="shared" si="82"/>
        <v>#VALUE!</v>
      </c>
      <c r="D680" s="21" t="str" cm="1">
        <f t="array" ref="D680">IF(ROWS($D$7:D680)&gt;COUNTIF('[1]U$S'!$H$5:$H$1008,$L$5),"",INDEX(CuentaUS,_xlfn.AGGREGATE(15,6,ROW('[1]U$S'!$H$5:$H$1008)-ROW('[1]U$S'!$O$5)+1/--('[1]U$S'!$H$5:$H$1008=$L$5),ROWS($D$7:D680)),1))</f>
        <v/>
      </c>
      <c r="E680" s="22" t="str" cm="1">
        <f t="array" ref="E680">IF(ROWS($E$7:E680)&gt;COUNTIF('[1]U$S'!$H$5:$H$1008,$L$5),"",INDEX(CuentaUS,_xlfn.AGGREGATE(15,6,ROW('[1]U$S'!$H$5:$H$1008)-ROW('[1]U$S'!$O$5)+1/--('[1]U$S'!$H$5:$H$1008=$L$5),ROWS($E$7:E680)),6))</f>
        <v/>
      </c>
      <c r="F680" s="22" t="str">
        <f>IF(E680="","",IF(E680&gt;0,SUMIFS('[1]UY$'!$L$5:$L$993,'[1]UY$'!$O$5:$O$993,"Cambio",'[1]UY$'!$E$5:$E$993,'Efecto TC'!D680),""))</f>
        <v/>
      </c>
      <c r="G680" s="23" t="str">
        <f t="shared" si="85"/>
        <v/>
      </c>
      <c r="H680" s="22" t="str">
        <f t="shared" si="86"/>
        <v/>
      </c>
      <c r="I680" s="54" t="str">
        <f t="shared" si="83"/>
        <v/>
      </c>
      <c r="R680" s="24" t="e">
        <f t="shared" si="87"/>
        <v>#VALUE!</v>
      </c>
      <c r="S680" s="25" t="e">
        <f t="shared" si="84"/>
        <v>#VALUE!</v>
      </c>
    </row>
    <row r="681" spans="1:19" x14ac:dyDescent="0.25">
      <c r="A681" t="e">
        <f t="shared" si="81"/>
        <v>#VALUE!</v>
      </c>
      <c r="B681" t="e">
        <f t="shared" si="82"/>
        <v>#VALUE!</v>
      </c>
      <c r="D681" s="21" t="str" cm="1">
        <f t="array" ref="D681">IF(ROWS($D$7:D681)&gt;COUNTIF('[1]U$S'!$H$5:$H$1008,$L$5),"",INDEX(CuentaUS,_xlfn.AGGREGATE(15,6,ROW('[1]U$S'!$H$5:$H$1008)-ROW('[1]U$S'!$O$5)+1/--('[1]U$S'!$H$5:$H$1008=$L$5),ROWS($D$7:D681)),1))</f>
        <v/>
      </c>
      <c r="E681" s="22" t="str" cm="1">
        <f t="array" ref="E681">IF(ROWS($E$7:E681)&gt;COUNTIF('[1]U$S'!$H$5:$H$1008,$L$5),"",INDEX(CuentaUS,_xlfn.AGGREGATE(15,6,ROW('[1]U$S'!$H$5:$H$1008)-ROW('[1]U$S'!$O$5)+1/--('[1]U$S'!$H$5:$H$1008=$L$5),ROWS($E$7:E681)),6))</f>
        <v/>
      </c>
      <c r="F681" s="22" t="str">
        <f>IF(E681="","",IF(E681&gt;0,SUMIFS('[1]UY$'!$L$5:$L$993,'[1]UY$'!$O$5:$O$993,"Cambio",'[1]UY$'!$E$5:$E$993,'Efecto TC'!D681),""))</f>
        <v/>
      </c>
      <c r="G681" s="23" t="str">
        <f t="shared" si="85"/>
        <v/>
      </c>
      <c r="H681" s="22" t="str">
        <f t="shared" si="86"/>
        <v/>
      </c>
      <c r="I681" s="54" t="str">
        <f t="shared" si="83"/>
        <v/>
      </c>
      <c r="R681" s="24" t="e">
        <f t="shared" si="87"/>
        <v>#VALUE!</v>
      </c>
      <c r="S681" s="25" t="e">
        <f t="shared" si="84"/>
        <v>#VALUE!</v>
      </c>
    </row>
    <row r="682" spans="1:19" x14ac:dyDescent="0.25">
      <c r="A682" t="e">
        <f t="shared" si="81"/>
        <v>#VALUE!</v>
      </c>
      <c r="B682" t="e">
        <f t="shared" si="82"/>
        <v>#VALUE!</v>
      </c>
      <c r="D682" s="21" t="str" cm="1">
        <f t="array" ref="D682">IF(ROWS($D$7:D682)&gt;COUNTIF('[1]U$S'!$H$5:$H$1008,$L$5),"",INDEX(CuentaUS,_xlfn.AGGREGATE(15,6,ROW('[1]U$S'!$H$5:$H$1008)-ROW('[1]U$S'!$O$5)+1/--('[1]U$S'!$H$5:$H$1008=$L$5),ROWS($D$7:D682)),1))</f>
        <v/>
      </c>
      <c r="E682" s="22" t="str" cm="1">
        <f t="array" ref="E682">IF(ROWS($E$7:E682)&gt;COUNTIF('[1]U$S'!$H$5:$H$1008,$L$5),"",INDEX(CuentaUS,_xlfn.AGGREGATE(15,6,ROW('[1]U$S'!$H$5:$H$1008)-ROW('[1]U$S'!$O$5)+1/--('[1]U$S'!$H$5:$H$1008=$L$5),ROWS($E$7:E682)),6))</f>
        <v/>
      </c>
      <c r="F682" s="22" t="str">
        <f>IF(E682="","",IF(E682&gt;0,SUMIFS('[1]UY$'!$L$5:$L$993,'[1]UY$'!$O$5:$O$993,"Cambio",'[1]UY$'!$E$5:$E$993,'Efecto TC'!D682),""))</f>
        <v/>
      </c>
      <c r="G682" s="23" t="str">
        <f t="shared" si="85"/>
        <v/>
      </c>
      <c r="H682" s="22" t="str">
        <f t="shared" si="86"/>
        <v/>
      </c>
      <c r="I682" s="54" t="str">
        <f t="shared" si="83"/>
        <v/>
      </c>
      <c r="R682" s="24" t="e">
        <f t="shared" si="87"/>
        <v>#VALUE!</v>
      </c>
      <c r="S682" s="25" t="e">
        <f t="shared" si="84"/>
        <v>#VALUE!</v>
      </c>
    </row>
    <row r="683" spans="1:19" x14ac:dyDescent="0.25">
      <c r="A683" t="e">
        <f t="shared" si="81"/>
        <v>#VALUE!</v>
      </c>
      <c r="B683" t="e">
        <f t="shared" si="82"/>
        <v>#VALUE!</v>
      </c>
      <c r="D683" s="21" t="str" cm="1">
        <f t="array" ref="D683">IF(ROWS($D$7:D683)&gt;COUNTIF('[1]U$S'!$H$5:$H$1008,$L$5),"",INDEX(CuentaUS,_xlfn.AGGREGATE(15,6,ROW('[1]U$S'!$H$5:$H$1008)-ROW('[1]U$S'!$O$5)+1/--('[1]U$S'!$H$5:$H$1008=$L$5),ROWS($D$7:D683)),1))</f>
        <v/>
      </c>
      <c r="E683" s="22" t="str" cm="1">
        <f t="array" ref="E683">IF(ROWS($E$7:E683)&gt;COUNTIF('[1]U$S'!$H$5:$H$1008,$L$5),"",INDEX(CuentaUS,_xlfn.AGGREGATE(15,6,ROW('[1]U$S'!$H$5:$H$1008)-ROW('[1]U$S'!$O$5)+1/--('[1]U$S'!$H$5:$H$1008=$L$5),ROWS($E$7:E683)),6))</f>
        <v/>
      </c>
      <c r="F683" s="22" t="str">
        <f>IF(E683="","",IF(E683&gt;0,SUMIFS('[1]UY$'!$L$5:$L$993,'[1]UY$'!$O$5:$O$993,"Cambio",'[1]UY$'!$E$5:$E$993,'Efecto TC'!D683),""))</f>
        <v/>
      </c>
      <c r="G683" s="23" t="str">
        <f t="shared" si="85"/>
        <v/>
      </c>
      <c r="H683" s="22" t="str">
        <f t="shared" si="86"/>
        <v/>
      </c>
      <c r="I683" s="54" t="str">
        <f t="shared" si="83"/>
        <v/>
      </c>
      <c r="R683" s="24" t="e">
        <f t="shared" si="87"/>
        <v>#VALUE!</v>
      </c>
      <c r="S683" s="25" t="e">
        <f t="shared" si="84"/>
        <v>#VALUE!</v>
      </c>
    </row>
    <row r="684" spans="1:19" x14ac:dyDescent="0.25">
      <c r="A684" t="e">
        <f t="shared" si="81"/>
        <v>#VALUE!</v>
      </c>
      <c r="B684" t="e">
        <f t="shared" si="82"/>
        <v>#VALUE!</v>
      </c>
      <c r="D684" s="21" t="str" cm="1">
        <f t="array" ref="D684">IF(ROWS($D$7:D684)&gt;COUNTIF('[1]U$S'!$H$5:$H$1008,$L$5),"",INDEX(CuentaUS,_xlfn.AGGREGATE(15,6,ROW('[1]U$S'!$H$5:$H$1008)-ROW('[1]U$S'!$O$5)+1/--('[1]U$S'!$H$5:$H$1008=$L$5),ROWS($D$7:D684)),1))</f>
        <v/>
      </c>
      <c r="E684" s="22" t="str" cm="1">
        <f t="array" ref="E684">IF(ROWS($E$7:E684)&gt;COUNTIF('[1]U$S'!$H$5:$H$1008,$L$5),"",INDEX(CuentaUS,_xlfn.AGGREGATE(15,6,ROW('[1]U$S'!$H$5:$H$1008)-ROW('[1]U$S'!$O$5)+1/--('[1]U$S'!$H$5:$H$1008=$L$5),ROWS($E$7:E684)),6))</f>
        <v/>
      </c>
      <c r="F684" s="22" t="str">
        <f>IF(E684="","",IF(E684&gt;0,SUMIFS('[1]UY$'!$L$5:$L$993,'[1]UY$'!$O$5:$O$993,"Cambio",'[1]UY$'!$E$5:$E$993,'Efecto TC'!D684),""))</f>
        <v/>
      </c>
      <c r="G684" s="23" t="str">
        <f t="shared" si="85"/>
        <v/>
      </c>
      <c r="H684" s="22" t="str">
        <f t="shared" si="86"/>
        <v/>
      </c>
      <c r="I684" s="54" t="str">
        <f t="shared" si="83"/>
        <v/>
      </c>
      <c r="R684" s="24" t="e">
        <f t="shared" si="87"/>
        <v>#VALUE!</v>
      </c>
      <c r="S684" s="25" t="e">
        <f t="shared" si="84"/>
        <v>#VALUE!</v>
      </c>
    </row>
    <row r="685" spans="1:19" x14ac:dyDescent="0.25">
      <c r="A685" t="e">
        <f t="shared" si="81"/>
        <v>#VALUE!</v>
      </c>
      <c r="B685" t="e">
        <f t="shared" si="82"/>
        <v>#VALUE!</v>
      </c>
      <c r="D685" s="21" t="str" cm="1">
        <f t="array" ref="D685">IF(ROWS($D$7:D685)&gt;COUNTIF('[1]U$S'!$H$5:$H$1008,$L$5),"",INDEX(CuentaUS,_xlfn.AGGREGATE(15,6,ROW('[1]U$S'!$H$5:$H$1008)-ROW('[1]U$S'!$O$5)+1/--('[1]U$S'!$H$5:$H$1008=$L$5),ROWS($D$7:D685)),1))</f>
        <v/>
      </c>
      <c r="E685" s="22" t="str" cm="1">
        <f t="array" ref="E685">IF(ROWS($E$7:E685)&gt;COUNTIF('[1]U$S'!$H$5:$H$1008,$L$5),"",INDEX(CuentaUS,_xlfn.AGGREGATE(15,6,ROW('[1]U$S'!$H$5:$H$1008)-ROW('[1]U$S'!$O$5)+1/--('[1]U$S'!$H$5:$H$1008=$L$5),ROWS($E$7:E685)),6))</f>
        <v/>
      </c>
      <c r="F685" s="22" t="str">
        <f>IF(E685="","",IF(E685&gt;0,SUMIFS('[1]UY$'!$L$5:$L$993,'[1]UY$'!$O$5:$O$993,"Cambio",'[1]UY$'!$E$5:$E$993,'Efecto TC'!D685),""))</f>
        <v/>
      </c>
      <c r="G685" s="23" t="str">
        <f t="shared" si="85"/>
        <v/>
      </c>
      <c r="H685" s="22" t="str">
        <f t="shared" si="86"/>
        <v/>
      </c>
      <c r="I685" s="54" t="str">
        <f t="shared" si="83"/>
        <v/>
      </c>
      <c r="R685" s="24" t="e">
        <f t="shared" si="87"/>
        <v>#VALUE!</v>
      </c>
      <c r="S685" s="25" t="e">
        <f t="shared" si="84"/>
        <v>#VALUE!</v>
      </c>
    </row>
    <row r="686" spans="1:19" x14ac:dyDescent="0.25">
      <c r="A686" t="e">
        <f t="shared" si="81"/>
        <v>#VALUE!</v>
      </c>
      <c r="B686" t="e">
        <f t="shared" si="82"/>
        <v>#VALUE!</v>
      </c>
      <c r="D686" s="21" t="str" cm="1">
        <f t="array" ref="D686">IF(ROWS($D$7:D686)&gt;COUNTIF('[1]U$S'!$H$5:$H$1008,$L$5),"",INDEX(CuentaUS,_xlfn.AGGREGATE(15,6,ROW('[1]U$S'!$H$5:$H$1008)-ROW('[1]U$S'!$O$5)+1/--('[1]U$S'!$H$5:$H$1008=$L$5),ROWS($D$7:D686)),1))</f>
        <v/>
      </c>
      <c r="E686" s="22" t="str" cm="1">
        <f t="array" ref="E686">IF(ROWS($E$7:E686)&gt;COUNTIF('[1]U$S'!$H$5:$H$1008,$L$5),"",INDEX(CuentaUS,_xlfn.AGGREGATE(15,6,ROW('[1]U$S'!$H$5:$H$1008)-ROW('[1]U$S'!$O$5)+1/--('[1]U$S'!$H$5:$H$1008=$L$5),ROWS($E$7:E686)),6))</f>
        <v/>
      </c>
      <c r="F686" s="22" t="str">
        <f>IF(E686="","",IF(E686&gt;0,SUMIFS('[1]UY$'!$L$5:$L$993,'[1]UY$'!$O$5:$O$993,"Cambio",'[1]UY$'!$E$5:$E$993,'Efecto TC'!D686),""))</f>
        <v/>
      </c>
      <c r="G686" s="23" t="str">
        <f t="shared" si="85"/>
        <v/>
      </c>
      <c r="H686" s="22" t="str">
        <f t="shared" si="86"/>
        <v/>
      </c>
      <c r="I686" s="54" t="str">
        <f t="shared" si="83"/>
        <v/>
      </c>
      <c r="R686" s="24" t="e">
        <f t="shared" si="87"/>
        <v>#VALUE!</v>
      </c>
      <c r="S686" s="25" t="e">
        <f t="shared" si="84"/>
        <v>#VALUE!</v>
      </c>
    </row>
    <row r="687" spans="1:19" x14ac:dyDescent="0.25">
      <c r="A687" t="e">
        <f t="shared" si="81"/>
        <v>#VALUE!</v>
      </c>
      <c r="B687" t="e">
        <f t="shared" si="82"/>
        <v>#VALUE!</v>
      </c>
      <c r="D687" s="21" t="str" cm="1">
        <f t="array" ref="D687">IF(ROWS($D$7:D687)&gt;COUNTIF('[1]U$S'!$H$5:$H$1008,$L$5),"",INDEX(CuentaUS,_xlfn.AGGREGATE(15,6,ROW('[1]U$S'!$H$5:$H$1008)-ROW('[1]U$S'!$O$5)+1/--('[1]U$S'!$H$5:$H$1008=$L$5),ROWS($D$7:D687)),1))</f>
        <v/>
      </c>
      <c r="E687" s="22" t="str" cm="1">
        <f t="array" ref="E687">IF(ROWS($E$7:E687)&gt;COUNTIF('[1]U$S'!$H$5:$H$1008,$L$5),"",INDEX(CuentaUS,_xlfn.AGGREGATE(15,6,ROW('[1]U$S'!$H$5:$H$1008)-ROW('[1]U$S'!$O$5)+1/--('[1]U$S'!$H$5:$H$1008=$L$5),ROWS($E$7:E687)),6))</f>
        <v/>
      </c>
      <c r="F687" s="22" t="str">
        <f>IF(E687="","",IF(E687&gt;0,SUMIFS('[1]UY$'!$L$5:$L$993,'[1]UY$'!$O$5:$O$993,"Cambio",'[1]UY$'!$E$5:$E$993,'Efecto TC'!D687),""))</f>
        <v/>
      </c>
      <c r="G687" s="23" t="str">
        <f t="shared" si="85"/>
        <v/>
      </c>
      <c r="H687" s="22" t="str">
        <f t="shared" si="86"/>
        <v/>
      </c>
      <c r="I687" s="54" t="str">
        <f t="shared" si="83"/>
        <v/>
      </c>
      <c r="R687" s="24" t="e">
        <f t="shared" si="87"/>
        <v>#VALUE!</v>
      </c>
      <c r="S687" s="25" t="e">
        <f t="shared" si="84"/>
        <v>#VALUE!</v>
      </c>
    </row>
    <row r="688" spans="1:19" x14ac:dyDescent="0.25">
      <c r="A688" t="e">
        <f t="shared" si="81"/>
        <v>#VALUE!</v>
      </c>
      <c r="B688" t="e">
        <f t="shared" si="82"/>
        <v>#VALUE!</v>
      </c>
      <c r="D688" s="21" t="str" cm="1">
        <f t="array" ref="D688">IF(ROWS($D$7:D688)&gt;COUNTIF('[1]U$S'!$H$5:$H$1008,$L$5),"",INDEX(CuentaUS,_xlfn.AGGREGATE(15,6,ROW('[1]U$S'!$H$5:$H$1008)-ROW('[1]U$S'!$O$5)+1/--('[1]U$S'!$H$5:$H$1008=$L$5),ROWS($D$7:D688)),1))</f>
        <v/>
      </c>
      <c r="E688" s="22" t="str" cm="1">
        <f t="array" ref="E688">IF(ROWS($E$7:E688)&gt;COUNTIF('[1]U$S'!$H$5:$H$1008,$L$5),"",INDEX(CuentaUS,_xlfn.AGGREGATE(15,6,ROW('[1]U$S'!$H$5:$H$1008)-ROW('[1]U$S'!$O$5)+1/--('[1]U$S'!$H$5:$H$1008=$L$5),ROWS($E$7:E688)),6))</f>
        <v/>
      </c>
      <c r="F688" s="22" t="str">
        <f>IF(E688="","",IF(E688&gt;0,SUMIFS('[1]UY$'!$L$5:$L$993,'[1]UY$'!$O$5:$O$993,"Cambio",'[1]UY$'!$E$5:$E$993,'Efecto TC'!D688),""))</f>
        <v/>
      </c>
      <c r="G688" s="23" t="str">
        <f t="shared" si="85"/>
        <v/>
      </c>
      <c r="H688" s="22" t="str">
        <f t="shared" si="86"/>
        <v/>
      </c>
      <c r="I688" s="54" t="str">
        <f t="shared" si="83"/>
        <v/>
      </c>
      <c r="R688" s="24" t="e">
        <f t="shared" si="87"/>
        <v>#VALUE!</v>
      </c>
      <c r="S688" s="25" t="e">
        <f t="shared" si="84"/>
        <v>#VALUE!</v>
      </c>
    </row>
    <row r="689" spans="1:19" x14ac:dyDescent="0.25">
      <c r="A689" t="e">
        <f t="shared" si="81"/>
        <v>#VALUE!</v>
      </c>
      <c r="B689" t="e">
        <f t="shared" si="82"/>
        <v>#VALUE!</v>
      </c>
      <c r="D689" s="21" t="str" cm="1">
        <f t="array" ref="D689">IF(ROWS($D$7:D689)&gt;COUNTIF('[1]U$S'!$H$5:$H$1008,$L$5),"",INDEX(CuentaUS,_xlfn.AGGREGATE(15,6,ROW('[1]U$S'!$H$5:$H$1008)-ROW('[1]U$S'!$O$5)+1/--('[1]U$S'!$H$5:$H$1008=$L$5),ROWS($D$7:D689)),1))</f>
        <v/>
      </c>
      <c r="E689" s="22" t="str" cm="1">
        <f t="array" ref="E689">IF(ROWS($E$7:E689)&gt;COUNTIF('[1]U$S'!$H$5:$H$1008,$L$5),"",INDEX(CuentaUS,_xlfn.AGGREGATE(15,6,ROW('[1]U$S'!$H$5:$H$1008)-ROW('[1]U$S'!$O$5)+1/--('[1]U$S'!$H$5:$H$1008=$L$5),ROWS($E$7:E689)),6))</f>
        <v/>
      </c>
      <c r="F689" s="22" t="str">
        <f>IF(E689="","",IF(E689&gt;0,SUMIFS('[1]UY$'!$L$5:$L$993,'[1]UY$'!$O$5:$O$993,"Cambio",'[1]UY$'!$E$5:$E$993,'Efecto TC'!D689),""))</f>
        <v/>
      </c>
      <c r="G689" s="23" t="str">
        <f t="shared" si="85"/>
        <v/>
      </c>
      <c r="H689" s="22" t="str">
        <f t="shared" si="86"/>
        <v/>
      </c>
      <c r="I689" s="54" t="str">
        <f t="shared" si="83"/>
        <v/>
      </c>
      <c r="R689" s="24" t="e">
        <f t="shared" si="87"/>
        <v>#VALUE!</v>
      </c>
      <c r="S689" s="25" t="e">
        <f t="shared" si="84"/>
        <v>#VALUE!</v>
      </c>
    </row>
    <row r="690" spans="1:19" x14ac:dyDescent="0.25">
      <c r="A690" t="e">
        <f t="shared" si="81"/>
        <v>#VALUE!</v>
      </c>
      <c r="B690" t="e">
        <f t="shared" si="82"/>
        <v>#VALUE!</v>
      </c>
      <c r="D690" s="21" t="str" cm="1">
        <f t="array" ref="D690">IF(ROWS($D$7:D690)&gt;COUNTIF('[1]U$S'!$H$5:$H$1008,$L$5),"",INDEX(CuentaUS,_xlfn.AGGREGATE(15,6,ROW('[1]U$S'!$H$5:$H$1008)-ROW('[1]U$S'!$O$5)+1/--('[1]U$S'!$H$5:$H$1008=$L$5),ROWS($D$7:D690)),1))</f>
        <v/>
      </c>
      <c r="E690" s="22" t="str" cm="1">
        <f t="array" ref="E690">IF(ROWS($E$7:E690)&gt;COUNTIF('[1]U$S'!$H$5:$H$1008,$L$5),"",INDEX(CuentaUS,_xlfn.AGGREGATE(15,6,ROW('[1]U$S'!$H$5:$H$1008)-ROW('[1]U$S'!$O$5)+1/--('[1]U$S'!$H$5:$H$1008=$L$5),ROWS($E$7:E690)),6))</f>
        <v/>
      </c>
      <c r="F690" s="22" t="str">
        <f>IF(E690="","",IF(E690&gt;0,SUMIFS('[1]UY$'!$L$5:$L$993,'[1]UY$'!$O$5:$O$993,"Cambio",'[1]UY$'!$E$5:$E$993,'Efecto TC'!D690),""))</f>
        <v/>
      </c>
      <c r="G690" s="23" t="str">
        <f t="shared" si="85"/>
        <v/>
      </c>
      <c r="H690" s="22" t="str">
        <f t="shared" si="86"/>
        <v/>
      </c>
      <c r="I690" s="54" t="str">
        <f t="shared" si="83"/>
        <v/>
      </c>
      <c r="R690" s="24" t="e">
        <f t="shared" si="87"/>
        <v>#VALUE!</v>
      </c>
      <c r="S690" s="25" t="e">
        <f t="shared" si="84"/>
        <v>#VALUE!</v>
      </c>
    </row>
    <row r="691" spans="1:19" x14ac:dyDescent="0.25">
      <c r="A691" t="e">
        <f t="shared" si="81"/>
        <v>#VALUE!</v>
      </c>
      <c r="B691" t="e">
        <f t="shared" si="82"/>
        <v>#VALUE!</v>
      </c>
      <c r="D691" s="21" t="str" cm="1">
        <f t="array" ref="D691">IF(ROWS($D$7:D691)&gt;COUNTIF('[1]U$S'!$H$5:$H$1008,$L$5),"",INDEX(CuentaUS,_xlfn.AGGREGATE(15,6,ROW('[1]U$S'!$H$5:$H$1008)-ROW('[1]U$S'!$O$5)+1/--('[1]U$S'!$H$5:$H$1008=$L$5),ROWS($D$7:D691)),1))</f>
        <v/>
      </c>
      <c r="E691" s="22" t="str" cm="1">
        <f t="array" ref="E691">IF(ROWS($E$7:E691)&gt;COUNTIF('[1]U$S'!$H$5:$H$1008,$L$5),"",INDEX(CuentaUS,_xlfn.AGGREGATE(15,6,ROW('[1]U$S'!$H$5:$H$1008)-ROW('[1]U$S'!$O$5)+1/--('[1]U$S'!$H$5:$H$1008=$L$5),ROWS($E$7:E691)),6))</f>
        <v/>
      </c>
      <c r="F691" s="22" t="str">
        <f>IF(E691="","",IF(E691&gt;0,SUMIFS('[1]UY$'!$L$5:$L$993,'[1]UY$'!$O$5:$O$993,"Cambio",'[1]UY$'!$E$5:$E$993,'Efecto TC'!D691),""))</f>
        <v/>
      </c>
      <c r="G691" s="23" t="str">
        <f t="shared" si="85"/>
        <v/>
      </c>
      <c r="H691" s="22" t="str">
        <f t="shared" si="86"/>
        <v/>
      </c>
      <c r="I691" s="54" t="str">
        <f t="shared" si="83"/>
        <v/>
      </c>
      <c r="R691" s="24" t="e">
        <f t="shared" si="87"/>
        <v>#VALUE!</v>
      </c>
      <c r="S691" s="25" t="e">
        <f t="shared" si="84"/>
        <v>#VALUE!</v>
      </c>
    </row>
    <row r="692" spans="1:19" x14ac:dyDescent="0.25">
      <c r="A692" t="e">
        <f t="shared" si="81"/>
        <v>#VALUE!</v>
      </c>
      <c r="B692" t="e">
        <f t="shared" si="82"/>
        <v>#VALUE!</v>
      </c>
      <c r="D692" s="21" t="str" cm="1">
        <f t="array" ref="D692">IF(ROWS($D$7:D692)&gt;COUNTIF('[1]U$S'!$H$5:$H$1008,$L$5),"",INDEX(CuentaUS,_xlfn.AGGREGATE(15,6,ROW('[1]U$S'!$H$5:$H$1008)-ROW('[1]U$S'!$O$5)+1/--('[1]U$S'!$H$5:$H$1008=$L$5),ROWS($D$7:D692)),1))</f>
        <v/>
      </c>
      <c r="E692" s="22" t="str" cm="1">
        <f t="array" ref="E692">IF(ROWS($E$7:E692)&gt;COUNTIF('[1]U$S'!$H$5:$H$1008,$L$5),"",INDEX(CuentaUS,_xlfn.AGGREGATE(15,6,ROW('[1]U$S'!$H$5:$H$1008)-ROW('[1]U$S'!$O$5)+1/--('[1]U$S'!$H$5:$H$1008=$L$5),ROWS($E$7:E692)),6))</f>
        <v/>
      </c>
      <c r="F692" s="22" t="str">
        <f>IF(E692="","",IF(E692&gt;0,SUMIFS('[1]UY$'!$L$5:$L$993,'[1]UY$'!$O$5:$O$993,"Cambio",'[1]UY$'!$E$5:$E$993,'Efecto TC'!D692),""))</f>
        <v/>
      </c>
      <c r="G692" s="23" t="str">
        <f t="shared" si="85"/>
        <v/>
      </c>
      <c r="H692" s="22" t="str">
        <f t="shared" si="86"/>
        <v/>
      </c>
      <c r="I692" s="54" t="str">
        <f t="shared" si="83"/>
        <v/>
      </c>
      <c r="R692" s="24" t="e">
        <f t="shared" si="87"/>
        <v>#VALUE!</v>
      </c>
      <c r="S692" s="25" t="e">
        <f t="shared" si="84"/>
        <v>#VALUE!</v>
      </c>
    </row>
    <row r="693" spans="1:19" x14ac:dyDescent="0.25">
      <c r="A693" t="e">
        <f t="shared" si="81"/>
        <v>#VALUE!</v>
      </c>
      <c r="B693" t="e">
        <f t="shared" si="82"/>
        <v>#VALUE!</v>
      </c>
      <c r="D693" s="21" t="str" cm="1">
        <f t="array" ref="D693">IF(ROWS($D$7:D693)&gt;COUNTIF('[1]U$S'!$H$5:$H$1008,$L$5),"",INDEX(CuentaUS,_xlfn.AGGREGATE(15,6,ROW('[1]U$S'!$H$5:$H$1008)-ROW('[1]U$S'!$O$5)+1/--('[1]U$S'!$H$5:$H$1008=$L$5),ROWS($D$7:D693)),1))</f>
        <v/>
      </c>
      <c r="E693" s="22" t="str" cm="1">
        <f t="array" ref="E693">IF(ROWS($E$7:E693)&gt;COUNTIF('[1]U$S'!$H$5:$H$1008,$L$5),"",INDEX(CuentaUS,_xlfn.AGGREGATE(15,6,ROW('[1]U$S'!$H$5:$H$1008)-ROW('[1]U$S'!$O$5)+1/--('[1]U$S'!$H$5:$H$1008=$L$5),ROWS($E$7:E693)),6))</f>
        <v/>
      </c>
      <c r="F693" s="22" t="str">
        <f>IF(E693="","",IF(E693&gt;0,SUMIFS('[1]UY$'!$L$5:$L$993,'[1]UY$'!$O$5:$O$993,"Cambio",'[1]UY$'!$E$5:$E$993,'Efecto TC'!D693),""))</f>
        <v/>
      </c>
      <c r="G693" s="23" t="str">
        <f t="shared" si="85"/>
        <v/>
      </c>
      <c r="H693" s="22" t="str">
        <f t="shared" si="86"/>
        <v/>
      </c>
      <c r="I693" s="54" t="str">
        <f t="shared" si="83"/>
        <v/>
      </c>
      <c r="R693" s="24" t="e">
        <f t="shared" si="87"/>
        <v>#VALUE!</v>
      </c>
      <c r="S693" s="25" t="e">
        <f t="shared" si="84"/>
        <v>#VALUE!</v>
      </c>
    </row>
    <row r="694" spans="1:19" x14ac:dyDescent="0.25">
      <c r="A694" t="e">
        <f t="shared" si="81"/>
        <v>#VALUE!</v>
      </c>
      <c r="B694" t="e">
        <f t="shared" si="82"/>
        <v>#VALUE!</v>
      </c>
      <c r="D694" s="21" t="str" cm="1">
        <f t="array" ref="D694">IF(ROWS($D$7:D694)&gt;COUNTIF('[1]U$S'!$H$5:$H$1008,$L$5),"",INDEX(CuentaUS,_xlfn.AGGREGATE(15,6,ROW('[1]U$S'!$H$5:$H$1008)-ROW('[1]U$S'!$O$5)+1/--('[1]U$S'!$H$5:$H$1008=$L$5),ROWS($D$7:D694)),1))</f>
        <v/>
      </c>
      <c r="E694" s="22" t="str" cm="1">
        <f t="array" ref="E694">IF(ROWS($E$7:E694)&gt;COUNTIF('[1]U$S'!$H$5:$H$1008,$L$5),"",INDEX(CuentaUS,_xlfn.AGGREGATE(15,6,ROW('[1]U$S'!$H$5:$H$1008)-ROW('[1]U$S'!$O$5)+1/--('[1]U$S'!$H$5:$H$1008=$L$5),ROWS($E$7:E694)),6))</f>
        <v/>
      </c>
      <c r="F694" s="22" t="str">
        <f>IF(E694="","",IF(E694&gt;0,SUMIFS('[1]UY$'!$L$5:$L$993,'[1]UY$'!$O$5:$O$993,"Cambio",'[1]UY$'!$E$5:$E$993,'Efecto TC'!D694),""))</f>
        <v/>
      </c>
      <c r="G694" s="23" t="str">
        <f t="shared" si="85"/>
        <v/>
      </c>
      <c r="H694" s="22" t="str">
        <f t="shared" si="86"/>
        <v/>
      </c>
      <c r="I694" s="54" t="str">
        <f t="shared" si="83"/>
        <v/>
      </c>
      <c r="R694" s="24" t="e">
        <f t="shared" si="87"/>
        <v>#VALUE!</v>
      </c>
      <c r="S694" s="25" t="e">
        <f t="shared" si="84"/>
        <v>#VALUE!</v>
      </c>
    </row>
    <row r="695" spans="1:19" x14ac:dyDescent="0.25">
      <c r="A695" t="e">
        <f t="shared" si="81"/>
        <v>#VALUE!</v>
      </c>
      <c r="B695" t="e">
        <f t="shared" si="82"/>
        <v>#VALUE!</v>
      </c>
      <c r="D695" s="21" t="str" cm="1">
        <f t="array" ref="D695">IF(ROWS($D$7:D695)&gt;COUNTIF('[1]U$S'!$H$5:$H$1008,$L$5),"",INDEX(CuentaUS,_xlfn.AGGREGATE(15,6,ROW('[1]U$S'!$H$5:$H$1008)-ROW('[1]U$S'!$O$5)+1/--('[1]U$S'!$H$5:$H$1008=$L$5),ROWS($D$7:D695)),1))</f>
        <v/>
      </c>
      <c r="E695" s="22" t="str" cm="1">
        <f t="array" ref="E695">IF(ROWS($E$7:E695)&gt;COUNTIF('[1]U$S'!$H$5:$H$1008,$L$5),"",INDEX(CuentaUS,_xlfn.AGGREGATE(15,6,ROW('[1]U$S'!$H$5:$H$1008)-ROW('[1]U$S'!$O$5)+1/--('[1]U$S'!$H$5:$H$1008=$L$5),ROWS($E$7:E695)),6))</f>
        <v/>
      </c>
      <c r="F695" s="22" t="str">
        <f>IF(E695="","",IF(E695&gt;0,SUMIFS('[1]UY$'!$L$5:$L$993,'[1]UY$'!$O$5:$O$993,"Cambio",'[1]UY$'!$E$5:$E$993,'Efecto TC'!D695),""))</f>
        <v/>
      </c>
      <c r="G695" s="23" t="str">
        <f t="shared" si="85"/>
        <v/>
      </c>
      <c r="H695" s="22" t="str">
        <f t="shared" si="86"/>
        <v/>
      </c>
      <c r="I695" s="54" t="str">
        <f t="shared" si="83"/>
        <v/>
      </c>
      <c r="R695" s="24" t="e">
        <f t="shared" si="87"/>
        <v>#VALUE!</v>
      </c>
      <c r="S695" s="25" t="e">
        <f t="shared" si="84"/>
        <v>#VALUE!</v>
      </c>
    </row>
    <row r="696" spans="1:19" x14ac:dyDescent="0.25">
      <c r="A696" t="e">
        <f t="shared" si="81"/>
        <v>#VALUE!</v>
      </c>
      <c r="B696" t="e">
        <f t="shared" si="82"/>
        <v>#VALUE!</v>
      </c>
      <c r="D696" s="21" t="str" cm="1">
        <f t="array" ref="D696">IF(ROWS($D$7:D696)&gt;COUNTIF('[1]U$S'!$H$5:$H$1008,$L$5),"",INDEX(CuentaUS,_xlfn.AGGREGATE(15,6,ROW('[1]U$S'!$H$5:$H$1008)-ROW('[1]U$S'!$O$5)+1/--('[1]U$S'!$H$5:$H$1008=$L$5),ROWS($D$7:D696)),1))</f>
        <v/>
      </c>
      <c r="E696" s="22" t="str" cm="1">
        <f t="array" ref="E696">IF(ROWS($E$7:E696)&gt;COUNTIF('[1]U$S'!$H$5:$H$1008,$L$5),"",INDEX(CuentaUS,_xlfn.AGGREGATE(15,6,ROW('[1]U$S'!$H$5:$H$1008)-ROW('[1]U$S'!$O$5)+1/--('[1]U$S'!$H$5:$H$1008=$L$5),ROWS($E$7:E696)),6))</f>
        <v/>
      </c>
      <c r="F696" s="22" t="str">
        <f>IF(E696="","",IF(E696&gt;0,SUMIFS('[1]UY$'!$L$5:$L$993,'[1]UY$'!$O$5:$O$993,"Cambio",'[1]UY$'!$E$5:$E$993,'Efecto TC'!D696),""))</f>
        <v/>
      </c>
      <c r="G696" s="23" t="str">
        <f t="shared" si="85"/>
        <v/>
      </c>
      <c r="H696" s="22" t="str">
        <f t="shared" si="86"/>
        <v/>
      </c>
      <c r="I696" s="54" t="str">
        <f t="shared" si="83"/>
        <v/>
      </c>
      <c r="R696" s="24" t="e">
        <f t="shared" si="87"/>
        <v>#VALUE!</v>
      </c>
      <c r="S696" s="25" t="e">
        <f t="shared" si="84"/>
        <v>#VALUE!</v>
      </c>
    </row>
    <row r="697" spans="1:19" x14ac:dyDescent="0.25">
      <c r="A697" t="e">
        <f t="shared" si="81"/>
        <v>#VALUE!</v>
      </c>
      <c r="B697" t="e">
        <f t="shared" si="82"/>
        <v>#VALUE!</v>
      </c>
      <c r="D697" s="21" t="str" cm="1">
        <f t="array" ref="D697">IF(ROWS($D$7:D697)&gt;COUNTIF('[1]U$S'!$H$5:$H$1008,$L$5),"",INDEX(CuentaUS,_xlfn.AGGREGATE(15,6,ROW('[1]U$S'!$H$5:$H$1008)-ROW('[1]U$S'!$O$5)+1/--('[1]U$S'!$H$5:$H$1008=$L$5),ROWS($D$7:D697)),1))</f>
        <v/>
      </c>
      <c r="E697" s="22" t="str" cm="1">
        <f t="array" ref="E697">IF(ROWS($E$7:E697)&gt;COUNTIF('[1]U$S'!$H$5:$H$1008,$L$5),"",INDEX(CuentaUS,_xlfn.AGGREGATE(15,6,ROW('[1]U$S'!$H$5:$H$1008)-ROW('[1]U$S'!$O$5)+1/--('[1]U$S'!$H$5:$H$1008=$L$5),ROWS($E$7:E697)),6))</f>
        <v/>
      </c>
      <c r="F697" s="22" t="str">
        <f>IF(E697="","",IF(E697&gt;0,SUMIFS('[1]UY$'!$L$5:$L$993,'[1]UY$'!$O$5:$O$993,"Cambio",'[1]UY$'!$E$5:$E$993,'Efecto TC'!D697),""))</f>
        <v/>
      </c>
      <c r="G697" s="23" t="str">
        <f t="shared" si="85"/>
        <v/>
      </c>
      <c r="H697" s="22" t="str">
        <f t="shared" si="86"/>
        <v/>
      </c>
      <c r="I697" s="54" t="str">
        <f t="shared" si="83"/>
        <v/>
      </c>
      <c r="R697" s="24" t="e">
        <f t="shared" si="87"/>
        <v>#VALUE!</v>
      </c>
      <c r="S697" s="25" t="e">
        <f t="shared" si="84"/>
        <v>#VALUE!</v>
      </c>
    </row>
    <row r="698" spans="1:19" x14ac:dyDescent="0.25">
      <c r="A698" t="e">
        <f t="shared" si="81"/>
        <v>#VALUE!</v>
      </c>
      <c r="B698" t="e">
        <f t="shared" si="82"/>
        <v>#VALUE!</v>
      </c>
      <c r="D698" s="21" t="str" cm="1">
        <f t="array" ref="D698">IF(ROWS($D$7:D698)&gt;COUNTIF('[1]U$S'!$H$5:$H$1008,$L$5),"",INDEX(CuentaUS,_xlfn.AGGREGATE(15,6,ROW('[1]U$S'!$H$5:$H$1008)-ROW('[1]U$S'!$O$5)+1/--('[1]U$S'!$H$5:$H$1008=$L$5),ROWS($D$7:D698)),1))</f>
        <v/>
      </c>
      <c r="E698" s="22" t="str" cm="1">
        <f t="array" ref="E698">IF(ROWS($E$7:E698)&gt;COUNTIF('[1]U$S'!$H$5:$H$1008,$L$5),"",INDEX(CuentaUS,_xlfn.AGGREGATE(15,6,ROW('[1]U$S'!$H$5:$H$1008)-ROW('[1]U$S'!$O$5)+1/--('[1]U$S'!$H$5:$H$1008=$L$5),ROWS($E$7:E698)),6))</f>
        <v/>
      </c>
      <c r="F698" s="22" t="str">
        <f>IF(E698="","",IF(E698&gt;0,SUMIFS('[1]UY$'!$L$5:$L$993,'[1]UY$'!$O$5:$O$993,"Cambio",'[1]UY$'!$E$5:$E$993,'Efecto TC'!D698),""))</f>
        <v/>
      </c>
      <c r="G698" s="23" t="str">
        <f t="shared" si="85"/>
        <v/>
      </c>
      <c r="H698" s="22" t="str">
        <f t="shared" si="86"/>
        <v/>
      </c>
      <c r="I698" s="54" t="str">
        <f t="shared" si="83"/>
        <v/>
      </c>
      <c r="R698" s="24" t="e">
        <f t="shared" si="87"/>
        <v>#VALUE!</v>
      </c>
      <c r="S698" s="25" t="e">
        <f t="shared" si="84"/>
        <v>#VALUE!</v>
      </c>
    </row>
    <row r="699" spans="1:19" x14ac:dyDescent="0.25">
      <c r="A699" t="e">
        <f t="shared" si="81"/>
        <v>#VALUE!</v>
      </c>
      <c r="B699" t="e">
        <f t="shared" si="82"/>
        <v>#VALUE!</v>
      </c>
      <c r="D699" s="21" t="str" cm="1">
        <f t="array" ref="D699">IF(ROWS($D$7:D699)&gt;COUNTIF('[1]U$S'!$H$5:$H$1008,$L$5),"",INDEX(CuentaUS,_xlfn.AGGREGATE(15,6,ROW('[1]U$S'!$H$5:$H$1008)-ROW('[1]U$S'!$O$5)+1/--('[1]U$S'!$H$5:$H$1008=$L$5),ROWS($D$7:D699)),1))</f>
        <v/>
      </c>
      <c r="E699" s="22" t="str" cm="1">
        <f t="array" ref="E699">IF(ROWS($E$7:E699)&gt;COUNTIF('[1]U$S'!$H$5:$H$1008,$L$5),"",INDEX(CuentaUS,_xlfn.AGGREGATE(15,6,ROW('[1]U$S'!$H$5:$H$1008)-ROW('[1]U$S'!$O$5)+1/--('[1]U$S'!$H$5:$H$1008=$L$5),ROWS($E$7:E699)),6))</f>
        <v/>
      </c>
      <c r="F699" s="22" t="str">
        <f>IF(E699="","",IF(E699&gt;0,SUMIFS('[1]UY$'!$L$5:$L$993,'[1]UY$'!$O$5:$O$993,"Cambio",'[1]UY$'!$E$5:$E$993,'Efecto TC'!D699),""))</f>
        <v/>
      </c>
      <c r="G699" s="23" t="str">
        <f t="shared" si="85"/>
        <v/>
      </c>
      <c r="H699" s="22" t="str">
        <f t="shared" si="86"/>
        <v/>
      </c>
      <c r="I699" s="54" t="str">
        <f t="shared" si="83"/>
        <v/>
      </c>
      <c r="R699" s="24" t="e">
        <f t="shared" si="87"/>
        <v>#VALUE!</v>
      </c>
      <c r="S699" s="25" t="e">
        <f t="shared" si="84"/>
        <v>#VALUE!</v>
      </c>
    </row>
    <row r="700" spans="1:19" x14ac:dyDescent="0.25">
      <c r="A700" t="e">
        <f t="shared" si="81"/>
        <v>#VALUE!</v>
      </c>
      <c r="B700" t="e">
        <f t="shared" si="82"/>
        <v>#VALUE!</v>
      </c>
      <c r="D700" s="21" t="str" cm="1">
        <f t="array" ref="D700">IF(ROWS($D$7:D700)&gt;COUNTIF('[1]U$S'!$H$5:$H$1008,$L$5),"",INDEX(CuentaUS,_xlfn.AGGREGATE(15,6,ROW('[1]U$S'!$H$5:$H$1008)-ROW('[1]U$S'!$O$5)+1/--('[1]U$S'!$H$5:$H$1008=$L$5),ROWS($D$7:D700)),1))</f>
        <v/>
      </c>
      <c r="E700" s="22" t="str" cm="1">
        <f t="array" ref="E700">IF(ROWS($E$7:E700)&gt;COUNTIF('[1]U$S'!$H$5:$H$1008,$L$5),"",INDEX(CuentaUS,_xlfn.AGGREGATE(15,6,ROW('[1]U$S'!$H$5:$H$1008)-ROW('[1]U$S'!$O$5)+1/--('[1]U$S'!$H$5:$H$1008=$L$5),ROWS($E$7:E700)),6))</f>
        <v/>
      </c>
      <c r="F700" s="22" t="str">
        <f>IF(E700="","",IF(E700&gt;0,SUMIFS('[1]UY$'!$L$5:$L$993,'[1]UY$'!$O$5:$O$993,"Cambio",'[1]UY$'!$E$5:$E$993,'Efecto TC'!D700),""))</f>
        <v/>
      </c>
      <c r="G700" s="23" t="str">
        <f t="shared" si="85"/>
        <v/>
      </c>
      <c r="H700" s="22" t="str">
        <f t="shared" si="86"/>
        <v/>
      </c>
      <c r="I700" s="54" t="str">
        <f t="shared" si="83"/>
        <v/>
      </c>
      <c r="R700" s="24" t="e">
        <f t="shared" si="87"/>
        <v>#VALUE!</v>
      </c>
      <c r="S700" s="25" t="e">
        <f t="shared" si="84"/>
        <v>#VALUE!</v>
      </c>
    </row>
    <row r="701" spans="1:19" x14ac:dyDescent="0.25">
      <c r="A701" t="e">
        <f t="shared" si="81"/>
        <v>#VALUE!</v>
      </c>
      <c r="B701" t="e">
        <f t="shared" si="82"/>
        <v>#VALUE!</v>
      </c>
      <c r="D701" s="21" t="str" cm="1">
        <f t="array" ref="D701">IF(ROWS($D$7:D701)&gt;COUNTIF('[1]U$S'!$H$5:$H$1008,$L$5),"",INDEX(CuentaUS,_xlfn.AGGREGATE(15,6,ROW('[1]U$S'!$H$5:$H$1008)-ROW('[1]U$S'!$O$5)+1/--('[1]U$S'!$H$5:$H$1008=$L$5),ROWS($D$7:D701)),1))</f>
        <v/>
      </c>
      <c r="E701" s="22" t="str" cm="1">
        <f t="array" ref="E701">IF(ROWS($E$7:E701)&gt;COUNTIF('[1]U$S'!$H$5:$H$1008,$L$5),"",INDEX(CuentaUS,_xlfn.AGGREGATE(15,6,ROW('[1]U$S'!$H$5:$H$1008)-ROW('[1]U$S'!$O$5)+1/--('[1]U$S'!$H$5:$H$1008=$L$5),ROWS($E$7:E701)),6))</f>
        <v/>
      </c>
      <c r="F701" s="22" t="str">
        <f>IF(E701="","",IF(E701&gt;0,SUMIFS('[1]UY$'!$L$5:$L$993,'[1]UY$'!$O$5:$O$993,"Cambio",'[1]UY$'!$E$5:$E$993,'Efecto TC'!D701),""))</f>
        <v/>
      </c>
      <c r="G701" s="23" t="str">
        <f t="shared" si="85"/>
        <v/>
      </c>
      <c r="H701" s="22" t="str">
        <f t="shared" si="86"/>
        <v/>
      </c>
      <c r="I701" s="54" t="str">
        <f t="shared" si="83"/>
        <v/>
      </c>
      <c r="R701" s="24" t="e">
        <f t="shared" si="87"/>
        <v>#VALUE!</v>
      </c>
      <c r="S701" s="25" t="e">
        <f t="shared" si="84"/>
        <v>#VALUE!</v>
      </c>
    </row>
    <row r="702" spans="1:19" x14ac:dyDescent="0.25">
      <c r="A702" t="e">
        <f t="shared" si="81"/>
        <v>#VALUE!</v>
      </c>
      <c r="B702" t="e">
        <f t="shared" si="82"/>
        <v>#VALUE!</v>
      </c>
      <c r="D702" s="21" t="str" cm="1">
        <f t="array" ref="D702">IF(ROWS($D$7:D702)&gt;COUNTIF('[1]U$S'!$H$5:$H$1008,$L$5),"",INDEX(CuentaUS,_xlfn.AGGREGATE(15,6,ROW('[1]U$S'!$H$5:$H$1008)-ROW('[1]U$S'!$O$5)+1/--('[1]U$S'!$H$5:$H$1008=$L$5),ROWS($D$7:D702)),1))</f>
        <v/>
      </c>
      <c r="E702" s="22" t="str" cm="1">
        <f t="array" ref="E702">IF(ROWS($E$7:E702)&gt;COUNTIF('[1]U$S'!$H$5:$H$1008,$L$5),"",INDEX(CuentaUS,_xlfn.AGGREGATE(15,6,ROW('[1]U$S'!$H$5:$H$1008)-ROW('[1]U$S'!$O$5)+1/--('[1]U$S'!$H$5:$H$1008=$L$5),ROWS($E$7:E702)),6))</f>
        <v/>
      </c>
      <c r="F702" s="22" t="str">
        <f>IF(E702="","",IF(E702&gt;0,SUMIFS('[1]UY$'!$L$5:$L$993,'[1]UY$'!$O$5:$O$993,"Cambio",'[1]UY$'!$E$5:$E$993,'Efecto TC'!D702),""))</f>
        <v/>
      </c>
      <c r="G702" s="23" t="str">
        <f t="shared" si="85"/>
        <v/>
      </c>
      <c r="H702" s="22" t="str">
        <f t="shared" si="86"/>
        <v/>
      </c>
      <c r="I702" s="54" t="str">
        <f t="shared" si="83"/>
        <v/>
      </c>
      <c r="R702" s="24" t="e">
        <f t="shared" si="87"/>
        <v>#VALUE!</v>
      </c>
      <c r="S702" s="25" t="e">
        <f t="shared" si="84"/>
        <v>#VALUE!</v>
      </c>
    </row>
    <row r="703" spans="1:19" x14ac:dyDescent="0.25">
      <c r="A703" t="e">
        <f t="shared" si="81"/>
        <v>#VALUE!</v>
      </c>
      <c r="B703" t="e">
        <f t="shared" si="82"/>
        <v>#VALUE!</v>
      </c>
      <c r="D703" s="21" t="str" cm="1">
        <f t="array" ref="D703">IF(ROWS($D$7:D703)&gt;COUNTIF('[1]U$S'!$H$5:$H$1008,$L$5),"",INDEX(CuentaUS,_xlfn.AGGREGATE(15,6,ROW('[1]U$S'!$H$5:$H$1008)-ROW('[1]U$S'!$O$5)+1/--('[1]U$S'!$H$5:$H$1008=$L$5),ROWS($D$7:D703)),1))</f>
        <v/>
      </c>
      <c r="E703" s="22" t="str" cm="1">
        <f t="array" ref="E703">IF(ROWS($E$7:E703)&gt;COUNTIF('[1]U$S'!$H$5:$H$1008,$L$5),"",INDEX(CuentaUS,_xlfn.AGGREGATE(15,6,ROW('[1]U$S'!$H$5:$H$1008)-ROW('[1]U$S'!$O$5)+1/--('[1]U$S'!$H$5:$H$1008=$L$5),ROWS($E$7:E703)),6))</f>
        <v/>
      </c>
      <c r="F703" s="22" t="str">
        <f>IF(E703="","",IF(E703&gt;0,SUMIFS('[1]UY$'!$L$5:$L$993,'[1]UY$'!$O$5:$O$993,"Cambio",'[1]UY$'!$E$5:$E$993,'Efecto TC'!D703),""))</f>
        <v/>
      </c>
      <c r="G703" s="23" t="str">
        <f t="shared" si="85"/>
        <v/>
      </c>
      <c r="H703" s="22" t="str">
        <f t="shared" si="86"/>
        <v/>
      </c>
      <c r="I703" s="54" t="str">
        <f t="shared" si="83"/>
        <v/>
      </c>
      <c r="R703" s="24" t="e">
        <f t="shared" si="87"/>
        <v>#VALUE!</v>
      </c>
      <c r="S703" s="25" t="e">
        <f t="shared" si="84"/>
        <v>#VALUE!</v>
      </c>
    </row>
    <row r="704" spans="1:19" x14ac:dyDescent="0.25">
      <c r="A704" t="e">
        <f t="shared" si="81"/>
        <v>#VALUE!</v>
      </c>
      <c r="B704" t="e">
        <f t="shared" si="82"/>
        <v>#VALUE!</v>
      </c>
      <c r="D704" s="21" t="str" cm="1">
        <f t="array" ref="D704">IF(ROWS($D$7:D704)&gt;COUNTIF('[1]U$S'!$H$5:$H$1008,$L$5),"",INDEX(CuentaUS,_xlfn.AGGREGATE(15,6,ROW('[1]U$S'!$H$5:$H$1008)-ROW('[1]U$S'!$O$5)+1/--('[1]U$S'!$H$5:$H$1008=$L$5),ROWS($D$7:D704)),1))</f>
        <v/>
      </c>
      <c r="E704" s="22" t="str" cm="1">
        <f t="array" ref="E704">IF(ROWS($E$7:E704)&gt;COUNTIF('[1]U$S'!$H$5:$H$1008,$L$5),"",INDEX(CuentaUS,_xlfn.AGGREGATE(15,6,ROW('[1]U$S'!$H$5:$H$1008)-ROW('[1]U$S'!$O$5)+1/--('[1]U$S'!$H$5:$H$1008=$L$5),ROWS($E$7:E704)),6))</f>
        <v/>
      </c>
      <c r="F704" s="22" t="str">
        <f>IF(E704="","",IF(E704&gt;0,SUMIFS('[1]UY$'!$L$5:$L$993,'[1]UY$'!$O$5:$O$993,"Cambio",'[1]UY$'!$E$5:$E$993,'Efecto TC'!D704),""))</f>
        <v/>
      </c>
      <c r="G704" s="23" t="str">
        <f t="shared" si="85"/>
        <v/>
      </c>
      <c r="H704" s="22" t="str">
        <f t="shared" si="86"/>
        <v/>
      </c>
      <c r="I704" s="54" t="str">
        <f t="shared" si="83"/>
        <v/>
      </c>
      <c r="R704" s="24" t="e">
        <f t="shared" si="87"/>
        <v>#VALUE!</v>
      </c>
      <c r="S704" s="25" t="e">
        <f t="shared" si="84"/>
        <v>#VALUE!</v>
      </c>
    </row>
    <row r="705" spans="1:19" x14ac:dyDescent="0.25">
      <c r="A705" t="e">
        <f t="shared" si="81"/>
        <v>#VALUE!</v>
      </c>
      <c r="B705" t="e">
        <f t="shared" si="82"/>
        <v>#VALUE!</v>
      </c>
      <c r="D705" s="21" t="str" cm="1">
        <f t="array" ref="D705">IF(ROWS($D$7:D705)&gt;COUNTIF('[1]U$S'!$H$5:$H$1008,$L$5),"",INDEX(CuentaUS,_xlfn.AGGREGATE(15,6,ROW('[1]U$S'!$H$5:$H$1008)-ROW('[1]U$S'!$O$5)+1/--('[1]U$S'!$H$5:$H$1008=$L$5),ROWS($D$7:D705)),1))</f>
        <v/>
      </c>
      <c r="E705" s="22" t="str" cm="1">
        <f t="array" ref="E705">IF(ROWS($E$7:E705)&gt;COUNTIF('[1]U$S'!$H$5:$H$1008,$L$5),"",INDEX(CuentaUS,_xlfn.AGGREGATE(15,6,ROW('[1]U$S'!$H$5:$H$1008)-ROW('[1]U$S'!$O$5)+1/--('[1]U$S'!$H$5:$H$1008=$L$5),ROWS($E$7:E705)),6))</f>
        <v/>
      </c>
      <c r="F705" s="22" t="str">
        <f>IF(E705="","",IF(E705&gt;0,SUMIFS('[1]UY$'!$L$5:$L$993,'[1]UY$'!$O$5:$O$993,"Cambio",'[1]UY$'!$E$5:$E$993,'Efecto TC'!D705),""))</f>
        <v/>
      </c>
      <c r="G705" s="23" t="str">
        <f t="shared" si="85"/>
        <v/>
      </c>
      <c r="H705" s="22" t="str">
        <f t="shared" si="86"/>
        <v/>
      </c>
      <c r="I705" s="54" t="str">
        <f t="shared" si="83"/>
        <v/>
      </c>
      <c r="R705" s="24" t="e">
        <f t="shared" si="87"/>
        <v>#VALUE!</v>
      </c>
      <c r="S705" s="25" t="e">
        <f t="shared" si="84"/>
        <v>#VALUE!</v>
      </c>
    </row>
    <row r="706" spans="1:19" x14ac:dyDescent="0.25">
      <c r="A706" t="e">
        <f t="shared" si="81"/>
        <v>#VALUE!</v>
      </c>
      <c r="B706" t="e">
        <f t="shared" si="82"/>
        <v>#VALUE!</v>
      </c>
      <c r="D706" s="21" t="str" cm="1">
        <f t="array" ref="D706">IF(ROWS($D$7:D706)&gt;COUNTIF('[1]U$S'!$H$5:$H$1008,$L$5),"",INDEX(CuentaUS,_xlfn.AGGREGATE(15,6,ROW('[1]U$S'!$H$5:$H$1008)-ROW('[1]U$S'!$O$5)+1/--('[1]U$S'!$H$5:$H$1008=$L$5),ROWS($D$7:D706)),1))</f>
        <v/>
      </c>
      <c r="E706" s="22" t="str" cm="1">
        <f t="array" ref="E706">IF(ROWS($E$7:E706)&gt;COUNTIF('[1]U$S'!$H$5:$H$1008,$L$5),"",INDEX(CuentaUS,_xlfn.AGGREGATE(15,6,ROW('[1]U$S'!$H$5:$H$1008)-ROW('[1]U$S'!$O$5)+1/--('[1]U$S'!$H$5:$H$1008=$L$5),ROWS($E$7:E706)),6))</f>
        <v/>
      </c>
      <c r="F706" s="22" t="str">
        <f>IF(E706="","",IF(E706&gt;0,SUMIFS('[1]UY$'!$L$5:$L$993,'[1]UY$'!$O$5:$O$993,"Cambio",'[1]UY$'!$E$5:$E$993,'Efecto TC'!D706),""))</f>
        <v/>
      </c>
      <c r="G706" s="23" t="str">
        <f t="shared" si="85"/>
        <v/>
      </c>
      <c r="H706" s="22" t="str">
        <f t="shared" si="86"/>
        <v/>
      </c>
      <c r="I706" s="54" t="str">
        <f t="shared" si="83"/>
        <v/>
      </c>
      <c r="R706" s="24" t="e">
        <f t="shared" si="87"/>
        <v>#VALUE!</v>
      </c>
      <c r="S706" s="25" t="e">
        <f t="shared" si="84"/>
        <v>#VALUE!</v>
      </c>
    </row>
    <row r="707" spans="1:19" x14ac:dyDescent="0.25">
      <c r="A707" t="e">
        <f t="shared" si="81"/>
        <v>#VALUE!</v>
      </c>
      <c r="B707" t="e">
        <f t="shared" si="82"/>
        <v>#VALUE!</v>
      </c>
      <c r="D707" s="21" t="str" cm="1">
        <f t="array" ref="D707">IF(ROWS($D$7:D707)&gt;COUNTIF('[1]U$S'!$H$5:$H$1008,$L$5),"",INDEX(CuentaUS,_xlfn.AGGREGATE(15,6,ROW('[1]U$S'!$H$5:$H$1008)-ROW('[1]U$S'!$O$5)+1/--('[1]U$S'!$H$5:$H$1008=$L$5),ROWS($D$7:D707)),1))</f>
        <v/>
      </c>
      <c r="E707" s="22" t="str" cm="1">
        <f t="array" ref="E707">IF(ROWS($E$7:E707)&gt;COUNTIF('[1]U$S'!$H$5:$H$1008,$L$5),"",INDEX(CuentaUS,_xlfn.AGGREGATE(15,6,ROW('[1]U$S'!$H$5:$H$1008)-ROW('[1]U$S'!$O$5)+1/--('[1]U$S'!$H$5:$H$1008=$L$5),ROWS($E$7:E707)),6))</f>
        <v/>
      </c>
      <c r="F707" s="22" t="str">
        <f>IF(E707="","",IF(E707&gt;0,SUMIFS('[1]UY$'!$L$5:$L$993,'[1]UY$'!$O$5:$O$993,"Cambio",'[1]UY$'!$E$5:$E$993,'Efecto TC'!D707),""))</f>
        <v/>
      </c>
      <c r="G707" s="23" t="str">
        <f t="shared" si="85"/>
        <v/>
      </c>
      <c r="H707" s="22" t="str">
        <f t="shared" si="86"/>
        <v/>
      </c>
      <c r="I707" s="54" t="str">
        <f t="shared" si="83"/>
        <v/>
      </c>
      <c r="R707" s="24" t="e">
        <f t="shared" si="87"/>
        <v>#VALUE!</v>
      </c>
      <c r="S707" s="25" t="e">
        <f t="shared" si="84"/>
        <v>#VALUE!</v>
      </c>
    </row>
    <row r="708" spans="1:19" x14ac:dyDescent="0.25">
      <c r="A708" t="e">
        <f t="shared" si="81"/>
        <v>#VALUE!</v>
      </c>
      <c r="B708" t="e">
        <f t="shared" si="82"/>
        <v>#VALUE!</v>
      </c>
      <c r="D708" s="21" t="str" cm="1">
        <f t="array" ref="D708">IF(ROWS($D$7:D708)&gt;COUNTIF('[1]U$S'!$H$5:$H$1008,$L$5),"",INDEX(CuentaUS,_xlfn.AGGREGATE(15,6,ROW('[1]U$S'!$H$5:$H$1008)-ROW('[1]U$S'!$O$5)+1/--('[1]U$S'!$H$5:$H$1008=$L$5),ROWS($D$7:D708)),1))</f>
        <v/>
      </c>
      <c r="E708" s="22" t="str" cm="1">
        <f t="array" ref="E708">IF(ROWS($E$7:E708)&gt;COUNTIF('[1]U$S'!$H$5:$H$1008,$L$5),"",INDEX(CuentaUS,_xlfn.AGGREGATE(15,6,ROW('[1]U$S'!$H$5:$H$1008)-ROW('[1]U$S'!$O$5)+1/--('[1]U$S'!$H$5:$H$1008=$L$5),ROWS($E$7:E708)),6))</f>
        <v/>
      </c>
      <c r="F708" s="22" t="str">
        <f>IF(E708="","",IF(E708&gt;0,SUMIFS('[1]UY$'!$L$5:$L$993,'[1]UY$'!$O$5:$O$993,"Cambio",'[1]UY$'!$E$5:$E$993,'Efecto TC'!D708),""))</f>
        <v/>
      </c>
      <c r="G708" s="23" t="str">
        <f t="shared" si="85"/>
        <v/>
      </c>
      <c r="H708" s="22" t="str">
        <f t="shared" si="86"/>
        <v/>
      </c>
      <c r="I708" s="54" t="str">
        <f t="shared" si="83"/>
        <v/>
      </c>
      <c r="R708" s="24" t="e">
        <f t="shared" si="87"/>
        <v>#VALUE!</v>
      </c>
      <c r="S708" s="25" t="e">
        <f t="shared" si="84"/>
        <v>#VALUE!</v>
      </c>
    </row>
    <row r="709" spans="1:19" x14ac:dyDescent="0.25">
      <c r="A709" t="e">
        <f t="shared" si="81"/>
        <v>#VALUE!</v>
      </c>
      <c r="B709" t="e">
        <f t="shared" si="82"/>
        <v>#VALUE!</v>
      </c>
      <c r="D709" s="21" t="str" cm="1">
        <f t="array" ref="D709">IF(ROWS($D$7:D709)&gt;COUNTIF('[1]U$S'!$H$5:$H$1008,$L$5),"",INDEX(CuentaUS,_xlfn.AGGREGATE(15,6,ROW('[1]U$S'!$H$5:$H$1008)-ROW('[1]U$S'!$O$5)+1/--('[1]U$S'!$H$5:$H$1008=$L$5),ROWS($D$7:D709)),1))</f>
        <v/>
      </c>
      <c r="E709" s="22" t="str" cm="1">
        <f t="array" ref="E709">IF(ROWS($E$7:E709)&gt;COUNTIF('[1]U$S'!$H$5:$H$1008,$L$5),"",INDEX(CuentaUS,_xlfn.AGGREGATE(15,6,ROW('[1]U$S'!$H$5:$H$1008)-ROW('[1]U$S'!$O$5)+1/--('[1]U$S'!$H$5:$H$1008=$L$5),ROWS($E$7:E709)),6))</f>
        <v/>
      </c>
      <c r="F709" s="22" t="str">
        <f>IF(E709="","",IF(E709&gt;0,SUMIFS('[1]UY$'!$L$5:$L$993,'[1]UY$'!$O$5:$O$993,"Cambio",'[1]UY$'!$E$5:$E$993,'Efecto TC'!D709),""))</f>
        <v/>
      </c>
      <c r="G709" s="23" t="str">
        <f t="shared" si="85"/>
        <v/>
      </c>
      <c r="H709" s="22" t="str">
        <f t="shared" si="86"/>
        <v/>
      </c>
      <c r="I709" s="54" t="str">
        <f t="shared" si="83"/>
        <v/>
      </c>
      <c r="R709" s="24" t="e">
        <f t="shared" si="87"/>
        <v>#VALUE!</v>
      </c>
      <c r="S709" s="25" t="e">
        <f t="shared" si="84"/>
        <v>#VALUE!</v>
      </c>
    </row>
    <row r="710" spans="1:19" x14ac:dyDescent="0.25">
      <c r="A710" t="e">
        <f t="shared" si="81"/>
        <v>#VALUE!</v>
      </c>
      <c r="B710" t="e">
        <f t="shared" si="82"/>
        <v>#VALUE!</v>
      </c>
      <c r="D710" s="21" t="str" cm="1">
        <f t="array" ref="D710">IF(ROWS($D$7:D710)&gt;COUNTIF('[1]U$S'!$H$5:$H$1008,$L$5),"",INDEX(CuentaUS,_xlfn.AGGREGATE(15,6,ROW('[1]U$S'!$H$5:$H$1008)-ROW('[1]U$S'!$O$5)+1/--('[1]U$S'!$H$5:$H$1008=$L$5),ROWS($D$7:D710)),1))</f>
        <v/>
      </c>
      <c r="E710" s="22" t="str" cm="1">
        <f t="array" ref="E710">IF(ROWS($E$7:E710)&gt;COUNTIF('[1]U$S'!$H$5:$H$1008,$L$5),"",INDEX(CuentaUS,_xlfn.AGGREGATE(15,6,ROW('[1]U$S'!$H$5:$H$1008)-ROW('[1]U$S'!$O$5)+1/--('[1]U$S'!$H$5:$H$1008=$L$5),ROWS($E$7:E710)),6))</f>
        <v/>
      </c>
      <c r="F710" s="22" t="str">
        <f>IF(E710="","",IF(E710&gt;0,SUMIFS('[1]UY$'!$L$5:$L$993,'[1]UY$'!$O$5:$O$993,"Cambio",'[1]UY$'!$E$5:$E$993,'Efecto TC'!D710),""))</f>
        <v/>
      </c>
      <c r="G710" s="23" t="str">
        <f t="shared" si="85"/>
        <v/>
      </c>
      <c r="H710" s="22" t="str">
        <f t="shared" si="86"/>
        <v/>
      </c>
      <c r="I710" s="54" t="str">
        <f t="shared" si="83"/>
        <v/>
      </c>
      <c r="R710" s="24" t="e">
        <f t="shared" si="87"/>
        <v>#VALUE!</v>
      </c>
      <c r="S710" s="25" t="e">
        <f t="shared" si="84"/>
        <v>#VALUE!</v>
      </c>
    </row>
    <row r="711" spans="1:19" x14ac:dyDescent="0.25">
      <c r="A711" t="e">
        <f t="shared" ref="A711:A774" si="88">MONTH(D711)</f>
        <v>#VALUE!</v>
      </c>
      <c r="B711" t="e">
        <f t="shared" ref="B711:B774" si="89">YEAR(D711)</f>
        <v>#VALUE!</v>
      </c>
      <c r="D711" s="21" t="str" cm="1">
        <f t="array" ref="D711">IF(ROWS($D$7:D711)&gt;COUNTIF('[1]U$S'!$H$5:$H$1008,$L$5),"",INDEX(CuentaUS,_xlfn.AGGREGATE(15,6,ROW('[1]U$S'!$H$5:$H$1008)-ROW('[1]U$S'!$O$5)+1/--('[1]U$S'!$H$5:$H$1008=$L$5),ROWS($D$7:D711)),1))</f>
        <v/>
      </c>
      <c r="E711" s="22" t="str" cm="1">
        <f t="array" ref="E711">IF(ROWS($E$7:E711)&gt;COUNTIF('[1]U$S'!$H$5:$H$1008,$L$5),"",INDEX(CuentaUS,_xlfn.AGGREGATE(15,6,ROW('[1]U$S'!$H$5:$H$1008)-ROW('[1]U$S'!$O$5)+1/--('[1]U$S'!$H$5:$H$1008=$L$5),ROWS($E$7:E711)),6))</f>
        <v/>
      </c>
      <c r="F711" s="22" t="str">
        <f>IF(E711="","",IF(E711&gt;0,SUMIFS('[1]UY$'!$L$5:$L$993,'[1]UY$'!$O$5:$O$993,"Cambio",'[1]UY$'!$E$5:$E$993,'Efecto TC'!D711),""))</f>
        <v/>
      </c>
      <c r="G711" s="23" t="str">
        <f t="shared" si="85"/>
        <v/>
      </c>
      <c r="H711" s="22" t="str">
        <f t="shared" si="86"/>
        <v/>
      </c>
      <c r="I711" s="54" t="str">
        <f t="shared" si="83"/>
        <v/>
      </c>
      <c r="R711" s="24" t="e">
        <f t="shared" si="87"/>
        <v>#VALUE!</v>
      </c>
      <c r="S711" s="25" t="e">
        <f t="shared" si="84"/>
        <v>#VALUE!</v>
      </c>
    </row>
    <row r="712" spans="1:19" x14ac:dyDescent="0.25">
      <c r="A712" t="e">
        <f t="shared" si="88"/>
        <v>#VALUE!</v>
      </c>
      <c r="B712" t="e">
        <f t="shared" si="89"/>
        <v>#VALUE!</v>
      </c>
      <c r="D712" s="21" t="str" cm="1">
        <f t="array" ref="D712">IF(ROWS($D$7:D712)&gt;COUNTIF('[1]U$S'!$H$5:$H$1008,$L$5),"",INDEX(CuentaUS,_xlfn.AGGREGATE(15,6,ROW('[1]U$S'!$H$5:$H$1008)-ROW('[1]U$S'!$O$5)+1/--('[1]U$S'!$H$5:$H$1008=$L$5),ROWS($D$7:D712)),1))</f>
        <v/>
      </c>
      <c r="E712" s="22" t="str" cm="1">
        <f t="array" ref="E712">IF(ROWS($E$7:E712)&gt;COUNTIF('[1]U$S'!$H$5:$H$1008,$L$5),"",INDEX(CuentaUS,_xlfn.AGGREGATE(15,6,ROW('[1]U$S'!$H$5:$H$1008)-ROW('[1]U$S'!$O$5)+1/--('[1]U$S'!$H$5:$H$1008=$L$5),ROWS($E$7:E712)),6))</f>
        <v/>
      </c>
      <c r="F712" s="22" t="str">
        <f>IF(E712="","",IF(E712&gt;0,SUMIFS('[1]UY$'!$L$5:$L$993,'[1]UY$'!$O$5:$O$993,"Cambio",'[1]UY$'!$E$5:$E$993,'Efecto TC'!D712),""))</f>
        <v/>
      </c>
      <c r="G712" s="23" t="str">
        <f t="shared" si="85"/>
        <v/>
      </c>
      <c r="H712" s="22" t="str">
        <f t="shared" si="86"/>
        <v/>
      </c>
      <c r="I712" s="54" t="str">
        <f t="shared" si="83"/>
        <v/>
      </c>
      <c r="R712" s="24" t="e">
        <f t="shared" si="87"/>
        <v>#VALUE!</v>
      </c>
      <c r="S712" s="25" t="e">
        <f t="shared" si="84"/>
        <v>#VALUE!</v>
      </c>
    </row>
    <row r="713" spans="1:19" x14ac:dyDescent="0.25">
      <c r="A713" t="e">
        <f t="shared" si="88"/>
        <v>#VALUE!</v>
      </c>
      <c r="B713" t="e">
        <f t="shared" si="89"/>
        <v>#VALUE!</v>
      </c>
      <c r="D713" s="21" t="str" cm="1">
        <f t="array" ref="D713">IF(ROWS($D$7:D713)&gt;COUNTIF('[1]U$S'!$H$5:$H$1008,$L$5),"",INDEX(CuentaUS,_xlfn.AGGREGATE(15,6,ROW('[1]U$S'!$H$5:$H$1008)-ROW('[1]U$S'!$O$5)+1/--('[1]U$S'!$H$5:$H$1008=$L$5),ROWS($D$7:D713)),1))</f>
        <v/>
      </c>
      <c r="E713" s="22" t="str" cm="1">
        <f t="array" ref="E713">IF(ROWS($E$7:E713)&gt;COUNTIF('[1]U$S'!$H$5:$H$1008,$L$5),"",INDEX(CuentaUS,_xlfn.AGGREGATE(15,6,ROW('[1]U$S'!$H$5:$H$1008)-ROW('[1]U$S'!$O$5)+1/--('[1]U$S'!$H$5:$H$1008=$L$5),ROWS($E$7:E713)),6))</f>
        <v/>
      </c>
      <c r="F713" s="22" t="str">
        <f>IF(E713="","",IF(E713&gt;0,SUMIFS('[1]UY$'!$L$5:$L$993,'[1]UY$'!$O$5:$O$993,"Cambio",'[1]UY$'!$E$5:$E$993,'Efecto TC'!D713),""))</f>
        <v/>
      </c>
      <c r="G713" s="23" t="str">
        <f t="shared" si="85"/>
        <v/>
      </c>
      <c r="H713" s="22" t="str">
        <f t="shared" si="86"/>
        <v/>
      </c>
      <c r="I713" s="54" t="str">
        <f t="shared" si="83"/>
        <v/>
      </c>
      <c r="R713" s="24" t="e">
        <f t="shared" si="87"/>
        <v>#VALUE!</v>
      </c>
      <c r="S713" s="25" t="e">
        <f t="shared" si="84"/>
        <v>#VALUE!</v>
      </c>
    </row>
    <row r="714" spans="1:19" x14ac:dyDescent="0.25">
      <c r="A714" t="e">
        <f t="shared" si="88"/>
        <v>#VALUE!</v>
      </c>
      <c r="B714" t="e">
        <f t="shared" si="89"/>
        <v>#VALUE!</v>
      </c>
      <c r="D714" s="21" t="str" cm="1">
        <f t="array" ref="D714">IF(ROWS($D$7:D714)&gt;COUNTIF('[1]U$S'!$H$5:$H$1008,$L$5),"",INDEX(CuentaUS,_xlfn.AGGREGATE(15,6,ROW('[1]U$S'!$H$5:$H$1008)-ROW('[1]U$S'!$O$5)+1/--('[1]U$S'!$H$5:$H$1008=$L$5),ROWS($D$7:D714)),1))</f>
        <v/>
      </c>
      <c r="E714" s="22" t="str" cm="1">
        <f t="array" ref="E714">IF(ROWS($E$7:E714)&gt;COUNTIF('[1]U$S'!$H$5:$H$1008,$L$5),"",INDEX(CuentaUS,_xlfn.AGGREGATE(15,6,ROW('[1]U$S'!$H$5:$H$1008)-ROW('[1]U$S'!$O$5)+1/--('[1]U$S'!$H$5:$H$1008=$L$5),ROWS($E$7:E714)),6))</f>
        <v/>
      </c>
      <c r="F714" s="22" t="str">
        <f>IF(E714="","",IF(E714&gt;0,SUMIFS('[1]UY$'!$L$5:$L$993,'[1]UY$'!$O$5:$O$993,"Cambio",'[1]UY$'!$E$5:$E$993,'Efecto TC'!D714),""))</f>
        <v/>
      </c>
      <c r="G714" s="23" t="str">
        <f t="shared" si="85"/>
        <v/>
      </c>
      <c r="H714" s="22" t="str">
        <f t="shared" si="86"/>
        <v/>
      </c>
      <c r="I714" s="54" t="str">
        <f t="shared" ref="I714:I777" si="90">IF(H714="","",+H714+I713)</f>
        <v/>
      </c>
      <c r="R714" s="24" t="e">
        <f t="shared" si="87"/>
        <v>#VALUE!</v>
      </c>
      <c r="S714" s="25" t="e">
        <f t="shared" si="84"/>
        <v>#VALUE!</v>
      </c>
    </row>
    <row r="715" spans="1:19" x14ac:dyDescent="0.25">
      <c r="A715" t="e">
        <f t="shared" si="88"/>
        <v>#VALUE!</v>
      </c>
      <c r="B715" t="e">
        <f t="shared" si="89"/>
        <v>#VALUE!</v>
      </c>
      <c r="D715" s="21" t="str" cm="1">
        <f t="array" ref="D715">IF(ROWS($D$7:D715)&gt;COUNTIF('[1]U$S'!$H$5:$H$1008,$L$5),"",INDEX(CuentaUS,_xlfn.AGGREGATE(15,6,ROW('[1]U$S'!$H$5:$H$1008)-ROW('[1]U$S'!$O$5)+1/--('[1]U$S'!$H$5:$H$1008=$L$5),ROWS($D$7:D715)),1))</f>
        <v/>
      </c>
      <c r="E715" s="22" t="str" cm="1">
        <f t="array" ref="E715">IF(ROWS($E$7:E715)&gt;COUNTIF('[1]U$S'!$H$5:$H$1008,$L$5),"",INDEX(CuentaUS,_xlfn.AGGREGATE(15,6,ROW('[1]U$S'!$H$5:$H$1008)-ROW('[1]U$S'!$O$5)+1/--('[1]U$S'!$H$5:$H$1008=$L$5),ROWS($E$7:E715)),6))</f>
        <v/>
      </c>
      <c r="F715" s="22" t="str">
        <f>IF(E715="","",IF(E715&gt;0,SUMIFS('[1]UY$'!$L$5:$L$993,'[1]UY$'!$O$5:$O$993,"Cambio",'[1]UY$'!$E$5:$E$993,'Efecto TC'!D715),""))</f>
        <v/>
      </c>
      <c r="G715" s="23" t="str">
        <f t="shared" si="85"/>
        <v/>
      </c>
      <c r="H715" s="22" t="str">
        <f t="shared" si="86"/>
        <v/>
      </c>
      <c r="I715" s="54" t="str">
        <f t="shared" si="90"/>
        <v/>
      </c>
      <c r="R715" s="24" t="e">
        <f t="shared" si="87"/>
        <v>#VALUE!</v>
      </c>
      <c r="S715" s="25" t="e">
        <f t="shared" si="84"/>
        <v>#VALUE!</v>
      </c>
    </row>
    <row r="716" spans="1:19" x14ac:dyDescent="0.25">
      <c r="A716" t="e">
        <f t="shared" si="88"/>
        <v>#VALUE!</v>
      </c>
      <c r="B716" t="e">
        <f t="shared" si="89"/>
        <v>#VALUE!</v>
      </c>
      <c r="D716" s="21" t="str" cm="1">
        <f t="array" ref="D716">IF(ROWS($D$7:D716)&gt;COUNTIF('[1]U$S'!$H$5:$H$1008,$L$5),"",INDEX(CuentaUS,_xlfn.AGGREGATE(15,6,ROW('[1]U$S'!$H$5:$H$1008)-ROW('[1]U$S'!$O$5)+1/--('[1]U$S'!$H$5:$H$1008=$L$5),ROWS($D$7:D716)),1))</f>
        <v/>
      </c>
      <c r="E716" s="22" t="str" cm="1">
        <f t="array" ref="E716">IF(ROWS($E$7:E716)&gt;COUNTIF('[1]U$S'!$H$5:$H$1008,$L$5),"",INDEX(CuentaUS,_xlfn.AGGREGATE(15,6,ROW('[1]U$S'!$H$5:$H$1008)-ROW('[1]U$S'!$O$5)+1/--('[1]U$S'!$H$5:$H$1008=$L$5),ROWS($E$7:E716)),6))</f>
        <v/>
      </c>
      <c r="F716" s="22" t="str">
        <f>IF(E716="","",IF(E716&gt;0,SUMIFS('[1]UY$'!$L$5:$L$993,'[1]UY$'!$O$5:$O$993,"Cambio",'[1]UY$'!$E$5:$E$993,'Efecto TC'!D716),""))</f>
        <v/>
      </c>
      <c r="G716" s="23" t="str">
        <f t="shared" si="85"/>
        <v/>
      </c>
      <c r="H716" s="22" t="str">
        <f t="shared" si="86"/>
        <v/>
      </c>
      <c r="I716" s="54" t="str">
        <f t="shared" si="90"/>
        <v/>
      </c>
      <c r="R716" s="24" t="e">
        <f t="shared" si="87"/>
        <v>#VALUE!</v>
      </c>
      <c r="S716" s="25" t="e">
        <f t="shared" si="84"/>
        <v>#VALUE!</v>
      </c>
    </row>
    <row r="717" spans="1:19" x14ac:dyDescent="0.25">
      <c r="A717" t="e">
        <f t="shared" si="88"/>
        <v>#VALUE!</v>
      </c>
      <c r="B717" t="e">
        <f t="shared" si="89"/>
        <v>#VALUE!</v>
      </c>
      <c r="D717" s="21" t="str" cm="1">
        <f t="array" ref="D717">IF(ROWS($D$7:D717)&gt;COUNTIF('[1]U$S'!$H$5:$H$1008,$L$5),"",INDEX(CuentaUS,_xlfn.AGGREGATE(15,6,ROW('[1]U$S'!$H$5:$H$1008)-ROW('[1]U$S'!$O$5)+1/--('[1]U$S'!$H$5:$H$1008=$L$5),ROWS($D$7:D717)),1))</f>
        <v/>
      </c>
      <c r="E717" s="22" t="str" cm="1">
        <f t="array" ref="E717">IF(ROWS($E$7:E717)&gt;COUNTIF('[1]U$S'!$H$5:$H$1008,$L$5),"",INDEX(CuentaUS,_xlfn.AGGREGATE(15,6,ROW('[1]U$S'!$H$5:$H$1008)-ROW('[1]U$S'!$O$5)+1/--('[1]U$S'!$H$5:$H$1008=$L$5),ROWS($E$7:E717)),6))</f>
        <v/>
      </c>
      <c r="F717" s="22" t="str">
        <f>IF(E717="","",IF(E717&gt;0,SUMIFS('[1]UY$'!$L$5:$L$993,'[1]UY$'!$O$5:$O$993,"Cambio",'[1]UY$'!$E$5:$E$993,'Efecto TC'!D717),""))</f>
        <v/>
      </c>
      <c r="G717" s="23" t="str">
        <f t="shared" si="85"/>
        <v/>
      </c>
      <c r="H717" s="22" t="str">
        <f t="shared" si="86"/>
        <v/>
      </c>
      <c r="I717" s="54" t="str">
        <f t="shared" si="90"/>
        <v/>
      </c>
      <c r="R717" s="24" t="e">
        <f t="shared" si="87"/>
        <v>#VALUE!</v>
      </c>
      <c r="S717" s="25" t="e">
        <f t="shared" si="84"/>
        <v>#VALUE!</v>
      </c>
    </row>
    <row r="718" spans="1:19" x14ac:dyDescent="0.25">
      <c r="A718" t="e">
        <f t="shared" si="88"/>
        <v>#VALUE!</v>
      </c>
      <c r="B718" t="e">
        <f t="shared" si="89"/>
        <v>#VALUE!</v>
      </c>
      <c r="D718" s="21" t="str" cm="1">
        <f t="array" ref="D718">IF(ROWS($D$7:D718)&gt;COUNTIF('[1]U$S'!$H$5:$H$1008,$L$5),"",INDEX(CuentaUS,_xlfn.AGGREGATE(15,6,ROW('[1]U$S'!$H$5:$H$1008)-ROW('[1]U$S'!$O$5)+1/--('[1]U$S'!$H$5:$H$1008=$L$5),ROWS($D$7:D718)),1))</f>
        <v/>
      </c>
      <c r="E718" s="22" t="str" cm="1">
        <f t="array" ref="E718">IF(ROWS($E$7:E718)&gt;COUNTIF('[1]U$S'!$H$5:$H$1008,$L$5),"",INDEX(CuentaUS,_xlfn.AGGREGATE(15,6,ROW('[1]U$S'!$H$5:$H$1008)-ROW('[1]U$S'!$O$5)+1/--('[1]U$S'!$H$5:$H$1008=$L$5),ROWS($E$7:E718)),6))</f>
        <v/>
      </c>
      <c r="F718" s="22" t="str">
        <f>IF(E718="","",IF(E718&gt;0,SUMIFS('[1]UY$'!$L$5:$L$993,'[1]UY$'!$O$5:$O$993,"Cambio",'[1]UY$'!$E$5:$E$993,'Efecto TC'!D718),""))</f>
        <v/>
      </c>
      <c r="G718" s="23" t="str">
        <f t="shared" si="85"/>
        <v/>
      </c>
      <c r="H718" s="22" t="str">
        <f t="shared" si="86"/>
        <v/>
      </c>
      <c r="I718" s="54" t="str">
        <f t="shared" si="90"/>
        <v/>
      </c>
      <c r="R718" s="24" t="e">
        <f t="shared" si="87"/>
        <v>#VALUE!</v>
      </c>
      <c r="S718" s="25" t="e">
        <f t="shared" si="84"/>
        <v>#VALUE!</v>
      </c>
    </row>
    <row r="719" spans="1:19" x14ac:dyDescent="0.25">
      <c r="A719" t="e">
        <f t="shared" si="88"/>
        <v>#VALUE!</v>
      </c>
      <c r="B719" t="e">
        <f t="shared" si="89"/>
        <v>#VALUE!</v>
      </c>
      <c r="D719" s="21" t="str" cm="1">
        <f t="array" ref="D719">IF(ROWS($D$7:D719)&gt;COUNTIF('[1]U$S'!$H$5:$H$1008,$L$5),"",INDEX(CuentaUS,_xlfn.AGGREGATE(15,6,ROW('[1]U$S'!$H$5:$H$1008)-ROW('[1]U$S'!$O$5)+1/--('[1]U$S'!$H$5:$H$1008=$L$5),ROWS($D$7:D719)),1))</f>
        <v/>
      </c>
      <c r="E719" s="22" t="str" cm="1">
        <f t="array" ref="E719">IF(ROWS($E$7:E719)&gt;COUNTIF('[1]U$S'!$H$5:$H$1008,$L$5),"",INDEX(CuentaUS,_xlfn.AGGREGATE(15,6,ROW('[1]U$S'!$H$5:$H$1008)-ROW('[1]U$S'!$O$5)+1/--('[1]U$S'!$H$5:$H$1008=$L$5),ROWS($E$7:E719)),6))</f>
        <v/>
      </c>
      <c r="F719" s="22" t="str">
        <f>IF(E719="","",IF(E719&gt;0,SUMIFS('[1]UY$'!$L$5:$L$993,'[1]UY$'!$O$5:$O$993,"Cambio",'[1]UY$'!$E$5:$E$993,'Efecto TC'!D719),""))</f>
        <v/>
      </c>
      <c r="G719" s="23" t="str">
        <f t="shared" si="85"/>
        <v/>
      </c>
      <c r="H719" s="22" t="str">
        <f t="shared" si="86"/>
        <v/>
      </c>
      <c r="I719" s="54" t="str">
        <f t="shared" si="90"/>
        <v/>
      </c>
      <c r="R719" s="24" t="e">
        <f t="shared" si="87"/>
        <v>#VALUE!</v>
      </c>
      <c r="S719" s="25" t="e">
        <f t="shared" si="84"/>
        <v>#VALUE!</v>
      </c>
    </row>
    <row r="720" spans="1:19" x14ac:dyDescent="0.25">
      <c r="A720" t="e">
        <f t="shared" si="88"/>
        <v>#VALUE!</v>
      </c>
      <c r="B720" t="e">
        <f t="shared" si="89"/>
        <v>#VALUE!</v>
      </c>
      <c r="D720" s="21" t="str" cm="1">
        <f t="array" ref="D720">IF(ROWS($D$7:D720)&gt;COUNTIF('[1]U$S'!$H$5:$H$1008,$L$5),"",INDEX(CuentaUS,_xlfn.AGGREGATE(15,6,ROW('[1]U$S'!$H$5:$H$1008)-ROW('[1]U$S'!$O$5)+1/--('[1]U$S'!$H$5:$H$1008=$L$5),ROWS($D$7:D720)),1))</f>
        <v/>
      </c>
      <c r="E720" s="22" t="str" cm="1">
        <f t="array" ref="E720">IF(ROWS($E$7:E720)&gt;COUNTIF('[1]U$S'!$H$5:$H$1008,$L$5),"",INDEX(CuentaUS,_xlfn.AGGREGATE(15,6,ROW('[1]U$S'!$H$5:$H$1008)-ROW('[1]U$S'!$O$5)+1/--('[1]U$S'!$H$5:$H$1008=$L$5),ROWS($E$7:E720)),6))</f>
        <v/>
      </c>
      <c r="F720" s="22" t="str">
        <f>IF(E720="","",IF(E720&gt;0,SUMIFS('[1]UY$'!$L$5:$L$993,'[1]UY$'!$O$5:$O$993,"Cambio",'[1]UY$'!$E$5:$E$993,'Efecto TC'!D720),""))</f>
        <v/>
      </c>
      <c r="G720" s="23" t="str">
        <f t="shared" si="85"/>
        <v/>
      </c>
      <c r="H720" s="22" t="str">
        <f t="shared" si="86"/>
        <v/>
      </c>
      <c r="I720" s="54" t="str">
        <f t="shared" si="90"/>
        <v/>
      </c>
      <c r="R720" s="24" t="e">
        <f t="shared" si="87"/>
        <v>#VALUE!</v>
      </c>
      <c r="S720" s="25" t="e">
        <f t="shared" si="84"/>
        <v>#VALUE!</v>
      </c>
    </row>
    <row r="721" spans="1:19" x14ac:dyDescent="0.25">
      <c r="A721" t="e">
        <f t="shared" si="88"/>
        <v>#VALUE!</v>
      </c>
      <c r="B721" t="e">
        <f t="shared" si="89"/>
        <v>#VALUE!</v>
      </c>
      <c r="D721" s="21" t="str" cm="1">
        <f t="array" ref="D721">IF(ROWS($D$7:D721)&gt;COUNTIF('[1]U$S'!$H$5:$H$1008,$L$5),"",INDEX(CuentaUS,_xlfn.AGGREGATE(15,6,ROW('[1]U$S'!$H$5:$H$1008)-ROW('[1]U$S'!$O$5)+1/--('[1]U$S'!$H$5:$H$1008=$L$5),ROWS($D$7:D721)),1))</f>
        <v/>
      </c>
      <c r="E721" s="22" t="str" cm="1">
        <f t="array" ref="E721">IF(ROWS($E$7:E721)&gt;COUNTIF('[1]U$S'!$H$5:$H$1008,$L$5),"",INDEX(CuentaUS,_xlfn.AGGREGATE(15,6,ROW('[1]U$S'!$H$5:$H$1008)-ROW('[1]U$S'!$O$5)+1/--('[1]U$S'!$H$5:$H$1008=$L$5),ROWS($E$7:E721)),6))</f>
        <v/>
      </c>
      <c r="F721" s="22" t="str">
        <f>IF(E721="","",IF(E721&gt;0,SUMIFS('[1]UY$'!$L$5:$L$993,'[1]UY$'!$O$5:$O$993,"Cambio",'[1]UY$'!$E$5:$E$993,'Efecto TC'!D721),""))</f>
        <v/>
      </c>
      <c r="G721" s="23" t="str">
        <f t="shared" si="85"/>
        <v/>
      </c>
      <c r="H721" s="22" t="str">
        <f t="shared" si="86"/>
        <v/>
      </c>
      <c r="I721" s="54" t="str">
        <f t="shared" si="90"/>
        <v/>
      </c>
      <c r="R721" s="24" t="e">
        <f t="shared" si="87"/>
        <v>#VALUE!</v>
      </c>
      <c r="S721" s="25" t="e">
        <f t="shared" si="84"/>
        <v>#VALUE!</v>
      </c>
    </row>
    <row r="722" spans="1:19" x14ac:dyDescent="0.25">
      <c r="A722" t="e">
        <f t="shared" si="88"/>
        <v>#VALUE!</v>
      </c>
      <c r="B722" t="e">
        <f t="shared" si="89"/>
        <v>#VALUE!</v>
      </c>
      <c r="D722" s="21" t="str" cm="1">
        <f t="array" ref="D722">IF(ROWS($D$7:D722)&gt;COUNTIF('[1]U$S'!$H$5:$H$1008,$L$5),"",INDEX(CuentaUS,_xlfn.AGGREGATE(15,6,ROW('[1]U$S'!$H$5:$H$1008)-ROW('[1]U$S'!$O$5)+1/--('[1]U$S'!$H$5:$H$1008=$L$5),ROWS($D$7:D722)),1))</f>
        <v/>
      </c>
      <c r="E722" s="22" t="str" cm="1">
        <f t="array" ref="E722">IF(ROWS($E$7:E722)&gt;COUNTIF('[1]U$S'!$H$5:$H$1008,$L$5),"",INDEX(CuentaUS,_xlfn.AGGREGATE(15,6,ROW('[1]U$S'!$H$5:$H$1008)-ROW('[1]U$S'!$O$5)+1/--('[1]U$S'!$H$5:$H$1008=$L$5),ROWS($E$7:E722)),6))</f>
        <v/>
      </c>
      <c r="F722" s="22" t="str">
        <f>IF(E722="","",IF(E722&gt;0,SUMIFS('[1]UY$'!$L$5:$L$993,'[1]UY$'!$O$5:$O$993,"Cambio",'[1]UY$'!$E$5:$E$993,'Efecto TC'!D722),""))</f>
        <v/>
      </c>
      <c r="G722" s="23" t="str">
        <f t="shared" si="85"/>
        <v/>
      </c>
      <c r="H722" s="22" t="str">
        <f t="shared" si="86"/>
        <v/>
      </c>
      <c r="I722" s="54" t="str">
        <f t="shared" si="90"/>
        <v/>
      </c>
      <c r="R722" s="24" t="e">
        <f t="shared" si="87"/>
        <v>#VALUE!</v>
      </c>
      <c r="S722" s="25" t="e">
        <f t="shared" si="84"/>
        <v>#VALUE!</v>
      </c>
    </row>
    <row r="723" spans="1:19" x14ac:dyDescent="0.25">
      <c r="A723" t="e">
        <f t="shared" si="88"/>
        <v>#VALUE!</v>
      </c>
      <c r="B723" t="e">
        <f t="shared" si="89"/>
        <v>#VALUE!</v>
      </c>
      <c r="D723" s="21" t="str" cm="1">
        <f t="array" ref="D723">IF(ROWS($D$7:D723)&gt;COUNTIF('[1]U$S'!$H$5:$H$1008,$L$5),"",INDEX(CuentaUS,_xlfn.AGGREGATE(15,6,ROW('[1]U$S'!$H$5:$H$1008)-ROW('[1]U$S'!$O$5)+1/--('[1]U$S'!$H$5:$H$1008=$L$5),ROWS($D$7:D723)),1))</f>
        <v/>
      </c>
      <c r="E723" s="22" t="str" cm="1">
        <f t="array" ref="E723">IF(ROWS($E$7:E723)&gt;COUNTIF('[1]U$S'!$H$5:$H$1008,$L$5),"",INDEX(CuentaUS,_xlfn.AGGREGATE(15,6,ROW('[1]U$S'!$H$5:$H$1008)-ROW('[1]U$S'!$O$5)+1/--('[1]U$S'!$H$5:$H$1008=$L$5),ROWS($E$7:E723)),6))</f>
        <v/>
      </c>
      <c r="F723" s="22" t="str">
        <f>IF(E723="","",IF(E723&gt;0,SUMIFS('[1]UY$'!$L$5:$L$993,'[1]UY$'!$O$5:$O$993,"Cambio",'[1]UY$'!$E$5:$E$993,'Efecto TC'!D723),""))</f>
        <v/>
      </c>
      <c r="G723" s="23" t="str">
        <f t="shared" si="85"/>
        <v/>
      </c>
      <c r="H723" s="22" t="str">
        <f t="shared" si="86"/>
        <v/>
      </c>
      <c r="I723" s="54" t="str">
        <f t="shared" si="90"/>
        <v/>
      </c>
      <c r="R723" s="24" t="e">
        <f t="shared" si="87"/>
        <v>#VALUE!</v>
      </c>
      <c r="S723" s="25" t="e">
        <f t="shared" si="84"/>
        <v>#VALUE!</v>
      </c>
    </row>
    <row r="724" spans="1:19" x14ac:dyDescent="0.25">
      <c r="A724" t="e">
        <f t="shared" si="88"/>
        <v>#VALUE!</v>
      </c>
      <c r="B724" t="e">
        <f t="shared" si="89"/>
        <v>#VALUE!</v>
      </c>
      <c r="D724" s="21" t="str" cm="1">
        <f t="array" ref="D724">IF(ROWS($D$7:D724)&gt;COUNTIF('[1]U$S'!$H$5:$H$1008,$L$5),"",INDEX(CuentaUS,_xlfn.AGGREGATE(15,6,ROW('[1]U$S'!$H$5:$H$1008)-ROW('[1]U$S'!$O$5)+1/--('[1]U$S'!$H$5:$H$1008=$L$5),ROWS($D$7:D724)),1))</f>
        <v/>
      </c>
      <c r="E724" s="22" t="str" cm="1">
        <f t="array" ref="E724">IF(ROWS($E$7:E724)&gt;COUNTIF('[1]U$S'!$H$5:$H$1008,$L$5),"",INDEX(CuentaUS,_xlfn.AGGREGATE(15,6,ROW('[1]U$S'!$H$5:$H$1008)-ROW('[1]U$S'!$O$5)+1/--('[1]U$S'!$H$5:$H$1008=$L$5),ROWS($E$7:E724)),6))</f>
        <v/>
      </c>
      <c r="F724" s="22" t="str">
        <f>IF(E724="","",IF(E724&gt;0,SUMIFS('[1]UY$'!$L$5:$L$993,'[1]UY$'!$O$5:$O$993,"Cambio",'[1]UY$'!$E$5:$E$993,'Efecto TC'!D724),""))</f>
        <v/>
      </c>
      <c r="G724" s="23" t="str">
        <f t="shared" si="85"/>
        <v/>
      </c>
      <c r="H724" s="22" t="str">
        <f t="shared" si="86"/>
        <v/>
      </c>
      <c r="I724" s="54" t="str">
        <f t="shared" si="90"/>
        <v/>
      </c>
      <c r="R724" s="24" t="e">
        <f t="shared" si="87"/>
        <v>#VALUE!</v>
      </c>
      <c r="S724" s="25" t="e">
        <f t="shared" si="84"/>
        <v>#VALUE!</v>
      </c>
    </row>
    <row r="725" spans="1:19" x14ac:dyDescent="0.25">
      <c r="A725" t="e">
        <f t="shared" si="88"/>
        <v>#VALUE!</v>
      </c>
      <c r="B725" t="e">
        <f t="shared" si="89"/>
        <v>#VALUE!</v>
      </c>
      <c r="D725" s="21" t="str" cm="1">
        <f t="array" ref="D725">IF(ROWS($D$7:D725)&gt;COUNTIF('[1]U$S'!$H$5:$H$1008,$L$5),"",INDEX(CuentaUS,_xlfn.AGGREGATE(15,6,ROW('[1]U$S'!$H$5:$H$1008)-ROW('[1]U$S'!$O$5)+1/--('[1]U$S'!$H$5:$H$1008=$L$5),ROWS($D$7:D725)),1))</f>
        <v/>
      </c>
      <c r="E725" s="22" t="str" cm="1">
        <f t="array" ref="E725">IF(ROWS($E$7:E725)&gt;COUNTIF('[1]U$S'!$H$5:$H$1008,$L$5),"",INDEX(CuentaUS,_xlfn.AGGREGATE(15,6,ROW('[1]U$S'!$H$5:$H$1008)-ROW('[1]U$S'!$O$5)+1/--('[1]U$S'!$H$5:$H$1008=$L$5),ROWS($E$7:E725)),6))</f>
        <v/>
      </c>
      <c r="F725" s="22" t="str">
        <f>IF(E725="","",IF(E725&gt;0,SUMIFS('[1]UY$'!$L$5:$L$993,'[1]UY$'!$O$5:$O$993,"Cambio",'[1]UY$'!$E$5:$E$993,'Efecto TC'!D725),""))</f>
        <v/>
      </c>
      <c r="G725" s="23" t="str">
        <f t="shared" si="85"/>
        <v/>
      </c>
      <c r="H725" s="22" t="str">
        <f t="shared" si="86"/>
        <v/>
      </c>
      <c r="I725" s="54" t="str">
        <f t="shared" si="90"/>
        <v/>
      </c>
      <c r="R725" s="24" t="e">
        <f t="shared" si="87"/>
        <v>#VALUE!</v>
      </c>
      <c r="S725" s="25" t="e">
        <f t="shared" si="84"/>
        <v>#VALUE!</v>
      </c>
    </row>
    <row r="726" spans="1:19" x14ac:dyDescent="0.25">
      <c r="A726" t="e">
        <f t="shared" si="88"/>
        <v>#VALUE!</v>
      </c>
      <c r="B726" t="e">
        <f t="shared" si="89"/>
        <v>#VALUE!</v>
      </c>
      <c r="D726" s="21" t="str" cm="1">
        <f t="array" ref="D726">IF(ROWS($D$7:D726)&gt;COUNTIF('[1]U$S'!$H$5:$H$1008,$L$5),"",INDEX(CuentaUS,_xlfn.AGGREGATE(15,6,ROW('[1]U$S'!$H$5:$H$1008)-ROW('[1]U$S'!$O$5)+1/--('[1]U$S'!$H$5:$H$1008=$L$5),ROWS($D$7:D726)),1))</f>
        <v/>
      </c>
      <c r="E726" s="22" t="str" cm="1">
        <f t="array" ref="E726">IF(ROWS($E$7:E726)&gt;COUNTIF('[1]U$S'!$H$5:$H$1008,$L$5),"",INDEX(CuentaUS,_xlfn.AGGREGATE(15,6,ROW('[1]U$S'!$H$5:$H$1008)-ROW('[1]U$S'!$O$5)+1/--('[1]U$S'!$H$5:$H$1008=$L$5),ROWS($E$7:E726)),6))</f>
        <v/>
      </c>
      <c r="F726" s="22" t="str">
        <f>IF(E726="","",IF(E726&gt;0,SUMIFS('[1]UY$'!$L$5:$L$993,'[1]UY$'!$O$5:$O$993,"Cambio",'[1]UY$'!$E$5:$E$993,'Efecto TC'!D726),""))</f>
        <v/>
      </c>
      <c r="G726" s="23" t="str">
        <f t="shared" si="85"/>
        <v/>
      </c>
      <c r="H726" s="22" t="str">
        <f t="shared" si="86"/>
        <v/>
      </c>
      <c r="I726" s="54" t="str">
        <f t="shared" si="90"/>
        <v/>
      </c>
      <c r="R726" s="24" t="e">
        <f t="shared" si="87"/>
        <v>#VALUE!</v>
      </c>
      <c r="S726" s="25" t="e">
        <f t="shared" si="84"/>
        <v>#VALUE!</v>
      </c>
    </row>
    <row r="727" spans="1:19" x14ac:dyDescent="0.25">
      <c r="A727" t="e">
        <f t="shared" si="88"/>
        <v>#VALUE!</v>
      </c>
      <c r="B727" t="e">
        <f t="shared" si="89"/>
        <v>#VALUE!</v>
      </c>
      <c r="D727" s="21" t="str" cm="1">
        <f t="array" ref="D727">IF(ROWS($D$7:D727)&gt;COUNTIF('[1]U$S'!$H$5:$H$1008,$L$5),"",INDEX(CuentaUS,_xlfn.AGGREGATE(15,6,ROW('[1]U$S'!$H$5:$H$1008)-ROW('[1]U$S'!$O$5)+1/--('[1]U$S'!$H$5:$H$1008=$L$5),ROWS($D$7:D727)),1))</f>
        <v/>
      </c>
      <c r="E727" s="22" t="str" cm="1">
        <f t="array" ref="E727">IF(ROWS($E$7:E727)&gt;COUNTIF('[1]U$S'!$H$5:$H$1008,$L$5),"",INDEX(CuentaUS,_xlfn.AGGREGATE(15,6,ROW('[1]U$S'!$H$5:$H$1008)-ROW('[1]U$S'!$O$5)+1/--('[1]U$S'!$H$5:$H$1008=$L$5),ROWS($E$7:E727)),6))</f>
        <v/>
      </c>
      <c r="F727" s="22" t="str">
        <f>IF(E727="","",IF(E727&gt;0,SUMIFS('[1]UY$'!$L$5:$L$993,'[1]UY$'!$O$5:$O$993,"Cambio",'[1]UY$'!$E$5:$E$993,'Efecto TC'!D727),""))</f>
        <v/>
      </c>
      <c r="G727" s="23" t="str">
        <f t="shared" si="85"/>
        <v/>
      </c>
      <c r="H727" s="22" t="str">
        <f t="shared" si="86"/>
        <v/>
      </c>
      <c r="I727" s="54" t="str">
        <f t="shared" si="90"/>
        <v/>
      </c>
      <c r="R727" s="24" t="e">
        <f t="shared" si="87"/>
        <v>#VALUE!</v>
      </c>
      <c r="S727" s="25" t="e">
        <f t="shared" si="84"/>
        <v>#VALUE!</v>
      </c>
    </row>
    <row r="728" spans="1:19" x14ac:dyDescent="0.25">
      <c r="A728" t="e">
        <f t="shared" si="88"/>
        <v>#VALUE!</v>
      </c>
      <c r="B728" t="e">
        <f t="shared" si="89"/>
        <v>#VALUE!</v>
      </c>
      <c r="D728" s="21" t="str" cm="1">
        <f t="array" ref="D728">IF(ROWS($D$7:D728)&gt;COUNTIF('[1]U$S'!$H$5:$H$1008,$L$5),"",INDEX(CuentaUS,_xlfn.AGGREGATE(15,6,ROW('[1]U$S'!$H$5:$H$1008)-ROW('[1]U$S'!$O$5)+1/--('[1]U$S'!$H$5:$H$1008=$L$5),ROWS($D$7:D728)),1))</f>
        <v/>
      </c>
      <c r="E728" s="22" t="str" cm="1">
        <f t="array" ref="E728">IF(ROWS($E$7:E728)&gt;COUNTIF('[1]U$S'!$H$5:$H$1008,$L$5),"",INDEX(CuentaUS,_xlfn.AGGREGATE(15,6,ROW('[1]U$S'!$H$5:$H$1008)-ROW('[1]U$S'!$O$5)+1/--('[1]U$S'!$H$5:$H$1008=$L$5),ROWS($E$7:E728)),6))</f>
        <v/>
      </c>
      <c r="F728" s="22" t="str">
        <f>IF(E728="","",IF(E728&gt;0,SUMIFS('[1]UY$'!$L$5:$L$993,'[1]UY$'!$O$5:$O$993,"Cambio",'[1]UY$'!$E$5:$E$993,'Efecto TC'!D728),""))</f>
        <v/>
      </c>
      <c r="G728" s="23" t="str">
        <f t="shared" si="85"/>
        <v/>
      </c>
      <c r="H728" s="22" t="str">
        <f t="shared" si="86"/>
        <v/>
      </c>
      <c r="I728" s="54" t="str">
        <f t="shared" si="90"/>
        <v/>
      </c>
      <c r="R728" s="24" t="e">
        <f t="shared" si="87"/>
        <v>#VALUE!</v>
      </c>
      <c r="S728" s="25" t="e">
        <f t="shared" si="84"/>
        <v>#VALUE!</v>
      </c>
    </row>
    <row r="729" spans="1:19" x14ac:dyDescent="0.25">
      <c r="A729" t="e">
        <f t="shared" si="88"/>
        <v>#VALUE!</v>
      </c>
      <c r="B729" t="e">
        <f t="shared" si="89"/>
        <v>#VALUE!</v>
      </c>
      <c r="D729" s="21" t="str" cm="1">
        <f t="array" ref="D729">IF(ROWS($D$7:D729)&gt;COUNTIF('[1]U$S'!$H$5:$H$1008,$L$5),"",INDEX(CuentaUS,_xlfn.AGGREGATE(15,6,ROW('[1]U$S'!$H$5:$H$1008)-ROW('[1]U$S'!$O$5)+1/--('[1]U$S'!$H$5:$H$1008=$L$5),ROWS($D$7:D729)),1))</f>
        <v/>
      </c>
      <c r="E729" s="22" t="str" cm="1">
        <f t="array" ref="E729">IF(ROWS($E$7:E729)&gt;COUNTIF('[1]U$S'!$H$5:$H$1008,$L$5),"",INDEX(CuentaUS,_xlfn.AGGREGATE(15,6,ROW('[1]U$S'!$H$5:$H$1008)-ROW('[1]U$S'!$O$5)+1/--('[1]U$S'!$H$5:$H$1008=$L$5),ROWS($E$7:E729)),6))</f>
        <v/>
      </c>
      <c r="F729" s="22" t="str">
        <f>IF(E729="","",IF(E729&gt;0,SUMIFS('[1]UY$'!$L$5:$L$993,'[1]UY$'!$O$5:$O$993,"Cambio",'[1]UY$'!$E$5:$E$993,'Efecto TC'!D729),""))</f>
        <v/>
      </c>
      <c r="G729" s="23" t="str">
        <f t="shared" si="85"/>
        <v/>
      </c>
      <c r="H729" s="22" t="str">
        <f t="shared" si="86"/>
        <v/>
      </c>
      <c r="I729" s="54" t="str">
        <f t="shared" si="90"/>
        <v/>
      </c>
      <c r="R729" s="24" t="e">
        <f t="shared" si="87"/>
        <v>#VALUE!</v>
      </c>
      <c r="S729" s="25" t="e">
        <f t="shared" si="84"/>
        <v>#VALUE!</v>
      </c>
    </row>
    <row r="730" spans="1:19" x14ac:dyDescent="0.25">
      <c r="A730" t="e">
        <f t="shared" si="88"/>
        <v>#VALUE!</v>
      </c>
      <c r="B730" t="e">
        <f t="shared" si="89"/>
        <v>#VALUE!</v>
      </c>
      <c r="D730" s="21" t="str" cm="1">
        <f t="array" ref="D730">IF(ROWS($D$7:D730)&gt;COUNTIF('[1]U$S'!$H$5:$H$1008,$L$5),"",INDEX(CuentaUS,_xlfn.AGGREGATE(15,6,ROW('[1]U$S'!$H$5:$H$1008)-ROW('[1]U$S'!$O$5)+1/--('[1]U$S'!$H$5:$H$1008=$L$5),ROWS($D$7:D730)),1))</f>
        <v/>
      </c>
      <c r="E730" s="22" t="str" cm="1">
        <f t="array" ref="E730">IF(ROWS($E$7:E730)&gt;COUNTIF('[1]U$S'!$H$5:$H$1008,$L$5),"",INDEX(CuentaUS,_xlfn.AGGREGATE(15,6,ROW('[1]U$S'!$H$5:$H$1008)-ROW('[1]U$S'!$O$5)+1/--('[1]U$S'!$H$5:$H$1008=$L$5),ROWS($E$7:E730)),6))</f>
        <v/>
      </c>
      <c r="F730" s="22" t="str">
        <f>IF(E730="","",IF(E730&gt;0,SUMIFS('[1]UY$'!$L$5:$L$993,'[1]UY$'!$O$5:$O$993,"Cambio",'[1]UY$'!$E$5:$E$993,'Efecto TC'!D730),""))</f>
        <v/>
      </c>
      <c r="G730" s="23" t="str">
        <f t="shared" si="85"/>
        <v/>
      </c>
      <c r="H730" s="22" t="str">
        <f t="shared" si="86"/>
        <v/>
      </c>
      <c r="I730" s="54" t="str">
        <f t="shared" si="90"/>
        <v/>
      </c>
      <c r="R730" s="24" t="e">
        <f t="shared" si="87"/>
        <v>#VALUE!</v>
      </c>
      <c r="S730" s="25" t="e">
        <f t="shared" si="84"/>
        <v>#VALUE!</v>
      </c>
    </row>
    <row r="731" spans="1:19" x14ac:dyDescent="0.25">
      <c r="A731" t="e">
        <f t="shared" si="88"/>
        <v>#VALUE!</v>
      </c>
      <c r="B731" t="e">
        <f t="shared" si="89"/>
        <v>#VALUE!</v>
      </c>
      <c r="D731" s="21" t="str" cm="1">
        <f t="array" ref="D731">IF(ROWS($D$7:D731)&gt;COUNTIF('[1]U$S'!$H$5:$H$1008,$L$5),"",INDEX(CuentaUS,_xlfn.AGGREGATE(15,6,ROW('[1]U$S'!$H$5:$H$1008)-ROW('[1]U$S'!$O$5)+1/--('[1]U$S'!$H$5:$H$1008=$L$5),ROWS($D$7:D731)),1))</f>
        <v/>
      </c>
      <c r="E731" s="22" t="str" cm="1">
        <f t="array" ref="E731">IF(ROWS($E$7:E731)&gt;COUNTIF('[1]U$S'!$H$5:$H$1008,$L$5),"",INDEX(CuentaUS,_xlfn.AGGREGATE(15,6,ROW('[1]U$S'!$H$5:$H$1008)-ROW('[1]U$S'!$O$5)+1/--('[1]U$S'!$H$5:$H$1008=$L$5),ROWS($E$7:E731)),6))</f>
        <v/>
      </c>
      <c r="F731" s="22" t="str">
        <f>IF(E731="","",IF(E731&gt;0,SUMIFS('[1]UY$'!$L$5:$L$993,'[1]UY$'!$O$5:$O$993,"Cambio",'[1]UY$'!$E$5:$E$993,'Efecto TC'!D731),""))</f>
        <v/>
      </c>
      <c r="G731" s="23" t="str">
        <f t="shared" si="85"/>
        <v/>
      </c>
      <c r="H731" s="22" t="str">
        <f t="shared" si="86"/>
        <v/>
      </c>
      <c r="I731" s="54" t="str">
        <f t="shared" si="90"/>
        <v/>
      </c>
      <c r="R731" s="24" t="e">
        <f t="shared" si="87"/>
        <v>#VALUE!</v>
      </c>
      <c r="S731" s="25" t="e">
        <f t="shared" ref="S731:S794" si="91">R731*G725</f>
        <v>#VALUE!</v>
      </c>
    </row>
    <row r="732" spans="1:19" x14ac:dyDescent="0.25">
      <c r="A732" t="e">
        <f t="shared" si="88"/>
        <v>#VALUE!</v>
      </c>
      <c r="B732" t="e">
        <f t="shared" si="89"/>
        <v>#VALUE!</v>
      </c>
      <c r="D732" s="21" t="str" cm="1">
        <f t="array" ref="D732">IF(ROWS($D$7:D732)&gt;COUNTIF('[1]U$S'!$H$5:$H$1008,$L$5),"",INDEX(CuentaUS,_xlfn.AGGREGATE(15,6,ROW('[1]U$S'!$H$5:$H$1008)-ROW('[1]U$S'!$O$5)+1/--('[1]U$S'!$H$5:$H$1008=$L$5),ROWS($D$7:D732)),1))</f>
        <v/>
      </c>
      <c r="E732" s="22" t="str" cm="1">
        <f t="array" ref="E732">IF(ROWS($E$7:E732)&gt;COUNTIF('[1]U$S'!$H$5:$H$1008,$L$5),"",INDEX(CuentaUS,_xlfn.AGGREGATE(15,6,ROW('[1]U$S'!$H$5:$H$1008)-ROW('[1]U$S'!$O$5)+1/--('[1]U$S'!$H$5:$H$1008=$L$5),ROWS($E$7:E732)),6))</f>
        <v/>
      </c>
      <c r="F732" s="22" t="str">
        <f>IF(E732="","",IF(E732&gt;0,SUMIFS('[1]UY$'!$L$5:$L$993,'[1]UY$'!$O$5:$O$993,"Cambio",'[1]UY$'!$E$5:$E$993,'Efecto TC'!D732),""))</f>
        <v/>
      </c>
      <c r="G732" s="23" t="str">
        <f t="shared" si="85"/>
        <v/>
      </c>
      <c r="H732" s="22" t="str">
        <f t="shared" si="86"/>
        <v/>
      </c>
      <c r="I732" s="54" t="str">
        <f t="shared" si="90"/>
        <v/>
      </c>
      <c r="R732" s="24" t="e">
        <f t="shared" si="87"/>
        <v>#VALUE!</v>
      </c>
      <c r="S732" s="25" t="e">
        <f t="shared" si="91"/>
        <v>#VALUE!</v>
      </c>
    </row>
    <row r="733" spans="1:19" x14ac:dyDescent="0.25">
      <c r="A733" t="e">
        <f t="shared" si="88"/>
        <v>#VALUE!</v>
      </c>
      <c r="B733" t="e">
        <f t="shared" si="89"/>
        <v>#VALUE!</v>
      </c>
      <c r="D733" s="21" t="str" cm="1">
        <f t="array" ref="D733">IF(ROWS($D$7:D733)&gt;COUNTIF('[1]U$S'!$H$5:$H$1008,$L$5),"",INDEX(CuentaUS,_xlfn.AGGREGATE(15,6,ROW('[1]U$S'!$H$5:$H$1008)-ROW('[1]U$S'!$O$5)+1/--('[1]U$S'!$H$5:$H$1008=$L$5),ROWS($D$7:D733)),1))</f>
        <v/>
      </c>
      <c r="E733" s="22" t="str" cm="1">
        <f t="array" ref="E733">IF(ROWS($E$7:E733)&gt;COUNTIF('[1]U$S'!$H$5:$H$1008,$L$5),"",INDEX(CuentaUS,_xlfn.AGGREGATE(15,6,ROW('[1]U$S'!$H$5:$H$1008)-ROW('[1]U$S'!$O$5)+1/--('[1]U$S'!$H$5:$H$1008=$L$5),ROWS($E$7:E733)),6))</f>
        <v/>
      </c>
      <c r="F733" s="22" t="str">
        <f>IF(E733="","",IF(E733&gt;0,SUMIFS('[1]UY$'!$L$5:$L$993,'[1]UY$'!$O$5:$O$993,"Cambio",'[1]UY$'!$E$5:$E$993,'Efecto TC'!D733),""))</f>
        <v/>
      </c>
      <c r="G733" s="23" t="str">
        <f t="shared" si="85"/>
        <v/>
      </c>
      <c r="H733" s="22" t="str">
        <f t="shared" si="86"/>
        <v/>
      </c>
      <c r="I733" s="54" t="str">
        <f t="shared" si="90"/>
        <v/>
      </c>
      <c r="R733" s="24" t="e">
        <f t="shared" si="87"/>
        <v>#VALUE!</v>
      </c>
      <c r="S733" s="25" t="e">
        <f t="shared" si="91"/>
        <v>#VALUE!</v>
      </c>
    </row>
    <row r="734" spans="1:19" x14ac:dyDescent="0.25">
      <c r="A734" t="e">
        <f t="shared" si="88"/>
        <v>#VALUE!</v>
      </c>
      <c r="B734" t="e">
        <f t="shared" si="89"/>
        <v>#VALUE!</v>
      </c>
      <c r="D734" s="21" t="str" cm="1">
        <f t="array" ref="D734">IF(ROWS($D$7:D734)&gt;COUNTIF('[1]U$S'!$H$5:$H$1008,$L$5),"",INDEX(CuentaUS,_xlfn.AGGREGATE(15,6,ROW('[1]U$S'!$H$5:$H$1008)-ROW('[1]U$S'!$O$5)+1/--('[1]U$S'!$H$5:$H$1008=$L$5),ROWS($D$7:D734)),1))</f>
        <v/>
      </c>
      <c r="E734" s="22" t="str" cm="1">
        <f t="array" ref="E734">IF(ROWS($E$7:E734)&gt;COUNTIF('[1]U$S'!$H$5:$H$1008,$L$5),"",INDEX(CuentaUS,_xlfn.AGGREGATE(15,6,ROW('[1]U$S'!$H$5:$H$1008)-ROW('[1]U$S'!$O$5)+1/--('[1]U$S'!$H$5:$H$1008=$L$5),ROWS($E$7:E734)),6))</f>
        <v/>
      </c>
      <c r="F734" s="22" t="str">
        <f>IF(E734="","",IF(E734&gt;0,SUMIFS('[1]UY$'!$L$5:$L$993,'[1]UY$'!$O$5:$O$993,"Cambio",'[1]UY$'!$E$5:$E$993,'Efecto TC'!D734),""))</f>
        <v/>
      </c>
      <c r="G734" s="23" t="str">
        <f t="shared" si="85"/>
        <v/>
      </c>
      <c r="H734" s="22" t="str">
        <f t="shared" si="86"/>
        <v/>
      </c>
      <c r="I734" s="54" t="str">
        <f t="shared" si="90"/>
        <v/>
      </c>
      <c r="R734" s="24" t="e">
        <f t="shared" si="87"/>
        <v>#VALUE!</v>
      </c>
      <c r="S734" s="25" t="e">
        <f t="shared" si="91"/>
        <v>#VALUE!</v>
      </c>
    </row>
    <row r="735" spans="1:19" x14ac:dyDescent="0.25">
      <c r="A735" t="e">
        <f t="shared" si="88"/>
        <v>#VALUE!</v>
      </c>
      <c r="B735" t="e">
        <f t="shared" si="89"/>
        <v>#VALUE!</v>
      </c>
      <c r="D735" s="21" t="str" cm="1">
        <f t="array" ref="D735">IF(ROWS($D$7:D735)&gt;COUNTIF('[1]U$S'!$H$5:$H$1008,$L$5),"",INDEX(CuentaUS,_xlfn.AGGREGATE(15,6,ROW('[1]U$S'!$H$5:$H$1008)-ROW('[1]U$S'!$O$5)+1/--('[1]U$S'!$H$5:$H$1008=$L$5),ROWS($D$7:D735)),1))</f>
        <v/>
      </c>
      <c r="E735" s="22" t="str" cm="1">
        <f t="array" ref="E735">IF(ROWS($E$7:E735)&gt;COUNTIF('[1]U$S'!$H$5:$H$1008,$L$5),"",INDEX(CuentaUS,_xlfn.AGGREGATE(15,6,ROW('[1]U$S'!$H$5:$H$1008)-ROW('[1]U$S'!$O$5)+1/--('[1]U$S'!$H$5:$H$1008=$L$5),ROWS($E$7:E735)),6))</f>
        <v/>
      </c>
      <c r="F735" s="22" t="str">
        <f>IF(E735="","",IF(E735&gt;0,SUMIFS('[1]UY$'!$L$5:$L$993,'[1]UY$'!$O$5:$O$993,"Cambio",'[1]UY$'!$E$5:$E$993,'Efecto TC'!D735),""))</f>
        <v/>
      </c>
      <c r="G735" s="23" t="str">
        <f t="shared" si="85"/>
        <v/>
      </c>
      <c r="H735" s="22" t="str">
        <f t="shared" si="86"/>
        <v/>
      </c>
      <c r="I735" s="54" t="str">
        <f t="shared" si="90"/>
        <v/>
      </c>
      <c r="R735" s="24" t="e">
        <f t="shared" si="87"/>
        <v>#VALUE!</v>
      </c>
      <c r="S735" s="25" t="e">
        <f t="shared" si="91"/>
        <v>#VALUE!</v>
      </c>
    </row>
    <row r="736" spans="1:19" x14ac:dyDescent="0.25">
      <c r="A736" t="e">
        <f t="shared" si="88"/>
        <v>#VALUE!</v>
      </c>
      <c r="B736" t="e">
        <f t="shared" si="89"/>
        <v>#VALUE!</v>
      </c>
      <c r="D736" s="21" t="str" cm="1">
        <f t="array" ref="D736">IF(ROWS($D$7:D736)&gt;COUNTIF('[1]U$S'!$H$5:$H$1008,$L$5),"",INDEX(CuentaUS,_xlfn.AGGREGATE(15,6,ROW('[1]U$S'!$H$5:$H$1008)-ROW('[1]U$S'!$O$5)+1/--('[1]U$S'!$H$5:$H$1008=$L$5),ROWS($D$7:D736)),1))</f>
        <v/>
      </c>
      <c r="E736" s="22" t="str" cm="1">
        <f t="array" ref="E736">IF(ROWS($E$7:E736)&gt;COUNTIF('[1]U$S'!$H$5:$H$1008,$L$5),"",INDEX(CuentaUS,_xlfn.AGGREGATE(15,6,ROW('[1]U$S'!$H$5:$H$1008)-ROW('[1]U$S'!$O$5)+1/--('[1]U$S'!$H$5:$H$1008=$L$5),ROWS($E$7:E736)),6))</f>
        <v/>
      </c>
      <c r="F736" s="22" t="str">
        <f>IF(E736="","",IF(E736&gt;0,SUMIFS('[1]UY$'!$L$5:$L$993,'[1]UY$'!$O$5:$O$993,"Cambio",'[1]UY$'!$E$5:$E$993,'Efecto TC'!D736),""))</f>
        <v/>
      </c>
      <c r="G736" s="23" t="str">
        <f t="shared" si="85"/>
        <v/>
      </c>
      <c r="H736" s="22" t="str">
        <f t="shared" si="86"/>
        <v/>
      </c>
      <c r="I736" s="54" t="str">
        <f t="shared" si="90"/>
        <v/>
      </c>
      <c r="R736" s="24" t="e">
        <f t="shared" si="87"/>
        <v>#VALUE!</v>
      </c>
      <c r="S736" s="25" t="e">
        <f t="shared" si="91"/>
        <v>#VALUE!</v>
      </c>
    </row>
    <row r="737" spans="1:19" x14ac:dyDescent="0.25">
      <c r="A737" t="e">
        <f t="shared" si="88"/>
        <v>#VALUE!</v>
      </c>
      <c r="B737" t="e">
        <f t="shared" si="89"/>
        <v>#VALUE!</v>
      </c>
      <c r="D737" s="21" t="str" cm="1">
        <f t="array" ref="D737">IF(ROWS($D$7:D737)&gt;COUNTIF('[1]U$S'!$H$5:$H$1008,$L$5),"",INDEX(CuentaUS,_xlfn.AGGREGATE(15,6,ROW('[1]U$S'!$H$5:$H$1008)-ROW('[1]U$S'!$O$5)+1/--('[1]U$S'!$H$5:$H$1008=$L$5),ROWS($D$7:D737)),1))</f>
        <v/>
      </c>
      <c r="E737" s="22" t="str" cm="1">
        <f t="array" ref="E737">IF(ROWS($E$7:E737)&gt;COUNTIF('[1]U$S'!$H$5:$H$1008,$L$5),"",INDEX(CuentaUS,_xlfn.AGGREGATE(15,6,ROW('[1]U$S'!$H$5:$H$1008)-ROW('[1]U$S'!$O$5)+1/--('[1]U$S'!$H$5:$H$1008=$L$5),ROWS($E$7:E737)),6))</f>
        <v/>
      </c>
      <c r="F737" s="22" t="str">
        <f>IF(E737="","",IF(E737&gt;0,SUMIFS('[1]UY$'!$L$5:$L$993,'[1]UY$'!$O$5:$O$993,"Cambio",'[1]UY$'!$E$5:$E$993,'Efecto TC'!D737),""))</f>
        <v/>
      </c>
      <c r="G737" s="23" t="str">
        <f t="shared" si="85"/>
        <v/>
      </c>
      <c r="H737" s="22" t="str">
        <f t="shared" si="86"/>
        <v/>
      </c>
      <c r="I737" s="54" t="str">
        <f t="shared" si="90"/>
        <v/>
      </c>
      <c r="R737" s="24" t="e">
        <f t="shared" si="87"/>
        <v>#VALUE!</v>
      </c>
      <c r="S737" s="25" t="e">
        <f t="shared" si="91"/>
        <v>#VALUE!</v>
      </c>
    </row>
    <row r="738" spans="1:19" x14ac:dyDescent="0.25">
      <c r="A738" t="e">
        <f t="shared" si="88"/>
        <v>#VALUE!</v>
      </c>
      <c r="B738" t="e">
        <f t="shared" si="89"/>
        <v>#VALUE!</v>
      </c>
      <c r="D738" s="21" t="str" cm="1">
        <f t="array" ref="D738">IF(ROWS($D$7:D738)&gt;COUNTIF('[1]U$S'!$H$5:$H$1008,$L$5),"",INDEX(CuentaUS,_xlfn.AGGREGATE(15,6,ROW('[1]U$S'!$H$5:$H$1008)-ROW('[1]U$S'!$O$5)+1/--('[1]U$S'!$H$5:$H$1008=$L$5),ROWS($D$7:D738)),1))</f>
        <v/>
      </c>
      <c r="E738" s="22" t="str" cm="1">
        <f t="array" ref="E738">IF(ROWS($E$7:E738)&gt;COUNTIF('[1]U$S'!$H$5:$H$1008,$L$5),"",INDEX(CuentaUS,_xlfn.AGGREGATE(15,6,ROW('[1]U$S'!$H$5:$H$1008)-ROW('[1]U$S'!$O$5)+1/--('[1]U$S'!$H$5:$H$1008=$L$5),ROWS($E$7:E738)),6))</f>
        <v/>
      </c>
      <c r="F738" s="22" t="str">
        <f>IF(E738="","",IF(E738&gt;0,SUMIFS('[1]UY$'!$L$5:$L$993,'[1]UY$'!$O$5:$O$993,"Cambio",'[1]UY$'!$E$5:$E$993,'Efecto TC'!D738),""))</f>
        <v/>
      </c>
      <c r="G738" s="23" t="str">
        <f t="shared" ref="G738:G801" si="92">IF(F738="","",F738/E738)</f>
        <v/>
      </c>
      <c r="H738" s="22" t="str">
        <f t="shared" ref="H738:H801" si="93">IF(E738="","",F738/$F$2-F738/G738)</f>
        <v/>
      </c>
      <c r="I738" s="54" t="str">
        <f t="shared" si="90"/>
        <v/>
      </c>
      <c r="R738" s="24" t="e">
        <f t="shared" ref="R738:R801" si="94">E738/$E$1001</f>
        <v>#VALUE!</v>
      </c>
      <c r="S738" s="25" t="e">
        <f t="shared" si="91"/>
        <v>#VALUE!</v>
      </c>
    </row>
    <row r="739" spans="1:19" x14ac:dyDescent="0.25">
      <c r="A739" t="e">
        <f t="shared" si="88"/>
        <v>#VALUE!</v>
      </c>
      <c r="B739" t="e">
        <f t="shared" si="89"/>
        <v>#VALUE!</v>
      </c>
      <c r="D739" s="21" t="str" cm="1">
        <f t="array" ref="D739">IF(ROWS($D$7:D739)&gt;COUNTIF('[1]U$S'!$H$5:$H$1008,$L$5),"",INDEX(CuentaUS,_xlfn.AGGREGATE(15,6,ROW('[1]U$S'!$H$5:$H$1008)-ROW('[1]U$S'!$O$5)+1/--('[1]U$S'!$H$5:$H$1008=$L$5),ROWS($D$7:D739)),1))</f>
        <v/>
      </c>
      <c r="E739" s="22" t="str" cm="1">
        <f t="array" ref="E739">IF(ROWS($E$7:E739)&gt;COUNTIF('[1]U$S'!$H$5:$H$1008,$L$5),"",INDEX(CuentaUS,_xlfn.AGGREGATE(15,6,ROW('[1]U$S'!$H$5:$H$1008)-ROW('[1]U$S'!$O$5)+1/--('[1]U$S'!$H$5:$H$1008=$L$5),ROWS($E$7:E739)),6))</f>
        <v/>
      </c>
      <c r="F739" s="22" t="str">
        <f>IF(E739="","",IF(E739&gt;0,SUMIFS('[1]UY$'!$L$5:$L$993,'[1]UY$'!$O$5:$O$993,"Cambio",'[1]UY$'!$E$5:$E$993,'Efecto TC'!D739),""))</f>
        <v/>
      </c>
      <c r="G739" s="23" t="str">
        <f t="shared" si="92"/>
        <v/>
      </c>
      <c r="H739" s="22" t="str">
        <f t="shared" si="93"/>
        <v/>
      </c>
      <c r="I739" s="54" t="str">
        <f t="shared" si="90"/>
        <v/>
      </c>
      <c r="R739" s="24" t="e">
        <f t="shared" si="94"/>
        <v>#VALUE!</v>
      </c>
      <c r="S739" s="25" t="e">
        <f t="shared" si="91"/>
        <v>#VALUE!</v>
      </c>
    </row>
    <row r="740" spans="1:19" x14ac:dyDescent="0.25">
      <c r="A740" t="e">
        <f t="shared" si="88"/>
        <v>#VALUE!</v>
      </c>
      <c r="B740" t="e">
        <f t="shared" si="89"/>
        <v>#VALUE!</v>
      </c>
      <c r="D740" s="21" t="str" cm="1">
        <f t="array" ref="D740">IF(ROWS($D$7:D740)&gt;COUNTIF('[1]U$S'!$H$5:$H$1008,$L$5),"",INDEX(CuentaUS,_xlfn.AGGREGATE(15,6,ROW('[1]U$S'!$H$5:$H$1008)-ROW('[1]U$S'!$O$5)+1/--('[1]U$S'!$H$5:$H$1008=$L$5),ROWS($D$7:D740)),1))</f>
        <v/>
      </c>
      <c r="E740" s="22" t="str" cm="1">
        <f t="array" ref="E740">IF(ROWS($E$7:E740)&gt;COUNTIF('[1]U$S'!$H$5:$H$1008,$L$5),"",INDEX(CuentaUS,_xlfn.AGGREGATE(15,6,ROW('[1]U$S'!$H$5:$H$1008)-ROW('[1]U$S'!$O$5)+1/--('[1]U$S'!$H$5:$H$1008=$L$5),ROWS($E$7:E740)),6))</f>
        <v/>
      </c>
      <c r="F740" s="22" t="str">
        <f>IF(E740="","",IF(E740&gt;0,SUMIFS('[1]UY$'!$L$5:$L$993,'[1]UY$'!$O$5:$O$993,"Cambio",'[1]UY$'!$E$5:$E$993,'Efecto TC'!D740),""))</f>
        <v/>
      </c>
      <c r="G740" s="23" t="str">
        <f t="shared" si="92"/>
        <v/>
      </c>
      <c r="H740" s="22" t="str">
        <f t="shared" si="93"/>
        <v/>
      </c>
      <c r="I740" s="54" t="str">
        <f t="shared" si="90"/>
        <v/>
      </c>
      <c r="R740" s="24" t="e">
        <f t="shared" si="94"/>
        <v>#VALUE!</v>
      </c>
      <c r="S740" s="25" t="e">
        <f t="shared" si="91"/>
        <v>#VALUE!</v>
      </c>
    </row>
    <row r="741" spans="1:19" x14ac:dyDescent="0.25">
      <c r="A741" t="e">
        <f t="shared" si="88"/>
        <v>#VALUE!</v>
      </c>
      <c r="B741" t="e">
        <f t="shared" si="89"/>
        <v>#VALUE!</v>
      </c>
      <c r="D741" s="21" t="str" cm="1">
        <f t="array" ref="D741">IF(ROWS($D$7:D741)&gt;COUNTIF('[1]U$S'!$H$5:$H$1008,$L$5),"",INDEX(CuentaUS,_xlfn.AGGREGATE(15,6,ROW('[1]U$S'!$H$5:$H$1008)-ROW('[1]U$S'!$O$5)+1/--('[1]U$S'!$H$5:$H$1008=$L$5),ROWS($D$7:D741)),1))</f>
        <v/>
      </c>
      <c r="E741" s="22" t="str" cm="1">
        <f t="array" ref="E741">IF(ROWS($E$7:E741)&gt;COUNTIF('[1]U$S'!$H$5:$H$1008,$L$5),"",INDEX(CuentaUS,_xlfn.AGGREGATE(15,6,ROW('[1]U$S'!$H$5:$H$1008)-ROW('[1]U$S'!$O$5)+1/--('[1]U$S'!$H$5:$H$1008=$L$5),ROWS($E$7:E741)),6))</f>
        <v/>
      </c>
      <c r="F741" s="22" t="str">
        <f>IF(E741="","",IF(E741&gt;0,SUMIFS('[1]UY$'!$L$5:$L$993,'[1]UY$'!$O$5:$O$993,"Cambio",'[1]UY$'!$E$5:$E$993,'Efecto TC'!D741),""))</f>
        <v/>
      </c>
      <c r="G741" s="23" t="str">
        <f t="shared" si="92"/>
        <v/>
      </c>
      <c r="H741" s="22" t="str">
        <f t="shared" si="93"/>
        <v/>
      </c>
      <c r="I741" s="54" t="str">
        <f t="shared" si="90"/>
        <v/>
      </c>
      <c r="R741" s="24" t="e">
        <f t="shared" si="94"/>
        <v>#VALUE!</v>
      </c>
      <c r="S741" s="25" t="e">
        <f t="shared" si="91"/>
        <v>#VALUE!</v>
      </c>
    </row>
    <row r="742" spans="1:19" x14ac:dyDescent="0.25">
      <c r="A742" t="e">
        <f t="shared" si="88"/>
        <v>#VALUE!</v>
      </c>
      <c r="B742" t="e">
        <f t="shared" si="89"/>
        <v>#VALUE!</v>
      </c>
      <c r="D742" s="21" t="str" cm="1">
        <f t="array" ref="D742">IF(ROWS($D$7:D742)&gt;COUNTIF('[1]U$S'!$H$5:$H$1008,$L$5),"",INDEX(CuentaUS,_xlfn.AGGREGATE(15,6,ROW('[1]U$S'!$H$5:$H$1008)-ROW('[1]U$S'!$O$5)+1/--('[1]U$S'!$H$5:$H$1008=$L$5),ROWS($D$7:D742)),1))</f>
        <v/>
      </c>
      <c r="E742" s="22" t="str" cm="1">
        <f t="array" ref="E742">IF(ROWS($E$7:E742)&gt;COUNTIF('[1]U$S'!$H$5:$H$1008,$L$5),"",INDEX(CuentaUS,_xlfn.AGGREGATE(15,6,ROW('[1]U$S'!$H$5:$H$1008)-ROW('[1]U$S'!$O$5)+1/--('[1]U$S'!$H$5:$H$1008=$L$5),ROWS($E$7:E742)),6))</f>
        <v/>
      </c>
      <c r="F742" s="22" t="str">
        <f>IF(E742="","",IF(E742&gt;0,SUMIFS('[1]UY$'!$L$5:$L$993,'[1]UY$'!$O$5:$O$993,"Cambio",'[1]UY$'!$E$5:$E$993,'Efecto TC'!D742),""))</f>
        <v/>
      </c>
      <c r="G742" s="23" t="str">
        <f t="shared" si="92"/>
        <v/>
      </c>
      <c r="H742" s="22" t="str">
        <f t="shared" si="93"/>
        <v/>
      </c>
      <c r="I742" s="54" t="str">
        <f t="shared" si="90"/>
        <v/>
      </c>
      <c r="R742" s="24" t="e">
        <f t="shared" si="94"/>
        <v>#VALUE!</v>
      </c>
      <c r="S742" s="25" t="e">
        <f t="shared" si="91"/>
        <v>#VALUE!</v>
      </c>
    </row>
    <row r="743" spans="1:19" x14ac:dyDescent="0.25">
      <c r="A743" t="e">
        <f t="shared" si="88"/>
        <v>#VALUE!</v>
      </c>
      <c r="B743" t="e">
        <f t="shared" si="89"/>
        <v>#VALUE!</v>
      </c>
      <c r="D743" s="21" t="str" cm="1">
        <f t="array" ref="D743">IF(ROWS($D$7:D743)&gt;COUNTIF('[1]U$S'!$H$5:$H$1008,$L$5),"",INDEX(CuentaUS,_xlfn.AGGREGATE(15,6,ROW('[1]U$S'!$H$5:$H$1008)-ROW('[1]U$S'!$O$5)+1/--('[1]U$S'!$H$5:$H$1008=$L$5),ROWS($D$7:D743)),1))</f>
        <v/>
      </c>
      <c r="E743" s="22" t="str" cm="1">
        <f t="array" ref="E743">IF(ROWS($E$7:E743)&gt;COUNTIF('[1]U$S'!$H$5:$H$1008,$L$5),"",INDEX(CuentaUS,_xlfn.AGGREGATE(15,6,ROW('[1]U$S'!$H$5:$H$1008)-ROW('[1]U$S'!$O$5)+1/--('[1]U$S'!$H$5:$H$1008=$L$5),ROWS($E$7:E743)),6))</f>
        <v/>
      </c>
      <c r="F743" s="22" t="str">
        <f>IF(E743="","",IF(E743&gt;0,SUMIFS('[1]UY$'!$L$5:$L$993,'[1]UY$'!$O$5:$O$993,"Cambio",'[1]UY$'!$E$5:$E$993,'Efecto TC'!D743),""))</f>
        <v/>
      </c>
      <c r="G743" s="23" t="str">
        <f t="shared" si="92"/>
        <v/>
      </c>
      <c r="H743" s="22" t="str">
        <f t="shared" si="93"/>
        <v/>
      </c>
      <c r="I743" s="54" t="str">
        <f t="shared" si="90"/>
        <v/>
      </c>
      <c r="R743" s="24" t="e">
        <f t="shared" si="94"/>
        <v>#VALUE!</v>
      </c>
      <c r="S743" s="25" t="e">
        <f t="shared" si="91"/>
        <v>#VALUE!</v>
      </c>
    </row>
    <row r="744" spans="1:19" x14ac:dyDescent="0.25">
      <c r="A744" t="e">
        <f t="shared" si="88"/>
        <v>#VALUE!</v>
      </c>
      <c r="B744" t="e">
        <f t="shared" si="89"/>
        <v>#VALUE!</v>
      </c>
      <c r="D744" s="21" t="str" cm="1">
        <f t="array" ref="D744">IF(ROWS($D$7:D744)&gt;COUNTIF('[1]U$S'!$H$5:$H$1008,$L$5),"",INDEX(CuentaUS,_xlfn.AGGREGATE(15,6,ROW('[1]U$S'!$H$5:$H$1008)-ROW('[1]U$S'!$O$5)+1/--('[1]U$S'!$H$5:$H$1008=$L$5),ROWS($D$7:D744)),1))</f>
        <v/>
      </c>
      <c r="E744" s="22" t="str" cm="1">
        <f t="array" ref="E744">IF(ROWS($E$7:E744)&gt;COUNTIF('[1]U$S'!$H$5:$H$1008,$L$5),"",INDEX(CuentaUS,_xlfn.AGGREGATE(15,6,ROW('[1]U$S'!$H$5:$H$1008)-ROW('[1]U$S'!$O$5)+1/--('[1]U$S'!$H$5:$H$1008=$L$5),ROWS($E$7:E744)),6))</f>
        <v/>
      </c>
      <c r="F744" s="22" t="str">
        <f>IF(E744="","",IF(E744&gt;0,SUMIFS('[1]UY$'!$L$5:$L$993,'[1]UY$'!$O$5:$O$993,"Cambio",'[1]UY$'!$E$5:$E$993,'Efecto TC'!D744),""))</f>
        <v/>
      </c>
      <c r="G744" s="23" t="str">
        <f t="shared" si="92"/>
        <v/>
      </c>
      <c r="H744" s="22" t="str">
        <f t="shared" si="93"/>
        <v/>
      </c>
      <c r="I744" s="54" t="str">
        <f t="shared" si="90"/>
        <v/>
      </c>
      <c r="R744" s="24" t="e">
        <f t="shared" si="94"/>
        <v>#VALUE!</v>
      </c>
      <c r="S744" s="25" t="e">
        <f t="shared" si="91"/>
        <v>#VALUE!</v>
      </c>
    </row>
    <row r="745" spans="1:19" x14ac:dyDescent="0.25">
      <c r="A745" t="e">
        <f t="shared" si="88"/>
        <v>#VALUE!</v>
      </c>
      <c r="B745" t="e">
        <f t="shared" si="89"/>
        <v>#VALUE!</v>
      </c>
      <c r="D745" s="21" t="str" cm="1">
        <f t="array" ref="D745">IF(ROWS($D$7:D745)&gt;COUNTIF('[1]U$S'!$H$5:$H$1008,$L$5),"",INDEX(CuentaUS,_xlfn.AGGREGATE(15,6,ROW('[1]U$S'!$H$5:$H$1008)-ROW('[1]U$S'!$O$5)+1/--('[1]U$S'!$H$5:$H$1008=$L$5),ROWS($D$7:D745)),1))</f>
        <v/>
      </c>
      <c r="E745" s="22" t="str" cm="1">
        <f t="array" ref="E745">IF(ROWS($E$7:E745)&gt;COUNTIF('[1]U$S'!$H$5:$H$1008,$L$5),"",INDEX(CuentaUS,_xlfn.AGGREGATE(15,6,ROW('[1]U$S'!$H$5:$H$1008)-ROW('[1]U$S'!$O$5)+1/--('[1]U$S'!$H$5:$H$1008=$L$5),ROWS($E$7:E745)),6))</f>
        <v/>
      </c>
      <c r="F745" s="22" t="str">
        <f>IF(E745="","",IF(E745&gt;0,SUMIFS('[1]UY$'!$L$5:$L$993,'[1]UY$'!$O$5:$O$993,"Cambio",'[1]UY$'!$E$5:$E$993,'Efecto TC'!D745),""))</f>
        <v/>
      </c>
      <c r="G745" s="23" t="str">
        <f t="shared" si="92"/>
        <v/>
      </c>
      <c r="H745" s="22" t="str">
        <f t="shared" si="93"/>
        <v/>
      </c>
      <c r="I745" s="54" t="str">
        <f t="shared" si="90"/>
        <v/>
      </c>
      <c r="R745" s="24" t="e">
        <f t="shared" si="94"/>
        <v>#VALUE!</v>
      </c>
      <c r="S745" s="25" t="e">
        <f t="shared" si="91"/>
        <v>#VALUE!</v>
      </c>
    </row>
    <row r="746" spans="1:19" x14ac:dyDescent="0.25">
      <c r="A746" t="e">
        <f t="shared" si="88"/>
        <v>#VALUE!</v>
      </c>
      <c r="B746" t="e">
        <f t="shared" si="89"/>
        <v>#VALUE!</v>
      </c>
      <c r="D746" s="21" t="str" cm="1">
        <f t="array" ref="D746">IF(ROWS($D$7:D746)&gt;COUNTIF('[1]U$S'!$H$5:$H$1008,$L$5),"",INDEX(CuentaUS,_xlfn.AGGREGATE(15,6,ROW('[1]U$S'!$H$5:$H$1008)-ROW('[1]U$S'!$O$5)+1/--('[1]U$S'!$H$5:$H$1008=$L$5),ROWS($D$7:D746)),1))</f>
        <v/>
      </c>
      <c r="E746" s="22" t="str" cm="1">
        <f t="array" ref="E746">IF(ROWS($E$7:E746)&gt;COUNTIF('[1]U$S'!$H$5:$H$1008,$L$5),"",INDEX(CuentaUS,_xlfn.AGGREGATE(15,6,ROW('[1]U$S'!$H$5:$H$1008)-ROW('[1]U$S'!$O$5)+1/--('[1]U$S'!$H$5:$H$1008=$L$5),ROWS($E$7:E746)),6))</f>
        <v/>
      </c>
      <c r="F746" s="22" t="str">
        <f>IF(E746="","",IF(E746&gt;0,SUMIFS('[1]UY$'!$L$5:$L$993,'[1]UY$'!$O$5:$O$993,"Cambio",'[1]UY$'!$E$5:$E$993,'Efecto TC'!D746),""))</f>
        <v/>
      </c>
      <c r="G746" s="23" t="str">
        <f t="shared" si="92"/>
        <v/>
      </c>
      <c r="H746" s="22" t="str">
        <f t="shared" si="93"/>
        <v/>
      </c>
      <c r="I746" s="54" t="str">
        <f t="shared" si="90"/>
        <v/>
      </c>
      <c r="R746" s="24" t="e">
        <f t="shared" si="94"/>
        <v>#VALUE!</v>
      </c>
      <c r="S746" s="25" t="e">
        <f t="shared" si="91"/>
        <v>#VALUE!</v>
      </c>
    </row>
    <row r="747" spans="1:19" x14ac:dyDescent="0.25">
      <c r="A747" t="e">
        <f t="shared" si="88"/>
        <v>#VALUE!</v>
      </c>
      <c r="B747" t="e">
        <f t="shared" si="89"/>
        <v>#VALUE!</v>
      </c>
      <c r="D747" s="21" t="str" cm="1">
        <f t="array" ref="D747">IF(ROWS($D$7:D747)&gt;COUNTIF('[1]U$S'!$H$5:$H$1008,$L$5),"",INDEX(CuentaUS,_xlfn.AGGREGATE(15,6,ROW('[1]U$S'!$H$5:$H$1008)-ROW('[1]U$S'!$O$5)+1/--('[1]U$S'!$H$5:$H$1008=$L$5),ROWS($D$7:D747)),1))</f>
        <v/>
      </c>
      <c r="E747" s="22" t="str" cm="1">
        <f t="array" ref="E747">IF(ROWS($E$7:E747)&gt;COUNTIF('[1]U$S'!$H$5:$H$1008,$L$5),"",INDEX(CuentaUS,_xlfn.AGGREGATE(15,6,ROW('[1]U$S'!$H$5:$H$1008)-ROW('[1]U$S'!$O$5)+1/--('[1]U$S'!$H$5:$H$1008=$L$5),ROWS($E$7:E747)),6))</f>
        <v/>
      </c>
      <c r="F747" s="22" t="str">
        <f>IF(E747="","",IF(E747&gt;0,SUMIFS('[1]UY$'!$L$5:$L$993,'[1]UY$'!$O$5:$O$993,"Cambio",'[1]UY$'!$E$5:$E$993,'Efecto TC'!D747),""))</f>
        <v/>
      </c>
      <c r="G747" s="23" t="str">
        <f t="shared" si="92"/>
        <v/>
      </c>
      <c r="H747" s="22" t="str">
        <f t="shared" si="93"/>
        <v/>
      </c>
      <c r="I747" s="54" t="str">
        <f t="shared" si="90"/>
        <v/>
      </c>
      <c r="R747" s="24" t="e">
        <f t="shared" si="94"/>
        <v>#VALUE!</v>
      </c>
      <c r="S747" s="25" t="e">
        <f t="shared" si="91"/>
        <v>#VALUE!</v>
      </c>
    </row>
    <row r="748" spans="1:19" x14ac:dyDescent="0.25">
      <c r="A748" t="e">
        <f t="shared" si="88"/>
        <v>#VALUE!</v>
      </c>
      <c r="B748" t="e">
        <f t="shared" si="89"/>
        <v>#VALUE!</v>
      </c>
      <c r="D748" s="21" t="str" cm="1">
        <f t="array" ref="D748">IF(ROWS($D$7:D748)&gt;COUNTIF('[1]U$S'!$H$5:$H$1008,$L$5),"",INDEX(CuentaUS,_xlfn.AGGREGATE(15,6,ROW('[1]U$S'!$H$5:$H$1008)-ROW('[1]U$S'!$O$5)+1/--('[1]U$S'!$H$5:$H$1008=$L$5),ROWS($D$7:D748)),1))</f>
        <v/>
      </c>
      <c r="E748" s="22" t="str" cm="1">
        <f t="array" ref="E748">IF(ROWS($E$7:E748)&gt;COUNTIF('[1]U$S'!$H$5:$H$1008,$L$5),"",INDEX(CuentaUS,_xlfn.AGGREGATE(15,6,ROW('[1]U$S'!$H$5:$H$1008)-ROW('[1]U$S'!$O$5)+1/--('[1]U$S'!$H$5:$H$1008=$L$5),ROWS($E$7:E748)),6))</f>
        <v/>
      </c>
      <c r="F748" s="22" t="str">
        <f>IF(E748="","",IF(E748&gt;0,SUMIFS('[1]UY$'!$L$5:$L$993,'[1]UY$'!$O$5:$O$993,"Cambio",'[1]UY$'!$E$5:$E$993,'Efecto TC'!D748),""))</f>
        <v/>
      </c>
      <c r="G748" s="23" t="str">
        <f t="shared" si="92"/>
        <v/>
      </c>
      <c r="H748" s="22" t="str">
        <f t="shared" si="93"/>
        <v/>
      </c>
      <c r="I748" s="54" t="str">
        <f t="shared" si="90"/>
        <v/>
      </c>
      <c r="R748" s="24" t="e">
        <f t="shared" si="94"/>
        <v>#VALUE!</v>
      </c>
      <c r="S748" s="25" t="e">
        <f t="shared" si="91"/>
        <v>#VALUE!</v>
      </c>
    </row>
    <row r="749" spans="1:19" x14ac:dyDescent="0.25">
      <c r="A749" t="e">
        <f t="shared" si="88"/>
        <v>#VALUE!</v>
      </c>
      <c r="B749" t="e">
        <f t="shared" si="89"/>
        <v>#VALUE!</v>
      </c>
      <c r="D749" s="21" t="str" cm="1">
        <f t="array" ref="D749">IF(ROWS($D$7:D749)&gt;COUNTIF('[1]U$S'!$H$5:$H$1008,$L$5),"",INDEX(CuentaUS,_xlfn.AGGREGATE(15,6,ROW('[1]U$S'!$H$5:$H$1008)-ROW('[1]U$S'!$O$5)+1/--('[1]U$S'!$H$5:$H$1008=$L$5),ROWS($D$7:D749)),1))</f>
        <v/>
      </c>
      <c r="E749" s="22" t="str" cm="1">
        <f t="array" ref="E749">IF(ROWS($E$7:E749)&gt;COUNTIF('[1]U$S'!$H$5:$H$1008,$L$5),"",INDEX(CuentaUS,_xlfn.AGGREGATE(15,6,ROW('[1]U$S'!$H$5:$H$1008)-ROW('[1]U$S'!$O$5)+1/--('[1]U$S'!$H$5:$H$1008=$L$5),ROWS($E$7:E749)),6))</f>
        <v/>
      </c>
      <c r="F749" s="22" t="str">
        <f>IF(E749="","",IF(E749&gt;0,SUMIFS('[1]UY$'!$L$5:$L$993,'[1]UY$'!$O$5:$O$993,"Cambio",'[1]UY$'!$E$5:$E$993,'Efecto TC'!D749),""))</f>
        <v/>
      </c>
      <c r="G749" s="23" t="str">
        <f t="shared" si="92"/>
        <v/>
      </c>
      <c r="H749" s="22" t="str">
        <f t="shared" si="93"/>
        <v/>
      </c>
      <c r="I749" s="54" t="str">
        <f t="shared" si="90"/>
        <v/>
      </c>
      <c r="R749" s="24" t="e">
        <f t="shared" si="94"/>
        <v>#VALUE!</v>
      </c>
      <c r="S749" s="25" t="e">
        <f t="shared" si="91"/>
        <v>#VALUE!</v>
      </c>
    </row>
    <row r="750" spans="1:19" x14ac:dyDescent="0.25">
      <c r="A750" t="e">
        <f t="shared" si="88"/>
        <v>#VALUE!</v>
      </c>
      <c r="B750" t="e">
        <f t="shared" si="89"/>
        <v>#VALUE!</v>
      </c>
      <c r="D750" s="21" t="str" cm="1">
        <f t="array" ref="D750">IF(ROWS($D$7:D750)&gt;COUNTIF('[1]U$S'!$H$5:$H$1008,$L$5),"",INDEX(CuentaUS,_xlfn.AGGREGATE(15,6,ROW('[1]U$S'!$H$5:$H$1008)-ROW('[1]U$S'!$O$5)+1/--('[1]U$S'!$H$5:$H$1008=$L$5),ROWS($D$7:D750)),1))</f>
        <v/>
      </c>
      <c r="E750" s="22" t="str" cm="1">
        <f t="array" ref="E750">IF(ROWS($E$7:E750)&gt;COUNTIF('[1]U$S'!$H$5:$H$1008,$L$5),"",INDEX(CuentaUS,_xlfn.AGGREGATE(15,6,ROW('[1]U$S'!$H$5:$H$1008)-ROW('[1]U$S'!$O$5)+1/--('[1]U$S'!$H$5:$H$1008=$L$5),ROWS($E$7:E750)),6))</f>
        <v/>
      </c>
      <c r="F750" s="22" t="str">
        <f>IF(E750="","",IF(E750&gt;0,SUMIFS('[1]UY$'!$L$5:$L$993,'[1]UY$'!$O$5:$O$993,"Cambio",'[1]UY$'!$E$5:$E$993,'Efecto TC'!D750),""))</f>
        <v/>
      </c>
      <c r="G750" s="23" t="str">
        <f t="shared" si="92"/>
        <v/>
      </c>
      <c r="H750" s="22" t="str">
        <f t="shared" si="93"/>
        <v/>
      </c>
      <c r="I750" s="54" t="str">
        <f t="shared" si="90"/>
        <v/>
      </c>
      <c r="R750" s="24" t="e">
        <f t="shared" si="94"/>
        <v>#VALUE!</v>
      </c>
      <c r="S750" s="25" t="e">
        <f t="shared" si="91"/>
        <v>#VALUE!</v>
      </c>
    </row>
    <row r="751" spans="1:19" x14ac:dyDescent="0.25">
      <c r="A751" t="e">
        <f t="shared" si="88"/>
        <v>#VALUE!</v>
      </c>
      <c r="B751" t="e">
        <f t="shared" si="89"/>
        <v>#VALUE!</v>
      </c>
      <c r="D751" s="21" t="str" cm="1">
        <f t="array" ref="D751">IF(ROWS($D$7:D751)&gt;COUNTIF('[1]U$S'!$H$5:$H$1008,$L$5),"",INDEX(CuentaUS,_xlfn.AGGREGATE(15,6,ROW('[1]U$S'!$H$5:$H$1008)-ROW('[1]U$S'!$O$5)+1/--('[1]U$S'!$H$5:$H$1008=$L$5),ROWS($D$7:D751)),1))</f>
        <v/>
      </c>
      <c r="E751" s="22" t="str" cm="1">
        <f t="array" ref="E751">IF(ROWS($E$7:E751)&gt;COUNTIF('[1]U$S'!$H$5:$H$1008,$L$5),"",INDEX(CuentaUS,_xlfn.AGGREGATE(15,6,ROW('[1]U$S'!$H$5:$H$1008)-ROW('[1]U$S'!$O$5)+1/--('[1]U$S'!$H$5:$H$1008=$L$5),ROWS($E$7:E751)),6))</f>
        <v/>
      </c>
      <c r="F751" s="22" t="str">
        <f>IF(E751="","",IF(E751&gt;0,SUMIFS('[1]UY$'!$L$5:$L$993,'[1]UY$'!$O$5:$O$993,"Cambio",'[1]UY$'!$E$5:$E$993,'Efecto TC'!D751),""))</f>
        <v/>
      </c>
      <c r="G751" s="23" t="str">
        <f t="shared" si="92"/>
        <v/>
      </c>
      <c r="H751" s="22" t="str">
        <f t="shared" si="93"/>
        <v/>
      </c>
      <c r="I751" s="54" t="str">
        <f t="shared" si="90"/>
        <v/>
      </c>
      <c r="R751" s="24" t="e">
        <f t="shared" si="94"/>
        <v>#VALUE!</v>
      </c>
      <c r="S751" s="25" t="e">
        <f t="shared" si="91"/>
        <v>#VALUE!</v>
      </c>
    </row>
    <row r="752" spans="1:19" x14ac:dyDescent="0.25">
      <c r="A752" t="e">
        <f t="shared" si="88"/>
        <v>#VALUE!</v>
      </c>
      <c r="B752" t="e">
        <f t="shared" si="89"/>
        <v>#VALUE!</v>
      </c>
      <c r="D752" s="21" t="str" cm="1">
        <f t="array" ref="D752">IF(ROWS($D$7:D752)&gt;COUNTIF('[1]U$S'!$H$5:$H$1008,$L$5),"",INDEX(CuentaUS,_xlfn.AGGREGATE(15,6,ROW('[1]U$S'!$H$5:$H$1008)-ROW('[1]U$S'!$O$5)+1/--('[1]U$S'!$H$5:$H$1008=$L$5),ROWS($D$7:D752)),1))</f>
        <v/>
      </c>
      <c r="E752" s="22" t="str" cm="1">
        <f t="array" ref="E752">IF(ROWS($E$7:E752)&gt;COUNTIF('[1]U$S'!$H$5:$H$1008,$L$5),"",INDEX(CuentaUS,_xlfn.AGGREGATE(15,6,ROW('[1]U$S'!$H$5:$H$1008)-ROW('[1]U$S'!$O$5)+1/--('[1]U$S'!$H$5:$H$1008=$L$5),ROWS($E$7:E752)),6))</f>
        <v/>
      </c>
      <c r="F752" s="22" t="str">
        <f>IF(E752="","",IF(E752&gt;0,SUMIFS('[1]UY$'!$L$5:$L$993,'[1]UY$'!$O$5:$O$993,"Cambio",'[1]UY$'!$E$5:$E$993,'Efecto TC'!D752),""))</f>
        <v/>
      </c>
      <c r="G752" s="23" t="str">
        <f t="shared" si="92"/>
        <v/>
      </c>
      <c r="H752" s="22" t="str">
        <f t="shared" si="93"/>
        <v/>
      </c>
      <c r="I752" s="54" t="str">
        <f t="shared" si="90"/>
        <v/>
      </c>
      <c r="R752" s="24" t="e">
        <f t="shared" si="94"/>
        <v>#VALUE!</v>
      </c>
      <c r="S752" s="25" t="e">
        <f t="shared" si="91"/>
        <v>#VALUE!</v>
      </c>
    </row>
    <row r="753" spans="1:19" x14ac:dyDescent="0.25">
      <c r="A753" t="e">
        <f t="shared" si="88"/>
        <v>#VALUE!</v>
      </c>
      <c r="B753" t="e">
        <f t="shared" si="89"/>
        <v>#VALUE!</v>
      </c>
      <c r="D753" s="21" t="str" cm="1">
        <f t="array" ref="D753">IF(ROWS($D$7:D753)&gt;COUNTIF('[1]U$S'!$H$5:$H$1008,$L$5),"",INDEX(CuentaUS,_xlfn.AGGREGATE(15,6,ROW('[1]U$S'!$H$5:$H$1008)-ROW('[1]U$S'!$O$5)+1/--('[1]U$S'!$H$5:$H$1008=$L$5),ROWS($D$7:D753)),1))</f>
        <v/>
      </c>
      <c r="E753" s="22" t="str" cm="1">
        <f t="array" ref="E753">IF(ROWS($E$7:E753)&gt;COUNTIF('[1]U$S'!$H$5:$H$1008,$L$5),"",INDEX(CuentaUS,_xlfn.AGGREGATE(15,6,ROW('[1]U$S'!$H$5:$H$1008)-ROW('[1]U$S'!$O$5)+1/--('[1]U$S'!$H$5:$H$1008=$L$5),ROWS($E$7:E753)),6))</f>
        <v/>
      </c>
      <c r="F753" s="22" t="str">
        <f>IF(E753="","",IF(E753&gt;0,SUMIFS('[1]UY$'!$L$5:$L$993,'[1]UY$'!$O$5:$O$993,"Cambio",'[1]UY$'!$E$5:$E$993,'Efecto TC'!D753),""))</f>
        <v/>
      </c>
      <c r="G753" s="23" t="str">
        <f t="shared" si="92"/>
        <v/>
      </c>
      <c r="H753" s="22" t="str">
        <f t="shared" si="93"/>
        <v/>
      </c>
      <c r="I753" s="54" t="str">
        <f t="shared" si="90"/>
        <v/>
      </c>
      <c r="R753" s="24" t="e">
        <f t="shared" si="94"/>
        <v>#VALUE!</v>
      </c>
      <c r="S753" s="25" t="e">
        <f t="shared" si="91"/>
        <v>#VALUE!</v>
      </c>
    </row>
    <row r="754" spans="1:19" x14ac:dyDescent="0.25">
      <c r="A754" t="e">
        <f t="shared" si="88"/>
        <v>#VALUE!</v>
      </c>
      <c r="B754" t="e">
        <f t="shared" si="89"/>
        <v>#VALUE!</v>
      </c>
      <c r="D754" s="21" t="str" cm="1">
        <f t="array" ref="D754">IF(ROWS($D$7:D754)&gt;COUNTIF('[1]U$S'!$H$5:$H$1008,$L$5),"",INDEX(CuentaUS,_xlfn.AGGREGATE(15,6,ROW('[1]U$S'!$H$5:$H$1008)-ROW('[1]U$S'!$O$5)+1/--('[1]U$S'!$H$5:$H$1008=$L$5),ROWS($D$7:D754)),1))</f>
        <v/>
      </c>
      <c r="E754" s="22" t="str" cm="1">
        <f t="array" ref="E754">IF(ROWS($E$7:E754)&gt;COUNTIF('[1]U$S'!$H$5:$H$1008,$L$5),"",INDEX(CuentaUS,_xlfn.AGGREGATE(15,6,ROW('[1]U$S'!$H$5:$H$1008)-ROW('[1]U$S'!$O$5)+1/--('[1]U$S'!$H$5:$H$1008=$L$5),ROWS($E$7:E754)),6))</f>
        <v/>
      </c>
      <c r="F754" s="22" t="str">
        <f>IF(E754="","",IF(E754&gt;0,SUMIFS('[1]UY$'!$L$5:$L$993,'[1]UY$'!$O$5:$O$993,"Cambio",'[1]UY$'!$E$5:$E$993,'Efecto TC'!D754),""))</f>
        <v/>
      </c>
      <c r="G754" s="23" t="str">
        <f t="shared" si="92"/>
        <v/>
      </c>
      <c r="H754" s="22" t="str">
        <f t="shared" si="93"/>
        <v/>
      </c>
      <c r="I754" s="54" t="str">
        <f t="shared" si="90"/>
        <v/>
      </c>
      <c r="R754" s="24" t="e">
        <f t="shared" si="94"/>
        <v>#VALUE!</v>
      </c>
      <c r="S754" s="25" t="e">
        <f t="shared" si="91"/>
        <v>#VALUE!</v>
      </c>
    </row>
    <row r="755" spans="1:19" x14ac:dyDescent="0.25">
      <c r="A755" t="e">
        <f t="shared" si="88"/>
        <v>#VALUE!</v>
      </c>
      <c r="B755" t="e">
        <f t="shared" si="89"/>
        <v>#VALUE!</v>
      </c>
      <c r="D755" s="21" t="str" cm="1">
        <f t="array" ref="D755">IF(ROWS($D$7:D755)&gt;COUNTIF('[1]U$S'!$H$5:$H$1008,$L$5),"",INDEX(CuentaUS,_xlfn.AGGREGATE(15,6,ROW('[1]U$S'!$H$5:$H$1008)-ROW('[1]U$S'!$O$5)+1/--('[1]U$S'!$H$5:$H$1008=$L$5),ROWS($D$7:D755)),1))</f>
        <v/>
      </c>
      <c r="E755" s="22" t="str" cm="1">
        <f t="array" ref="E755">IF(ROWS($E$7:E755)&gt;COUNTIF('[1]U$S'!$H$5:$H$1008,$L$5),"",INDEX(CuentaUS,_xlfn.AGGREGATE(15,6,ROW('[1]U$S'!$H$5:$H$1008)-ROW('[1]U$S'!$O$5)+1/--('[1]U$S'!$H$5:$H$1008=$L$5),ROWS($E$7:E755)),6))</f>
        <v/>
      </c>
      <c r="F755" s="22" t="str">
        <f>IF(E755="","",IF(E755&gt;0,SUMIFS('[1]UY$'!$L$5:$L$993,'[1]UY$'!$O$5:$O$993,"Cambio",'[1]UY$'!$E$5:$E$993,'Efecto TC'!D755),""))</f>
        <v/>
      </c>
      <c r="G755" s="23" t="str">
        <f t="shared" si="92"/>
        <v/>
      </c>
      <c r="H755" s="22" t="str">
        <f t="shared" si="93"/>
        <v/>
      </c>
      <c r="I755" s="54" t="str">
        <f t="shared" si="90"/>
        <v/>
      </c>
      <c r="R755" s="24" t="e">
        <f t="shared" si="94"/>
        <v>#VALUE!</v>
      </c>
      <c r="S755" s="25" t="e">
        <f t="shared" si="91"/>
        <v>#VALUE!</v>
      </c>
    </row>
    <row r="756" spans="1:19" x14ac:dyDescent="0.25">
      <c r="A756" t="e">
        <f t="shared" si="88"/>
        <v>#VALUE!</v>
      </c>
      <c r="B756" t="e">
        <f t="shared" si="89"/>
        <v>#VALUE!</v>
      </c>
      <c r="D756" s="21" t="str" cm="1">
        <f t="array" ref="D756">IF(ROWS($D$7:D756)&gt;COUNTIF('[1]U$S'!$H$5:$H$1008,$L$5),"",INDEX(CuentaUS,_xlfn.AGGREGATE(15,6,ROW('[1]U$S'!$H$5:$H$1008)-ROW('[1]U$S'!$O$5)+1/--('[1]U$S'!$H$5:$H$1008=$L$5),ROWS($D$7:D756)),1))</f>
        <v/>
      </c>
      <c r="E756" s="22" t="str" cm="1">
        <f t="array" ref="E756">IF(ROWS($E$7:E756)&gt;COUNTIF('[1]U$S'!$H$5:$H$1008,$L$5),"",INDEX(CuentaUS,_xlfn.AGGREGATE(15,6,ROW('[1]U$S'!$H$5:$H$1008)-ROW('[1]U$S'!$O$5)+1/--('[1]U$S'!$H$5:$H$1008=$L$5),ROWS($E$7:E756)),6))</f>
        <v/>
      </c>
      <c r="F756" s="22" t="str">
        <f>IF(E756="","",IF(E756&gt;0,SUMIFS('[1]UY$'!$L$5:$L$993,'[1]UY$'!$O$5:$O$993,"Cambio",'[1]UY$'!$E$5:$E$993,'Efecto TC'!D756),""))</f>
        <v/>
      </c>
      <c r="G756" s="23" t="str">
        <f t="shared" si="92"/>
        <v/>
      </c>
      <c r="H756" s="22" t="str">
        <f t="shared" si="93"/>
        <v/>
      </c>
      <c r="I756" s="54" t="str">
        <f t="shared" si="90"/>
        <v/>
      </c>
      <c r="R756" s="24" t="e">
        <f t="shared" si="94"/>
        <v>#VALUE!</v>
      </c>
      <c r="S756" s="25" t="e">
        <f t="shared" si="91"/>
        <v>#VALUE!</v>
      </c>
    </row>
    <row r="757" spans="1:19" x14ac:dyDescent="0.25">
      <c r="A757" t="e">
        <f t="shared" si="88"/>
        <v>#VALUE!</v>
      </c>
      <c r="B757" t="e">
        <f t="shared" si="89"/>
        <v>#VALUE!</v>
      </c>
      <c r="D757" s="21" t="str" cm="1">
        <f t="array" ref="D757">IF(ROWS($D$7:D757)&gt;COUNTIF('[1]U$S'!$H$5:$H$1008,$L$5),"",INDEX(CuentaUS,_xlfn.AGGREGATE(15,6,ROW('[1]U$S'!$H$5:$H$1008)-ROW('[1]U$S'!$O$5)+1/--('[1]U$S'!$H$5:$H$1008=$L$5),ROWS($D$7:D757)),1))</f>
        <v/>
      </c>
      <c r="E757" s="22" t="str" cm="1">
        <f t="array" ref="E757">IF(ROWS($E$7:E757)&gt;COUNTIF('[1]U$S'!$H$5:$H$1008,$L$5),"",INDEX(CuentaUS,_xlfn.AGGREGATE(15,6,ROW('[1]U$S'!$H$5:$H$1008)-ROW('[1]U$S'!$O$5)+1/--('[1]U$S'!$H$5:$H$1008=$L$5),ROWS($E$7:E757)),6))</f>
        <v/>
      </c>
      <c r="F757" s="22" t="str">
        <f>IF(E757="","",IF(E757&gt;0,SUMIFS('[1]UY$'!$L$5:$L$993,'[1]UY$'!$O$5:$O$993,"Cambio",'[1]UY$'!$E$5:$E$993,'Efecto TC'!D757),""))</f>
        <v/>
      </c>
      <c r="G757" s="23" t="str">
        <f t="shared" si="92"/>
        <v/>
      </c>
      <c r="H757" s="22" t="str">
        <f t="shared" si="93"/>
        <v/>
      </c>
      <c r="I757" s="54" t="str">
        <f t="shared" si="90"/>
        <v/>
      </c>
      <c r="R757" s="24" t="e">
        <f t="shared" si="94"/>
        <v>#VALUE!</v>
      </c>
      <c r="S757" s="25" t="e">
        <f t="shared" si="91"/>
        <v>#VALUE!</v>
      </c>
    </row>
    <row r="758" spans="1:19" x14ac:dyDescent="0.25">
      <c r="A758" t="e">
        <f t="shared" si="88"/>
        <v>#VALUE!</v>
      </c>
      <c r="B758" t="e">
        <f t="shared" si="89"/>
        <v>#VALUE!</v>
      </c>
      <c r="D758" s="21" t="str" cm="1">
        <f t="array" ref="D758">IF(ROWS($D$7:D758)&gt;COUNTIF('[1]U$S'!$H$5:$H$1008,$L$5),"",INDEX(CuentaUS,_xlfn.AGGREGATE(15,6,ROW('[1]U$S'!$H$5:$H$1008)-ROW('[1]U$S'!$O$5)+1/--('[1]U$S'!$H$5:$H$1008=$L$5),ROWS($D$7:D758)),1))</f>
        <v/>
      </c>
      <c r="E758" s="22" t="str" cm="1">
        <f t="array" ref="E758">IF(ROWS($E$7:E758)&gt;COUNTIF('[1]U$S'!$H$5:$H$1008,$L$5),"",INDEX(CuentaUS,_xlfn.AGGREGATE(15,6,ROW('[1]U$S'!$H$5:$H$1008)-ROW('[1]U$S'!$O$5)+1/--('[1]U$S'!$H$5:$H$1008=$L$5),ROWS($E$7:E758)),6))</f>
        <v/>
      </c>
      <c r="F758" s="22" t="str">
        <f>IF(E758="","",IF(E758&gt;0,SUMIFS('[1]UY$'!$L$5:$L$993,'[1]UY$'!$O$5:$O$993,"Cambio",'[1]UY$'!$E$5:$E$993,'Efecto TC'!D758),""))</f>
        <v/>
      </c>
      <c r="G758" s="23" t="str">
        <f t="shared" si="92"/>
        <v/>
      </c>
      <c r="H758" s="22" t="str">
        <f t="shared" si="93"/>
        <v/>
      </c>
      <c r="I758" s="54" t="str">
        <f t="shared" si="90"/>
        <v/>
      </c>
      <c r="R758" s="24" t="e">
        <f t="shared" si="94"/>
        <v>#VALUE!</v>
      </c>
      <c r="S758" s="25" t="e">
        <f t="shared" si="91"/>
        <v>#VALUE!</v>
      </c>
    </row>
    <row r="759" spans="1:19" x14ac:dyDescent="0.25">
      <c r="A759" t="e">
        <f t="shared" si="88"/>
        <v>#VALUE!</v>
      </c>
      <c r="B759" t="e">
        <f t="shared" si="89"/>
        <v>#VALUE!</v>
      </c>
      <c r="D759" s="21" t="str" cm="1">
        <f t="array" ref="D759">IF(ROWS($D$7:D759)&gt;COUNTIF('[1]U$S'!$H$5:$H$1008,$L$5),"",INDEX(CuentaUS,_xlfn.AGGREGATE(15,6,ROW('[1]U$S'!$H$5:$H$1008)-ROW('[1]U$S'!$O$5)+1/--('[1]U$S'!$H$5:$H$1008=$L$5),ROWS($D$7:D759)),1))</f>
        <v/>
      </c>
      <c r="E759" s="22" t="str" cm="1">
        <f t="array" ref="E759">IF(ROWS($E$7:E759)&gt;COUNTIF('[1]U$S'!$H$5:$H$1008,$L$5),"",INDEX(CuentaUS,_xlfn.AGGREGATE(15,6,ROW('[1]U$S'!$H$5:$H$1008)-ROW('[1]U$S'!$O$5)+1/--('[1]U$S'!$H$5:$H$1008=$L$5),ROWS($E$7:E759)),6))</f>
        <v/>
      </c>
      <c r="F759" s="22" t="str">
        <f>IF(E759="","",IF(E759&gt;0,SUMIFS('[1]UY$'!$L$5:$L$993,'[1]UY$'!$O$5:$O$993,"Cambio",'[1]UY$'!$E$5:$E$993,'Efecto TC'!D759),""))</f>
        <v/>
      </c>
      <c r="G759" s="23" t="str">
        <f t="shared" si="92"/>
        <v/>
      </c>
      <c r="H759" s="22" t="str">
        <f t="shared" si="93"/>
        <v/>
      </c>
      <c r="I759" s="54" t="str">
        <f t="shared" si="90"/>
        <v/>
      </c>
      <c r="R759" s="24" t="e">
        <f t="shared" si="94"/>
        <v>#VALUE!</v>
      </c>
      <c r="S759" s="25" t="e">
        <f t="shared" si="91"/>
        <v>#VALUE!</v>
      </c>
    </row>
    <row r="760" spans="1:19" x14ac:dyDescent="0.25">
      <c r="A760" t="e">
        <f t="shared" si="88"/>
        <v>#VALUE!</v>
      </c>
      <c r="B760" t="e">
        <f t="shared" si="89"/>
        <v>#VALUE!</v>
      </c>
      <c r="D760" s="21" t="str" cm="1">
        <f t="array" ref="D760">IF(ROWS($D$7:D760)&gt;COUNTIF('[1]U$S'!$H$5:$H$1008,$L$5),"",INDEX(CuentaUS,_xlfn.AGGREGATE(15,6,ROW('[1]U$S'!$H$5:$H$1008)-ROW('[1]U$S'!$O$5)+1/--('[1]U$S'!$H$5:$H$1008=$L$5),ROWS($D$7:D760)),1))</f>
        <v/>
      </c>
      <c r="E760" s="22" t="str" cm="1">
        <f t="array" ref="E760">IF(ROWS($E$7:E760)&gt;COUNTIF('[1]U$S'!$H$5:$H$1008,$L$5),"",INDEX(CuentaUS,_xlfn.AGGREGATE(15,6,ROW('[1]U$S'!$H$5:$H$1008)-ROW('[1]U$S'!$O$5)+1/--('[1]U$S'!$H$5:$H$1008=$L$5),ROWS($E$7:E760)),6))</f>
        <v/>
      </c>
      <c r="F760" s="22" t="str">
        <f>IF(E760="","",IF(E760&gt;0,SUMIFS('[1]UY$'!$L$5:$L$993,'[1]UY$'!$O$5:$O$993,"Cambio",'[1]UY$'!$E$5:$E$993,'Efecto TC'!D760),""))</f>
        <v/>
      </c>
      <c r="G760" s="23" t="str">
        <f t="shared" si="92"/>
        <v/>
      </c>
      <c r="H760" s="22" t="str">
        <f t="shared" si="93"/>
        <v/>
      </c>
      <c r="I760" s="54" t="str">
        <f t="shared" si="90"/>
        <v/>
      </c>
      <c r="R760" s="24" t="e">
        <f t="shared" si="94"/>
        <v>#VALUE!</v>
      </c>
      <c r="S760" s="25" t="e">
        <f t="shared" si="91"/>
        <v>#VALUE!</v>
      </c>
    </row>
    <row r="761" spans="1:19" x14ac:dyDescent="0.25">
      <c r="A761" t="e">
        <f t="shared" si="88"/>
        <v>#VALUE!</v>
      </c>
      <c r="B761" t="e">
        <f t="shared" si="89"/>
        <v>#VALUE!</v>
      </c>
      <c r="D761" s="21" t="str" cm="1">
        <f t="array" ref="D761">IF(ROWS($D$7:D761)&gt;COUNTIF('[1]U$S'!$H$5:$H$1008,$L$5),"",INDEX(CuentaUS,_xlfn.AGGREGATE(15,6,ROW('[1]U$S'!$H$5:$H$1008)-ROW('[1]U$S'!$O$5)+1/--('[1]U$S'!$H$5:$H$1008=$L$5),ROWS($D$7:D761)),1))</f>
        <v/>
      </c>
      <c r="E761" s="22" t="str" cm="1">
        <f t="array" ref="E761">IF(ROWS($E$7:E761)&gt;COUNTIF('[1]U$S'!$H$5:$H$1008,$L$5),"",INDEX(CuentaUS,_xlfn.AGGREGATE(15,6,ROW('[1]U$S'!$H$5:$H$1008)-ROW('[1]U$S'!$O$5)+1/--('[1]U$S'!$H$5:$H$1008=$L$5),ROWS($E$7:E761)),6))</f>
        <v/>
      </c>
      <c r="F761" s="22" t="str">
        <f>IF(E761="","",IF(E761&gt;0,SUMIFS('[1]UY$'!$L$5:$L$993,'[1]UY$'!$O$5:$O$993,"Cambio",'[1]UY$'!$E$5:$E$993,'Efecto TC'!D761),""))</f>
        <v/>
      </c>
      <c r="G761" s="23" t="str">
        <f t="shared" si="92"/>
        <v/>
      </c>
      <c r="H761" s="22" t="str">
        <f t="shared" si="93"/>
        <v/>
      </c>
      <c r="I761" s="54" t="str">
        <f t="shared" si="90"/>
        <v/>
      </c>
      <c r="R761" s="24" t="e">
        <f t="shared" si="94"/>
        <v>#VALUE!</v>
      </c>
      <c r="S761" s="25" t="e">
        <f t="shared" si="91"/>
        <v>#VALUE!</v>
      </c>
    </row>
    <row r="762" spans="1:19" x14ac:dyDescent="0.25">
      <c r="A762" t="e">
        <f t="shared" si="88"/>
        <v>#VALUE!</v>
      </c>
      <c r="B762" t="e">
        <f t="shared" si="89"/>
        <v>#VALUE!</v>
      </c>
      <c r="D762" s="21" t="str" cm="1">
        <f t="array" ref="D762">IF(ROWS($D$7:D762)&gt;COUNTIF('[1]U$S'!$H$5:$H$1008,$L$5),"",INDEX(CuentaUS,_xlfn.AGGREGATE(15,6,ROW('[1]U$S'!$H$5:$H$1008)-ROW('[1]U$S'!$O$5)+1/--('[1]U$S'!$H$5:$H$1008=$L$5),ROWS($D$7:D762)),1))</f>
        <v/>
      </c>
      <c r="E762" s="22" t="str" cm="1">
        <f t="array" ref="E762">IF(ROWS($E$7:E762)&gt;COUNTIF('[1]U$S'!$H$5:$H$1008,$L$5),"",INDEX(CuentaUS,_xlfn.AGGREGATE(15,6,ROW('[1]U$S'!$H$5:$H$1008)-ROW('[1]U$S'!$O$5)+1/--('[1]U$S'!$H$5:$H$1008=$L$5),ROWS($E$7:E762)),6))</f>
        <v/>
      </c>
      <c r="F762" s="22" t="str">
        <f>IF(E762="","",IF(E762&gt;0,SUMIFS('[1]UY$'!$L$5:$L$993,'[1]UY$'!$O$5:$O$993,"Cambio",'[1]UY$'!$E$5:$E$993,'Efecto TC'!D762),""))</f>
        <v/>
      </c>
      <c r="G762" s="23" t="str">
        <f t="shared" si="92"/>
        <v/>
      </c>
      <c r="H762" s="22" t="str">
        <f t="shared" si="93"/>
        <v/>
      </c>
      <c r="I762" s="54" t="str">
        <f t="shared" si="90"/>
        <v/>
      </c>
      <c r="R762" s="24" t="e">
        <f t="shared" si="94"/>
        <v>#VALUE!</v>
      </c>
      <c r="S762" s="25" t="e">
        <f t="shared" si="91"/>
        <v>#VALUE!</v>
      </c>
    </row>
    <row r="763" spans="1:19" x14ac:dyDescent="0.25">
      <c r="A763" t="e">
        <f t="shared" si="88"/>
        <v>#VALUE!</v>
      </c>
      <c r="B763" t="e">
        <f t="shared" si="89"/>
        <v>#VALUE!</v>
      </c>
      <c r="D763" s="21" t="str" cm="1">
        <f t="array" ref="D763">IF(ROWS($D$7:D763)&gt;COUNTIF('[1]U$S'!$H$5:$H$1008,$L$5),"",INDEX(CuentaUS,_xlfn.AGGREGATE(15,6,ROW('[1]U$S'!$H$5:$H$1008)-ROW('[1]U$S'!$O$5)+1/--('[1]U$S'!$H$5:$H$1008=$L$5),ROWS($D$7:D763)),1))</f>
        <v/>
      </c>
      <c r="E763" s="22" t="str" cm="1">
        <f t="array" ref="E763">IF(ROWS($E$7:E763)&gt;COUNTIF('[1]U$S'!$H$5:$H$1008,$L$5),"",INDEX(CuentaUS,_xlfn.AGGREGATE(15,6,ROW('[1]U$S'!$H$5:$H$1008)-ROW('[1]U$S'!$O$5)+1/--('[1]U$S'!$H$5:$H$1008=$L$5),ROWS($E$7:E763)),6))</f>
        <v/>
      </c>
      <c r="F763" s="22" t="str">
        <f>IF(E763="","",IF(E763&gt;0,SUMIFS('[1]UY$'!$L$5:$L$993,'[1]UY$'!$O$5:$O$993,"Cambio",'[1]UY$'!$E$5:$E$993,'Efecto TC'!D763),""))</f>
        <v/>
      </c>
      <c r="G763" s="23" t="str">
        <f t="shared" si="92"/>
        <v/>
      </c>
      <c r="H763" s="22" t="str">
        <f t="shared" si="93"/>
        <v/>
      </c>
      <c r="I763" s="54" t="str">
        <f t="shared" si="90"/>
        <v/>
      </c>
      <c r="R763" s="24" t="e">
        <f t="shared" si="94"/>
        <v>#VALUE!</v>
      </c>
      <c r="S763" s="25" t="e">
        <f t="shared" si="91"/>
        <v>#VALUE!</v>
      </c>
    </row>
    <row r="764" spans="1:19" x14ac:dyDescent="0.25">
      <c r="A764" t="e">
        <f t="shared" si="88"/>
        <v>#VALUE!</v>
      </c>
      <c r="B764" t="e">
        <f t="shared" si="89"/>
        <v>#VALUE!</v>
      </c>
      <c r="D764" s="21" t="str" cm="1">
        <f t="array" ref="D764">IF(ROWS($D$7:D764)&gt;COUNTIF('[1]U$S'!$H$5:$H$1008,$L$5),"",INDEX(CuentaUS,_xlfn.AGGREGATE(15,6,ROW('[1]U$S'!$H$5:$H$1008)-ROW('[1]U$S'!$O$5)+1/--('[1]U$S'!$H$5:$H$1008=$L$5),ROWS($D$7:D764)),1))</f>
        <v/>
      </c>
      <c r="E764" s="22" t="str" cm="1">
        <f t="array" ref="E764">IF(ROWS($E$7:E764)&gt;COUNTIF('[1]U$S'!$H$5:$H$1008,$L$5),"",INDEX(CuentaUS,_xlfn.AGGREGATE(15,6,ROW('[1]U$S'!$H$5:$H$1008)-ROW('[1]U$S'!$O$5)+1/--('[1]U$S'!$H$5:$H$1008=$L$5),ROWS($E$7:E764)),6))</f>
        <v/>
      </c>
      <c r="F764" s="22" t="str">
        <f>IF(E764="","",IF(E764&gt;0,SUMIFS('[1]UY$'!$L$5:$L$993,'[1]UY$'!$O$5:$O$993,"Cambio",'[1]UY$'!$E$5:$E$993,'Efecto TC'!D764),""))</f>
        <v/>
      </c>
      <c r="G764" s="23" t="str">
        <f t="shared" si="92"/>
        <v/>
      </c>
      <c r="H764" s="22" t="str">
        <f t="shared" si="93"/>
        <v/>
      </c>
      <c r="I764" s="54" t="str">
        <f t="shared" si="90"/>
        <v/>
      </c>
      <c r="R764" s="24" t="e">
        <f t="shared" si="94"/>
        <v>#VALUE!</v>
      </c>
      <c r="S764" s="25" t="e">
        <f t="shared" si="91"/>
        <v>#VALUE!</v>
      </c>
    </row>
    <row r="765" spans="1:19" x14ac:dyDescent="0.25">
      <c r="A765" t="e">
        <f t="shared" si="88"/>
        <v>#VALUE!</v>
      </c>
      <c r="B765" t="e">
        <f t="shared" si="89"/>
        <v>#VALUE!</v>
      </c>
      <c r="D765" s="21" t="str" cm="1">
        <f t="array" ref="D765">IF(ROWS($D$7:D765)&gt;COUNTIF('[1]U$S'!$H$5:$H$1008,$L$5),"",INDEX(CuentaUS,_xlfn.AGGREGATE(15,6,ROW('[1]U$S'!$H$5:$H$1008)-ROW('[1]U$S'!$O$5)+1/--('[1]U$S'!$H$5:$H$1008=$L$5),ROWS($D$7:D765)),1))</f>
        <v/>
      </c>
      <c r="E765" s="22" t="str" cm="1">
        <f t="array" ref="E765">IF(ROWS($E$7:E765)&gt;COUNTIF('[1]U$S'!$H$5:$H$1008,$L$5),"",INDEX(CuentaUS,_xlfn.AGGREGATE(15,6,ROW('[1]U$S'!$H$5:$H$1008)-ROW('[1]U$S'!$O$5)+1/--('[1]U$S'!$H$5:$H$1008=$L$5),ROWS($E$7:E765)),6))</f>
        <v/>
      </c>
      <c r="F765" s="22" t="str">
        <f>IF(E765="","",IF(E765&gt;0,SUMIFS('[1]UY$'!$L$5:$L$993,'[1]UY$'!$O$5:$O$993,"Cambio",'[1]UY$'!$E$5:$E$993,'Efecto TC'!D765),""))</f>
        <v/>
      </c>
      <c r="G765" s="23" t="str">
        <f t="shared" si="92"/>
        <v/>
      </c>
      <c r="H765" s="22" t="str">
        <f t="shared" si="93"/>
        <v/>
      </c>
      <c r="I765" s="54" t="str">
        <f t="shared" si="90"/>
        <v/>
      </c>
      <c r="R765" s="24" t="e">
        <f t="shared" si="94"/>
        <v>#VALUE!</v>
      </c>
      <c r="S765" s="25" t="e">
        <f t="shared" si="91"/>
        <v>#VALUE!</v>
      </c>
    </row>
    <row r="766" spans="1:19" x14ac:dyDescent="0.25">
      <c r="A766" t="e">
        <f t="shared" si="88"/>
        <v>#VALUE!</v>
      </c>
      <c r="B766" t="e">
        <f t="shared" si="89"/>
        <v>#VALUE!</v>
      </c>
      <c r="D766" s="21" t="str" cm="1">
        <f t="array" ref="D766">IF(ROWS($D$7:D766)&gt;COUNTIF('[1]U$S'!$H$5:$H$1008,$L$5),"",INDEX(CuentaUS,_xlfn.AGGREGATE(15,6,ROW('[1]U$S'!$H$5:$H$1008)-ROW('[1]U$S'!$O$5)+1/--('[1]U$S'!$H$5:$H$1008=$L$5),ROWS($D$7:D766)),1))</f>
        <v/>
      </c>
      <c r="E766" s="22" t="str" cm="1">
        <f t="array" ref="E766">IF(ROWS($E$7:E766)&gt;COUNTIF('[1]U$S'!$H$5:$H$1008,$L$5),"",INDEX(CuentaUS,_xlfn.AGGREGATE(15,6,ROW('[1]U$S'!$H$5:$H$1008)-ROW('[1]U$S'!$O$5)+1/--('[1]U$S'!$H$5:$H$1008=$L$5),ROWS($E$7:E766)),6))</f>
        <v/>
      </c>
      <c r="F766" s="22" t="str">
        <f>IF(E766="","",IF(E766&gt;0,SUMIFS('[1]UY$'!$L$5:$L$993,'[1]UY$'!$O$5:$O$993,"Cambio",'[1]UY$'!$E$5:$E$993,'Efecto TC'!D766),""))</f>
        <v/>
      </c>
      <c r="G766" s="23" t="str">
        <f t="shared" si="92"/>
        <v/>
      </c>
      <c r="H766" s="22" t="str">
        <f t="shared" si="93"/>
        <v/>
      </c>
      <c r="I766" s="54" t="str">
        <f t="shared" si="90"/>
        <v/>
      </c>
      <c r="R766" s="24" t="e">
        <f t="shared" si="94"/>
        <v>#VALUE!</v>
      </c>
      <c r="S766" s="25" t="e">
        <f t="shared" si="91"/>
        <v>#VALUE!</v>
      </c>
    </row>
    <row r="767" spans="1:19" x14ac:dyDescent="0.25">
      <c r="A767" t="e">
        <f t="shared" si="88"/>
        <v>#VALUE!</v>
      </c>
      <c r="B767" t="e">
        <f t="shared" si="89"/>
        <v>#VALUE!</v>
      </c>
      <c r="D767" s="21" t="str" cm="1">
        <f t="array" ref="D767">IF(ROWS($D$7:D767)&gt;COUNTIF('[1]U$S'!$H$5:$H$1008,$L$5),"",INDEX(CuentaUS,_xlfn.AGGREGATE(15,6,ROW('[1]U$S'!$H$5:$H$1008)-ROW('[1]U$S'!$O$5)+1/--('[1]U$S'!$H$5:$H$1008=$L$5),ROWS($D$7:D767)),1))</f>
        <v/>
      </c>
      <c r="E767" s="22" t="str" cm="1">
        <f t="array" ref="E767">IF(ROWS($E$7:E767)&gt;COUNTIF('[1]U$S'!$H$5:$H$1008,$L$5),"",INDEX(CuentaUS,_xlfn.AGGREGATE(15,6,ROW('[1]U$S'!$H$5:$H$1008)-ROW('[1]U$S'!$O$5)+1/--('[1]U$S'!$H$5:$H$1008=$L$5),ROWS($E$7:E767)),6))</f>
        <v/>
      </c>
      <c r="F767" s="22" t="str">
        <f>IF(E767="","",IF(E767&gt;0,SUMIFS('[1]UY$'!$L$5:$L$993,'[1]UY$'!$O$5:$O$993,"Cambio",'[1]UY$'!$E$5:$E$993,'Efecto TC'!D767),""))</f>
        <v/>
      </c>
      <c r="G767" s="23" t="str">
        <f t="shared" si="92"/>
        <v/>
      </c>
      <c r="H767" s="22" t="str">
        <f t="shared" si="93"/>
        <v/>
      </c>
      <c r="I767" s="54" t="str">
        <f t="shared" si="90"/>
        <v/>
      </c>
      <c r="R767" s="24" t="e">
        <f t="shared" si="94"/>
        <v>#VALUE!</v>
      </c>
      <c r="S767" s="25" t="e">
        <f t="shared" si="91"/>
        <v>#VALUE!</v>
      </c>
    </row>
    <row r="768" spans="1:19" x14ac:dyDescent="0.25">
      <c r="A768" t="e">
        <f t="shared" si="88"/>
        <v>#VALUE!</v>
      </c>
      <c r="B768" t="e">
        <f t="shared" si="89"/>
        <v>#VALUE!</v>
      </c>
      <c r="D768" s="21" t="str" cm="1">
        <f t="array" ref="D768">IF(ROWS($D$7:D768)&gt;COUNTIF('[1]U$S'!$H$5:$H$1008,$L$5),"",INDEX(CuentaUS,_xlfn.AGGREGATE(15,6,ROW('[1]U$S'!$H$5:$H$1008)-ROW('[1]U$S'!$O$5)+1/--('[1]U$S'!$H$5:$H$1008=$L$5),ROWS($D$7:D768)),1))</f>
        <v/>
      </c>
      <c r="E768" s="22" t="str" cm="1">
        <f t="array" ref="E768">IF(ROWS($E$7:E768)&gt;COUNTIF('[1]U$S'!$H$5:$H$1008,$L$5),"",INDEX(CuentaUS,_xlfn.AGGREGATE(15,6,ROW('[1]U$S'!$H$5:$H$1008)-ROW('[1]U$S'!$O$5)+1/--('[1]U$S'!$H$5:$H$1008=$L$5),ROWS($E$7:E768)),6))</f>
        <v/>
      </c>
      <c r="F768" s="22" t="str">
        <f>IF(E768="","",IF(E768&gt;0,SUMIFS('[1]UY$'!$L$5:$L$993,'[1]UY$'!$O$5:$O$993,"Cambio",'[1]UY$'!$E$5:$E$993,'Efecto TC'!D768),""))</f>
        <v/>
      </c>
      <c r="G768" s="23" t="str">
        <f t="shared" si="92"/>
        <v/>
      </c>
      <c r="H768" s="22" t="str">
        <f t="shared" si="93"/>
        <v/>
      </c>
      <c r="I768" s="54" t="str">
        <f t="shared" si="90"/>
        <v/>
      </c>
      <c r="R768" s="24" t="e">
        <f t="shared" si="94"/>
        <v>#VALUE!</v>
      </c>
      <c r="S768" s="25" t="e">
        <f t="shared" si="91"/>
        <v>#VALUE!</v>
      </c>
    </row>
    <row r="769" spans="1:19" x14ac:dyDescent="0.25">
      <c r="A769" t="e">
        <f t="shared" si="88"/>
        <v>#VALUE!</v>
      </c>
      <c r="B769" t="e">
        <f t="shared" si="89"/>
        <v>#VALUE!</v>
      </c>
      <c r="D769" s="21" t="str" cm="1">
        <f t="array" ref="D769">IF(ROWS($D$7:D769)&gt;COUNTIF('[1]U$S'!$H$5:$H$1008,$L$5),"",INDEX(CuentaUS,_xlfn.AGGREGATE(15,6,ROW('[1]U$S'!$H$5:$H$1008)-ROW('[1]U$S'!$O$5)+1/--('[1]U$S'!$H$5:$H$1008=$L$5),ROWS($D$7:D769)),1))</f>
        <v/>
      </c>
      <c r="E769" s="22" t="str" cm="1">
        <f t="array" ref="E769">IF(ROWS($E$7:E769)&gt;COUNTIF('[1]U$S'!$H$5:$H$1008,$L$5),"",INDEX(CuentaUS,_xlfn.AGGREGATE(15,6,ROW('[1]U$S'!$H$5:$H$1008)-ROW('[1]U$S'!$O$5)+1/--('[1]U$S'!$H$5:$H$1008=$L$5),ROWS($E$7:E769)),6))</f>
        <v/>
      </c>
      <c r="F769" s="22" t="str">
        <f>IF(E769="","",IF(E769&gt;0,SUMIFS('[1]UY$'!$L$5:$L$993,'[1]UY$'!$O$5:$O$993,"Cambio",'[1]UY$'!$E$5:$E$993,'Efecto TC'!D769),""))</f>
        <v/>
      </c>
      <c r="G769" s="23" t="str">
        <f t="shared" si="92"/>
        <v/>
      </c>
      <c r="H769" s="22" t="str">
        <f t="shared" si="93"/>
        <v/>
      </c>
      <c r="I769" s="54" t="str">
        <f t="shared" si="90"/>
        <v/>
      </c>
      <c r="R769" s="24" t="e">
        <f t="shared" si="94"/>
        <v>#VALUE!</v>
      </c>
      <c r="S769" s="25" t="e">
        <f t="shared" si="91"/>
        <v>#VALUE!</v>
      </c>
    </row>
    <row r="770" spans="1:19" x14ac:dyDescent="0.25">
      <c r="A770" t="e">
        <f t="shared" si="88"/>
        <v>#VALUE!</v>
      </c>
      <c r="B770" t="e">
        <f t="shared" si="89"/>
        <v>#VALUE!</v>
      </c>
      <c r="D770" s="21" t="str" cm="1">
        <f t="array" ref="D770">IF(ROWS($D$7:D770)&gt;COUNTIF('[1]U$S'!$H$5:$H$1008,$L$5),"",INDEX(CuentaUS,_xlfn.AGGREGATE(15,6,ROW('[1]U$S'!$H$5:$H$1008)-ROW('[1]U$S'!$O$5)+1/--('[1]U$S'!$H$5:$H$1008=$L$5),ROWS($D$7:D770)),1))</f>
        <v/>
      </c>
      <c r="E770" s="22" t="str" cm="1">
        <f t="array" ref="E770">IF(ROWS($E$7:E770)&gt;COUNTIF('[1]U$S'!$H$5:$H$1008,$L$5),"",INDEX(CuentaUS,_xlfn.AGGREGATE(15,6,ROW('[1]U$S'!$H$5:$H$1008)-ROW('[1]U$S'!$O$5)+1/--('[1]U$S'!$H$5:$H$1008=$L$5),ROWS($E$7:E770)),6))</f>
        <v/>
      </c>
      <c r="F770" s="22" t="str">
        <f>IF(E770="","",IF(E770&gt;0,SUMIFS('[1]UY$'!$L$5:$L$993,'[1]UY$'!$O$5:$O$993,"Cambio",'[1]UY$'!$E$5:$E$993,'Efecto TC'!D770),""))</f>
        <v/>
      </c>
      <c r="G770" s="23" t="str">
        <f t="shared" si="92"/>
        <v/>
      </c>
      <c r="H770" s="22" t="str">
        <f t="shared" si="93"/>
        <v/>
      </c>
      <c r="I770" s="54" t="str">
        <f t="shared" si="90"/>
        <v/>
      </c>
      <c r="R770" s="24" t="e">
        <f t="shared" si="94"/>
        <v>#VALUE!</v>
      </c>
      <c r="S770" s="25" t="e">
        <f t="shared" si="91"/>
        <v>#VALUE!</v>
      </c>
    </row>
    <row r="771" spans="1:19" x14ac:dyDescent="0.25">
      <c r="A771" t="e">
        <f t="shared" si="88"/>
        <v>#VALUE!</v>
      </c>
      <c r="B771" t="e">
        <f t="shared" si="89"/>
        <v>#VALUE!</v>
      </c>
      <c r="D771" s="21" t="str" cm="1">
        <f t="array" ref="D771">IF(ROWS($D$7:D771)&gt;COUNTIF('[1]U$S'!$H$5:$H$1008,$L$5),"",INDEX(CuentaUS,_xlfn.AGGREGATE(15,6,ROW('[1]U$S'!$H$5:$H$1008)-ROW('[1]U$S'!$O$5)+1/--('[1]U$S'!$H$5:$H$1008=$L$5),ROWS($D$7:D771)),1))</f>
        <v/>
      </c>
      <c r="E771" s="22" t="str" cm="1">
        <f t="array" ref="E771">IF(ROWS($E$7:E771)&gt;COUNTIF('[1]U$S'!$H$5:$H$1008,$L$5),"",INDEX(CuentaUS,_xlfn.AGGREGATE(15,6,ROW('[1]U$S'!$H$5:$H$1008)-ROW('[1]U$S'!$O$5)+1/--('[1]U$S'!$H$5:$H$1008=$L$5),ROWS($E$7:E771)),6))</f>
        <v/>
      </c>
      <c r="F771" s="22" t="str">
        <f>IF(E771="","",IF(E771&gt;0,SUMIFS('[1]UY$'!$L$5:$L$993,'[1]UY$'!$O$5:$O$993,"Cambio",'[1]UY$'!$E$5:$E$993,'Efecto TC'!D771),""))</f>
        <v/>
      </c>
      <c r="G771" s="23" t="str">
        <f t="shared" si="92"/>
        <v/>
      </c>
      <c r="H771" s="22" t="str">
        <f t="shared" si="93"/>
        <v/>
      </c>
      <c r="I771" s="54" t="str">
        <f t="shared" si="90"/>
        <v/>
      </c>
      <c r="R771" s="24" t="e">
        <f t="shared" si="94"/>
        <v>#VALUE!</v>
      </c>
      <c r="S771" s="25" t="e">
        <f t="shared" si="91"/>
        <v>#VALUE!</v>
      </c>
    </row>
    <row r="772" spans="1:19" x14ac:dyDescent="0.25">
      <c r="A772" t="e">
        <f t="shared" si="88"/>
        <v>#VALUE!</v>
      </c>
      <c r="B772" t="e">
        <f t="shared" si="89"/>
        <v>#VALUE!</v>
      </c>
      <c r="D772" s="21" t="str" cm="1">
        <f t="array" ref="D772">IF(ROWS($D$7:D772)&gt;COUNTIF('[1]U$S'!$H$5:$H$1008,$L$5),"",INDEX(CuentaUS,_xlfn.AGGREGATE(15,6,ROW('[1]U$S'!$H$5:$H$1008)-ROW('[1]U$S'!$O$5)+1/--('[1]U$S'!$H$5:$H$1008=$L$5),ROWS($D$7:D772)),1))</f>
        <v/>
      </c>
      <c r="E772" s="22" t="str" cm="1">
        <f t="array" ref="E772">IF(ROWS($E$7:E772)&gt;COUNTIF('[1]U$S'!$H$5:$H$1008,$L$5),"",INDEX(CuentaUS,_xlfn.AGGREGATE(15,6,ROW('[1]U$S'!$H$5:$H$1008)-ROW('[1]U$S'!$O$5)+1/--('[1]U$S'!$H$5:$H$1008=$L$5),ROWS($E$7:E772)),6))</f>
        <v/>
      </c>
      <c r="F772" s="22" t="str">
        <f>IF(E772="","",IF(E772&gt;0,SUMIFS('[1]UY$'!$L$5:$L$993,'[1]UY$'!$O$5:$O$993,"Cambio",'[1]UY$'!$E$5:$E$993,'Efecto TC'!D772),""))</f>
        <v/>
      </c>
      <c r="G772" s="23" t="str">
        <f t="shared" si="92"/>
        <v/>
      </c>
      <c r="H772" s="22" t="str">
        <f t="shared" si="93"/>
        <v/>
      </c>
      <c r="I772" s="54" t="str">
        <f t="shared" si="90"/>
        <v/>
      </c>
      <c r="R772" s="24" t="e">
        <f t="shared" si="94"/>
        <v>#VALUE!</v>
      </c>
      <c r="S772" s="25" t="e">
        <f t="shared" si="91"/>
        <v>#VALUE!</v>
      </c>
    </row>
    <row r="773" spans="1:19" x14ac:dyDescent="0.25">
      <c r="A773" t="e">
        <f t="shared" si="88"/>
        <v>#VALUE!</v>
      </c>
      <c r="B773" t="e">
        <f t="shared" si="89"/>
        <v>#VALUE!</v>
      </c>
      <c r="D773" s="21" t="str" cm="1">
        <f t="array" ref="D773">IF(ROWS($D$7:D773)&gt;COUNTIF('[1]U$S'!$H$5:$H$1008,$L$5),"",INDEX(CuentaUS,_xlfn.AGGREGATE(15,6,ROW('[1]U$S'!$H$5:$H$1008)-ROW('[1]U$S'!$O$5)+1/--('[1]U$S'!$H$5:$H$1008=$L$5),ROWS($D$7:D773)),1))</f>
        <v/>
      </c>
      <c r="E773" s="22" t="str" cm="1">
        <f t="array" ref="E773">IF(ROWS($E$7:E773)&gt;COUNTIF('[1]U$S'!$H$5:$H$1008,$L$5),"",INDEX(CuentaUS,_xlfn.AGGREGATE(15,6,ROW('[1]U$S'!$H$5:$H$1008)-ROW('[1]U$S'!$O$5)+1/--('[1]U$S'!$H$5:$H$1008=$L$5),ROWS($E$7:E773)),6))</f>
        <v/>
      </c>
      <c r="F773" s="22" t="str">
        <f>IF(E773="","",IF(E773&gt;0,SUMIFS('[1]UY$'!$L$5:$L$993,'[1]UY$'!$O$5:$O$993,"Cambio",'[1]UY$'!$E$5:$E$993,'Efecto TC'!D773),""))</f>
        <v/>
      </c>
      <c r="G773" s="23" t="str">
        <f t="shared" si="92"/>
        <v/>
      </c>
      <c r="H773" s="22" t="str">
        <f t="shared" si="93"/>
        <v/>
      </c>
      <c r="I773" s="54" t="str">
        <f t="shared" si="90"/>
        <v/>
      </c>
      <c r="R773" s="24" t="e">
        <f t="shared" si="94"/>
        <v>#VALUE!</v>
      </c>
      <c r="S773" s="25" t="e">
        <f t="shared" si="91"/>
        <v>#VALUE!</v>
      </c>
    </row>
    <row r="774" spans="1:19" x14ac:dyDescent="0.25">
      <c r="A774" t="e">
        <f t="shared" si="88"/>
        <v>#VALUE!</v>
      </c>
      <c r="B774" t="e">
        <f t="shared" si="89"/>
        <v>#VALUE!</v>
      </c>
      <c r="D774" s="21" t="str" cm="1">
        <f t="array" ref="D774">IF(ROWS($D$7:D774)&gt;COUNTIF('[1]U$S'!$H$5:$H$1008,$L$5),"",INDEX(CuentaUS,_xlfn.AGGREGATE(15,6,ROW('[1]U$S'!$H$5:$H$1008)-ROW('[1]U$S'!$O$5)+1/--('[1]U$S'!$H$5:$H$1008=$L$5),ROWS($D$7:D774)),1))</f>
        <v/>
      </c>
      <c r="E774" s="22" t="str" cm="1">
        <f t="array" ref="E774">IF(ROWS($E$7:E774)&gt;COUNTIF('[1]U$S'!$H$5:$H$1008,$L$5),"",INDEX(CuentaUS,_xlfn.AGGREGATE(15,6,ROW('[1]U$S'!$H$5:$H$1008)-ROW('[1]U$S'!$O$5)+1/--('[1]U$S'!$H$5:$H$1008=$L$5),ROWS($E$7:E774)),6))</f>
        <v/>
      </c>
      <c r="F774" s="22" t="str">
        <f>IF(E774="","",IF(E774&gt;0,SUMIFS('[1]UY$'!$L$5:$L$993,'[1]UY$'!$O$5:$O$993,"Cambio",'[1]UY$'!$E$5:$E$993,'Efecto TC'!D774),""))</f>
        <v/>
      </c>
      <c r="G774" s="23" t="str">
        <f t="shared" si="92"/>
        <v/>
      </c>
      <c r="H774" s="22" t="str">
        <f t="shared" si="93"/>
        <v/>
      </c>
      <c r="I774" s="54" t="str">
        <f t="shared" si="90"/>
        <v/>
      </c>
      <c r="R774" s="24" t="e">
        <f t="shared" si="94"/>
        <v>#VALUE!</v>
      </c>
      <c r="S774" s="25" t="e">
        <f t="shared" si="91"/>
        <v>#VALUE!</v>
      </c>
    </row>
    <row r="775" spans="1:19" x14ac:dyDescent="0.25">
      <c r="A775" t="e">
        <f t="shared" ref="A775:A838" si="95">MONTH(D775)</f>
        <v>#VALUE!</v>
      </c>
      <c r="B775" t="e">
        <f t="shared" ref="B775:B838" si="96">YEAR(D775)</f>
        <v>#VALUE!</v>
      </c>
      <c r="D775" s="21" t="str" cm="1">
        <f t="array" ref="D775">IF(ROWS($D$7:D775)&gt;COUNTIF('[1]U$S'!$H$5:$H$1008,$L$5),"",INDEX(CuentaUS,_xlfn.AGGREGATE(15,6,ROW('[1]U$S'!$H$5:$H$1008)-ROW('[1]U$S'!$O$5)+1/--('[1]U$S'!$H$5:$H$1008=$L$5),ROWS($D$7:D775)),1))</f>
        <v/>
      </c>
      <c r="E775" s="22" t="str" cm="1">
        <f t="array" ref="E775">IF(ROWS($E$7:E775)&gt;COUNTIF('[1]U$S'!$H$5:$H$1008,$L$5),"",INDEX(CuentaUS,_xlfn.AGGREGATE(15,6,ROW('[1]U$S'!$H$5:$H$1008)-ROW('[1]U$S'!$O$5)+1/--('[1]U$S'!$H$5:$H$1008=$L$5),ROWS($E$7:E775)),6))</f>
        <v/>
      </c>
      <c r="F775" s="22" t="str">
        <f>IF(E775="","",IF(E775&gt;0,SUMIFS('[1]UY$'!$L$5:$L$993,'[1]UY$'!$O$5:$O$993,"Cambio",'[1]UY$'!$E$5:$E$993,'Efecto TC'!D775),""))</f>
        <v/>
      </c>
      <c r="G775" s="23" t="str">
        <f t="shared" si="92"/>
        <v/>
      </c>
      <c r="H775" s="22" t="str">
        <f t="shared" si="93"/>
        <v/>
      </c>
      <c r="I775" s="54" t="str">
        <f t="shared" si="90"/>
        <v/>
      </c>
      <c r="R775" s="24" t="e">
        <f t="shared" si="94"/>
        <v>#VALUE!</v>
      </c>
      <c r="S775" s="25" t="e">
        <f t="shared" si="91"/>
        <v>#VALUE!</v>
      </c>
    </row>
    <row r="776" spans="1:19" x14ac:dyDescent="0.25">
      <c r="A776" t="e">
        <f t="shared" si="95"/>
        <v>#VALUE!</v>
      </c>
      <c r="B776" t="e">
        <f t="shared" si="96"/>
        <v>#VALUE!</v>
      </c>
      <c r="D776" s="21" t="str" cm="1">
        <f t="array" ref="D776">IF(ROWS($D$7:D776)&gt;COUNTIF('[1]U$S'!$H$5:$H$1008,$L$5),"",INDEX(CuentaUS,_xlfn.AGGREGATE(15,6,ROW('[1]U$S'!$H$5:$H$1008)-ROW('[1]U$S'!$O$5)+1/--('[1]U$S'!$H$5:$H$1008=$L$5),ROWS($D$7:D776)),1))</f>
        <v/>
      </c>
      <c r="E776" s="22" t="str" cm="1">
        <f t="array" ref="E776">IF(ROWS($E$7:E776)&gt;COUNTIF('[1]U$S'!$H$5:$H$1008,$L$5),"",INDEX(CuentaUS,_xlfn.AGGREGATE(15,6,ROW('[1]U$S'!$H$5:$H$1008)-ROW('[1]U$S'!$O$5)+1/--('[1]U$S'!$H$5:$H$1008=$L$5),ROWS($E$7:E776)),6))</f>
        <v/>
      </c>
      <c r="F776" s="22" t="str">
        <f>IF(E776="","",IF(E776&gt;0,SUMIFS('[1]UY$'!$L$5:$L$993,'[1]UY$'!$O$5:$O$993,"Cambio",'[1]UY$'!$E$5:$E$993,'Efecto TC'!D776),""))</f>
        <v/>
      </c>
      <c r="G776" s="23" t="str">
        <f t="shared" si="92"/>
        <v/>
      </c>
      <c r="H776" s="22" t="str">
        <f t="shared" si="93"/>
        <v/>
      </c>
      <c r="I776" s="54" t="str">
        <f t="shared" si="90"/>
        <v/>
      </c>
      <c r="R776" s="24" t="e">
        <f t="shared" si="94"/>
        <v>#VALUE!</v>
      </c>
      <c r="S776" s="25" t="e">
        <f t="shared" si="91"/>
        <v>#VALUE!</v>
      </c>
    </row>
    <row r="777" spans="1:19" x14ac:dyDescent="0.25">
      <c r="A777" t="e">
        <f t="shared" si="95"/>
        <v>#VALUE!</v>
      </c>
      <c r="B777" t="e">
        <f t="shared" si="96"/>
        <v>#VALUE!</v>
      </c>
      <c r="D777" s="21" t="str" cm="1">
        <f t="array" ref="D777">IF(ROWS($D$7:D777)&gt;COUNTIF('[1]U$S'!$H$5:$H$1008,$L$5),"",INDEX(CuentaUS,_xlfn.AGGREGATE(15,6,ROW('[1]U$S'!$H$5:$H$1008)-ROW('[1]U$S'!$O$5)+1/--('[1]U$S'!$H$5:$H$1008=$L$5),ROWS($D$7:D777)),1))</f>
        <v/>
      </c>
      <c r="E777" s="22" t="str" cm="1">
        <f t="array" ref="E777">IF(ROWS($E$7:E777)&gt;COUNTIF('[1]U$S'!$H$5:$H$1008,$L$5),"",INDEX(CuentaUS,_xlfn.AGGREGATE(15,6,ROW('[1]U$S'!$H$5:$H$1008)-ROW('[1]U$S'!$O$5)+1/--('[1]U$S'!$H$5:$H$1008=$L$5),ROWS($E$7:E777)),6))</f>
        <v/>
      </c>
      <c r="F777" s="22" t="str">
        <f>IF(E777="","",IF(E777&gt;0,SUMIFS('[1]UY$'!$L$5:$L$993,'[1]UY$'!$O$5:$O$993,"Cambio",'[1]UY$'!$E$5:$E$993,'Efecto TC'!D777),""))</f>
        <v/>
      </c>
      <c r="G777" s="23" t="str">
        <f t="shared" si="92"/>
        <v/>
      </c>
      <c r="H777" s="22" t="str">
        <f t="shared" si="93"/>
        <v/>
      </c>
      <c r="I777" s="54" t="str">
        <f t="shared" si="90"/>
        <v/>
      </c>
      <c r="R777" s="24" t="e">
        <f t="shared" si="94"/>
        <v>#VALUE!</v>
      </c>
      <c r="S777" s="25" t="e">
        <f t="shared" si="91"/>
        <v>#VALUE!</v>
      </c>
    </row>
    <row r="778" spans="1:19" x14ac:dyDescent="0.25">
      <c r="A778" t="e">
        <f t="shared" si="95"/>
        <v>#VALUE!</v>
      </c>
      <c r="B778" t="e">
        <f t="shared" si="96"/>
        <v>#VALUE!</v>
      </c>
      <c r="D778" s="21" t="str" cm="1">
        <f t="array" ref="D778">IF(ROWS($D$7:D778)&gt;COUNTIF('[1]U$S'!$H$5:$H$1008,$L$5),"",INDEX(CuentaUS,_xlfn.AGGREGATE(15,6,ROW('[1]U$S'!$H$5:$H$1008)-ROW('[1]U$S'!$O$5)+1/--('[1]U$S'!$H$5:$H$1008=$L$5),ROWS($D$7:D778)),1))</f>
        <v/>
      </c>
      <c r="E778" s="22" t="str" cm="1">
        <f t="array" ref="E778">IF(ROWS($E$7:E778)&gt;COUNTIF('[1]U$S'!$H$5:$H$1008,$L$5),"",INDEX(CuentaUS,_xlfn.AGGREGATE(15,6,ROW('[1]U$S'!$H$5:$H$1008)-ROW('[1]U$S'!$O$5)+1/--('[1]U$S'!$H$5:$H$1008=$L$5),ROWS($E$7:E778)),6))</f>
        <v/>
      </c>
      <c r="F778" s="22" t="str">
        <f>IF(E778="","",IF(E778&gt;0,SUMIFS('[1]UY$'!$L$5:$L$993,'[1]UY$'!$O$5:$O$993,"Cambio",'[1]UY$'!$E$5:$E$993,'Efecto TC'!D778),""))</f>
        <v/>
      </c>
      <c r="G778" s="23" t="str">
        <f t="shared" si="92"/>
        <v/>
      </c>
      <c r="H778" s="22" t="str">
        <f t="shared" si="93"/>
        <v/>
      </c>
      <c r="I778" s="54" t="str">
        <f t="shared" ref="I778:I841" si="97">IF(H778="","",+H778+I777)</f>
        <v/>
      </c>
      <c r="R778" s="24" t="e">
        <f t="shared" si="94"/>
        <v>#VALUE!</v>
      </c>
      <c r="S778" s="25" t="e">
        <f t="shared" si="91"/>
        <v>#VALUE!</v>
      </c>
    </row>
    <row r="779" spans="1:19" x14ac:dyDescent="0.25">
      <c r="A779" t="e">
        <f t="shared" si="95"/>
        <v>#VALUE!</v>
      </c>
      <c r="B779" t="e">
        <f t="shared" si="96"/>
        <v>#VALUE!</v>
      </c>
      <c r="D779" s="21" t="str" cm="1">
        <f t="array" ref="D779">IF(ROWS($D$7:D779)&gt;COUNTIF('[1]U$S'!$H$5:$H$1008,$L$5),"",INDEX(CuentaUS,_xlfn.AGGREGATE(15,6,ROW('[1]U$S'!$H$5:$H$1008)-ROW('[1]U$S'!$O$5)+1/--('[1]U$S'!$H$5:$H$1008=$L$5),ROWS($D$7:D779)),1))</f>
        <v/>
      </c>
      <c r="E779" s="22" t="str" cm="1">
        <f t="array" ref="E779">IF(ROWS($E$7:E779)&gt;COUNTIF('[1]U$S'!$H$5:$H$1008,$L$5),"",INDEX(CuentaUS,_xlfn.AGGREGATE(15,6,ROW('[1]U$S'!$H$5:$H$1008)-ROW('[1]U$S'!$O$5)+1/--('[1]U$S'!$H$5:$H$1008=$L$5),ROWS($E$7:E779)),6))</f>
        <v/>
      </c>
      <c r="F779" s="22" t="str">
        <f>IF(E779="","",IF(E779&gt;0,SUMIFS('[1]UY$'!$L$5:$L$993,'[1]UY$'!$O$5:$O$993,"Cambio",'[1]UY$'!$E$5:$E$993,'Efecto TC'!D779),""))</f>
        <v/>
      </c>
      <c r="G779" s="23" t="str">
        <f t="shared" si="92"/>
        <v/>
      </c>
      <c r="H779" s="22" t="str">
        <f t="shared" si="93"/>
        <v/>
      </c>
      <c r="I779" s="54" t="str">
        <f t="shared" si="97"/>
        <v/>
      </c>
      <c r="R779" s="24" t="e">
        <f t="shared" si="94"/>
        <v>#VALUE!</v>
      </c>
      <c r="S779" s="25" t="e">
        <f t="shared" si="91"/>
        <v>#VALUE!</v>
      </c>
    </row>
    <row r="780" spans="1:19" x14ac:dyDescent="0.25">
      <c r="A780" t="e">
        <f t="shared" si="95"/>
        <v>#VALUE!</v>
      </c>
      <c r="B780" t="e">
        <f t="shared" si="96"/>
        <v>#VALUE!</v>
      </c>
      <c r="D780" s="21" t="str" cm="1">
        <f t="array" ref="D780">IF(ROWS($D$7:D780)&gt;COUNTIF('[1]U$S'!$H$5:$H$1008,$L$5),"",INDEX(CuentaUS,_xlfn.AGGREGATE(15,6,ROW('[1]U$S'!$H$5:$H$1008)-ROW('[1]U$S'!$O$5)+1/--('[1]U$S'!$H$5:$H$1008=$L$5),ROWS($D$7:D780)),1))</f>
        <v/>
      </c>
      <c r="E780" s="22" t="str" cm="1">
        <f t="array" ref="E780">IF(ROWS($E$7:E780)&gt;COUNTIF('[1]U$S'!$H$5:$H$1008,$L$5),"",INDEX(CuentaUS,_xlfn.AGGREGATE(15,6,ROW('[1]U$S'!$H$5:$H$1008)-ROW('[1]U$S'!$O$5)+1/--('[1]U$S'!$H$5:$H$1008=$L$5),ROWS($E$7:E780)),6))</f>
        <v/>
      </c>
      <c r="F780" s="22" t="str">
        <f>IF(E780="","",IF(E780&gt;0,SUMIFS('[1]UY$'!$L$5:$L$993,'[1]UY$'!$O$5:$O$993,"Cambio",'[1]UY$'!$E$5:$E$993,'Efecto TC'!D780),""))</f>
        <v/>
      </c>
      <c r="G780" s="23" t="str">
        <f t="shared" si="92"/>
        <v/>
      </c>
      <c r="H780" s="22" t="str">
        <f t="shared" si="93"/>
        <v/>
      </c>
      <c r="I780" s="54" t="str">
        <f t="shared" si="97"/>
        <v/>
      </c>
      <c r="R780" s="24" t="e">
        <f t="shared" si="94"/>
        <v>#VALUE!</v>
      </c>
      <c r="S780" s="25" t="e">
        <f t="shared" si="91"/>
        <v>#VALUE!</v>
      </c>
    </row>
    <row r="781" spans="1:19" x14ac:dyDescent="0.25">
      <c r="A781" t="e">
        <f t="shared" si="95"/>
        <v>#VALUE!</v>
      </c>
      <c r="B781" t="e">
        <f t="shared" si="96"/>
        <v>#VALUE!</v>
      </c>
      <c r="D781" s="21" t="str" cm="1">
        <f t="array" ref="D781">IF(ROWS($D$7:D781)&gt;COUNTIF('[1]U$S'!$H$5:$H$1008,$L$5),"",INDEX(CuentaUS,_xlfn.AGGREGATE(15,6,ROW('[1]U$S'!$H$5:$H$1008)-ROW('[1]U$S'!$O$5)+1/--('[1]U$S'!$H$5:$H$1008=$L$5),ROWS($D$7:D781)),1))</f>
        <v/>
      </c>
      <c r="E781" s="22" t="str" cm="1">
        <f t="array" ref="E781">IF(ROWS($E$7:E781)&gt;COUNTIF('[1]U$S'!$H$5:$H$1008,$L$5),"",INDEX(CuentaUS,_xlfn.AGGREGATE(15,6,ROW('[1]U$S'!$H$5:$H$1008)-ROW('[1]U$S'!$O$5)+1/--('[1]U$S'!$H$5:$H$1008=$L$5),ROWS($E$7:E781)),6))</f>
        <v/>
      </c>
      <c r="F781" s="22" t="str">
        <f>IF(E781="","",IF(E781&gt;0,SUMIFS('[1]UY$'!$L$5:$L$993,'[1]UY$'!$O$5:$O$993,"Cambio",'[1]UY$'!$E$5:$E$993,'Efecto TC'!D781),""))</f>
        <v/>
      </c>
      <c r="G781" s="23" t="str">
        <f t="shared" si="92"/>
        <v/>
      </c>
      <c r="H781" s="22" t="str">
        <f t="shared" si="93"/>
        <v/>
      </c>
      <c r="I781" s="54" t="str">
        <f t="shared" si="97"/>
        <v/>
      </c>
      <c r="R781" s="24" t="e">
        <f t="shared" si="94"/>
        <v>#VALUE!</v>
      </c>
      <c r="S781" s="25" t="e">
        <f t="shared" si="91"/>
        <v>#VALUE!</v>
      </c>
    </row>
    <row r="782" spans="1:19" x14ac:dyDescent="0.25">
      <c r="A782" t="e">
        <f t="shared" si="95"/>
        <v>#VALUE!</v>
      </c>
      <c r="B782" t="e">
        <f t="shared" si="96"/>
        <v>#VALUE!</v>
      </c>
      <c r="D782" s="21" t="str" cm="1">
        <f t="array" ref="D782">IF(ROWS($D$7:D782)&gt;COUNTIF('[1]U$S'!$H$5:$H$1008,$L$5),"",INDEX(CuentaUS,_xlfn.AGGREGATE(15,6,ROW('[1]U$S'!$H$5:$H$1008)-ROW('[1]U$S'!$O$5)+1/--('[1]U$S'!$H$5:$H$1008=$L$5),ROWS($D$7:D782)),1))</f>
        <v/>
      </c>
      <c r="E782" s="22" t="str" cm="1">
        <f t="array" ref="E782">IF(ROWS($E$7:E782)&gt;COUNTIF('[1]U$S'!$H$5:$H$1008,$L$5),"",INDEX(CuentaUS,_xlfn.AGGREGATE(15,6,ROW('[1]U$S'!$H$5:$H$1008)-ROW('[1]U$S'!$O$5)+1/--('[1]U$S'!$H$5:$H$1008=$L$5),ROWS($E$7:E782)),6))</f>
        <v/>
      </c>
      <c r="F782" s="22" t="str">
        <f>IF(E782="","",IF(E782&gt;0,SUMIFS('[1]UY$'!$L$5:$L$993,'[1]UY$'!$O$5:$O$993,"Cambio",'[1]UY$'!$E$5:$E$993,'Efecto TC'!D782),""))</f>
        <v/>
      </c>
      <c r="G782" s="23" t="str">
        <f t="shared" si="92"/>
        <v/>
      </c>
      <c r="H782" s="22" t="str">
        <f t="shared" si="93"/>
        <v/>
      </c>
      <c r="I782" s="54" t="str">
        <f t="shared" si="97"/>
        <v/>
      </c>
      <c r="R782" s="24" t="e">
        <f t="shared" si="94"/>
        <v>#VALUE!</v>
      </c>
      <c r="S782" s="25" t="e">
        <f t="shared" si="91"/>
        <v>#VALUE!</v>
      </c>
    </row>
    <row r="783" spans="1:19" x14ac:dyDescent="0.25">
      <c r="A783" t="e">
        <f t="shared" si="95"/>
        <v>#VALUE!</v>
      </c>
      <c r="B783" t="e">
        <f t="shared" si="96"/>
        <v>#VALUE!</v>
      </c>
      <c r="D783" s="21" t="str" cm="1">
        <f t="array" ref="D783">IF(ROWS($D$7:D783)&gt;COUNTIF('[1]U$S'!$H$5:$H$1008,$L$5),"",INDEX(CuentaUS,_xlfn.AGGREGATE(15,6,ROW('[1]U$S'!$H$5:$H$1008)-ROW('[1]U$S'!$O$5)+1/--('[1]U$S'!$H$5:$H$1008=$L$5),ROWS($D$7:D783)),1))</f>
        <v/>
      </c>
      <c r="E783" s="22" t="str" cm="1">
        <f t="array" ref="E783">IF(ROWS($E$7:E783)&gt;COUNTIF('[1]U$S'!$H$5:$H$1008,$L$5),"",INDEX(CuentaUS,_xlfn.AGGREGATE(15,6,ROW('[1]U$S'!$H$5:$H$1008)-ROW('[1]U$S'!$O$5)+1/--('[1]U$S'!$H$5:$H$1008=$L$5),ROWS($E$7:E783)),6))</f>
        <v/>
      </c>
      <c r="F783" s="22" t="str">
        <f>IF(E783="","",IF(E783&gt;0,SUMIFS('[1]UY$'!$L$5:$L$993,'[1]UY$'!$O$5:$O$993,"Cambio",'[1]UY$'!$E$5:$E$993,'Efecto TC'!D783),""))</f>
        <v/>
      </c>
      <c r="G783" s="23" t="str">
        <f t="shared" si="92"/>
        <v/>
      </c>
      <c r="H783" s="22" t="str">
        <f t="shared" si="93"/>
        <v/>
      </c>
      <c r="I783" s="54" t="str">
        <f t="shared" si="97"/>
        <v/>
      </c>
      <c r="R783" s="24" t="e">
        <f t="shared" si="94"/>
        <v>#VALUE!</v>
      </c>
      <c r="S783" s="25" t="e">
        <f t="shared" si="91"/>
        <v>#VALUE!</v>
      </c>
    </row>
    <row r="784" spans="1:19" x14ac:dyDescent="0.25">
      <c r="A784" t="e">
        <f t="shared" si="95"/>
        <v>#VALUE!</v>
      </c>
      <c r="B784" t="e">
        <f t="shared" si="96"/>
        <v>#VALUE!</v>
      </c>
      <c r="D784" s="21" t="str" cm="1">
        <f t="array" ref="D784">IF(ROWS($D$7:D784)&gt;COUNTIF('[1]U$S'!$H$5:$H$1008,$L$5),"",INDEX(CuentaUS,_xlfn.AGGREGATE(15,6,ROW('[1]U$S'!$H$5:$H$1008)-ROW('[1]U$S'!$O$5)+1/--('[1]U$S'!$H$5:$H$1008=$L$5),ROWS($D$7:D784)),1))</f>
        <v/>
      </c>
      <c r="E784" s="22" t="str" cm="1">
        <f t="array" ref="E784">IF(ROWS($E$7:E784)&gt;COUNTIF('[1]U$S'!$H$5:$H$1008,$L$5),"",INDEX(CuentaUS,_xlfn.AGGREGATE(15,6,ROW('[1]U$S'!$H$5:$H$1008)-ROW('[1]U$S'!$O$5)+1/--('[1]U$S'!$H$5:$H$1008=$L$5),ROWS($E$7:E784)),6))</f>
        <v/>
      </c>
      <c r="F784" s="22" t="str">
        <f>IF(E784="","",IF(E784&gt;0,SUMIFS('[1]UY$'!$L$5:$L$993,'[1]UY$'!$O$5:$O$993,"Cambio",'[1]UY$'!$E$5:$E$993,'Efecto TC'!D784),""))</f>
        <v/>
      </c>
      <c r="G784" s="23" t="str">
        <f t="shared" si="92"/>
        <v/>
      </c>
      <c r="H784" s="22" t="str">
        <f t="shared" si="93"/>
        <v/>
      </c>
      <c r="I784" s="54" t="str">
        <f t="shared" si="97"/>
        <v/>
      </c>
      <c r="R784" s="24" t="e">
        <f t="shared" si="94"/>
        <v>#VALUE!</v>
      </c>
      <c r="S784" s="25" t="e">
        <f t="shared" si="91"/>
        <v>#VALUE!</v>
      </c>
    </row>
    <row r="785" spans="1:19" x14ac:dyDescent="0.25">
      <c r="A785" t="e">
        <f t="shared" si="95"/>
        <v>#VALUE!</v>
      </c>
      <c r="B785" t="e">
        <f t="shared" si="96"/>
        <v>#VALUE!</v>
      </c>
      <c r="D785" s="21" t="str" cm="1">
        <f t="array" ref="D785">IF(ROWS($D$7:D785)&gt;COUNTIF('[1]U$S'!$H$5:$H$1008,$L$5),"",INDEX(CuentaUS,_xlfn.AGGREGATE(15,6,ROW('[1]U$S'!$H$5:$H$1008)-ROW('[1]U$S'!$O$5)+1/--('[1]U$S'!$H$5:$H$1008=$L$5),ROWS($D$7:D785)),1))</f>
        <v/>
      </c>
      <c r="E785" s="22" t="str" cm="1">
        <f t="array" ref="E785">IF(ROWS($E$7:E785)&gt;COUNTIF('[1]U$S'!$H$5:$H$1008,$L$5),"",INDEX(CuentaUS,_xlfn.AGGREGATE(15,6,ROW('[1]U$S'!$H$5:$H$1008)-ROW('[1]U$S'!$O$5)+1/--('[1]U$S'!$H$5:$H$1008=$L$5),ROWS($E$7:E785)),6))</f>
        <v/>
      </c>
      <c r="F785" s="22" t="str">
        <f>IF(E785="","",IF(E785&gt;0,SUMIFS('[1]UY$'!$L$5:$L$993,'[1]UY$'!$O$5:$O$993,"Cambio",'[1]UY$'!$E$5:$E$993,'Efecto TC'!D785),""))</f>
        <v/>
      </c>
      <c r="G785" s="23" t="str">
        <f t="shared" si="92"/>
        <v/>
      </c>
      <c r="H785" s="22" t="str">
        <f t="shared" si="93"/>
        <v/>
      </c>
      <c r="I785" s="54" t="str">
        <f t="shared" si="97"/>
        <v/>
      </c>
      <c r="R785" s="24" t="e">
        <f t="shared" si="94"/>
        <v>#VALUE!</v>
      </c>
      <c r="S785" s="25" t="e">
        <f t="shared" si="91"/>
        <v>#VALUE!</v>
      </c>
    </row>
    <row r="786" spans="1:19" x14ac:dyDescent="0.25">
      <c r="A786" t="e">
        <f t="shared" si="95"/>
        <v>#VALUE!</v>
      </c>
      <c r="B786" t="e">
        <f t="shared" si="96"/>
        <v>#VALUE!</v>
      </c>
      <c r="D786" s="21" t="str" cm="1">
        <f t="array" ref="D786">IF(ROWS($D$7:D786)&gt;COUNTIF('[1]U$S'!$H$5:$H$1008,$L$5),"",INDEX(CuentaUS,_xlfn.AGGREGATE(15,6,ROW('[1]U$S'!$H$5:$H$1008)-ROW('[1]U$S'!$O$5)+1/--('[1]U$S'!$H$5:$H$1008=$L$5),ROWS($D$7:D786)),1))</f>
        <v/>
      </c>
      <c r="E786" s="22" t="str" cm="1">
        <f t="array" ref="E786">IF(ROWS($E$7:E786)&gt;COUNTIF('[1]U$S'!$H$5:$H$1008,$L$5),"",INDEX(CuentaUS,_xlfn.AGGREGATE(15,6,ROW('[1]U$S'!$H$5:$H$1008)-ROW('[1]U$S'!$O$5)+1/--('[1]U$S'!$H$5:$H$1008=$L$5),ROWS($E$7:E786)),6))</f>
        <v/>
      </c>
      <c r="F786" s="22" t="str">
        <f>IF(E786="","",IF(E786&gt;0,SUMIFS('[1]UY$'!$L$5:$L$993,'[1]UY$'!$O$5:$O$993,"Cambio",'[1]UY$'!$E$5:$E$993,'Efecto TC'!D786),""))</f>
        <v/>
      </c>
      <c r="G786" s="23" t="str">
        <f t="shared" si="92"/>
        <v/>
      </c>
      <c r="H786" s="22" t="str">
        <f t="shared" si="93"/>
        <v/>
      </c>
      <c r="I786" s="54" t="str">
        <f t="shared" si="97"/>
        <v/>
      </c>
      <c r="R786" s="24" t="e">
        <f t="shared" si="94"/>
        <v>#VALUE!</v>
      </c>
      <c r="S786" s="25" t="e">
        <f t="shared" si="91"/>
        <v>#VALUE!</v>
      </c>
    </row>
    <row r="787" spans="1:19" x14ac:dyDescent="0.25">
      <c r="A787" t="e">
        <f t="shared" si="95"/>
        <v>#VALUE!</v>
      </c>
      <c r="B787" t="e">
        <f t="shared" si="96"/>
        <v>#VALUE!</v>
      </c>
      <c r="D787" s="21" t="str" cm="1">
        <f t="array" ref="D787">IF(ROWS($D$7:D787)&gt;COUNTIF('[1]U$S'!$H$5:$H$1008,$L$5),"",INDEX(CuentaUS,_xlfn.AGGREGATE(15,6,ROW('[1]U$S'!$H$5:$H$1008)-ROW('[1]U$S'!$O$5)+1/--('[1]U$S'!$H$5:$H$1008=$L$5),ROWS($D$7:D787)),1))</f>
        <v/>
      </c>
      <c r="E787" s="22" t="str" cm="1">
        <f t="array" ref="E787">IF(ROWS($E$7:E787)&gt;COUNTIF('[1]U$S'!$H$5:$H$1008,$L$5),"",INDEX(CuentaUS,_xlfn.AGGREGATE(15,6,ROW('[1]U$S'!$H$5:$H$1008)-ROW('[1]U$S'!$O$5)+1/--('[1]U$S'!$H$5:$H$1008=$L$5),ROWS($E$7:E787)),6))</f>
        <v/>
      </c>
      <c r="F787" s="22" t="str">
        <f>IF(E787="","",IF(E787&gt;0,SUMIFS('[1]UY$'!$L$5:$L$993,'[1]UY$'!$O$5:$O$993,"Cambio",'[1]UY$'!$E$5:$E$993,'Efecto TC'!D787),""))</f>
        <v/>
      </c>
      <c r="G787" s="23" t="str">
        <f t="shared" si="92"/>
        <v/>
      </c>
      <c r="H787" s="22" t="str">
        <f t="shared" si="93"/>
        <v/>
      </c>
      <c r="I787" s="54" t="str">
        <f t="shared" si="97"/>
        <v/>
      </c>
      <c r="R787" s="24" t="e">
        <f t="shared" si="94"/>
        <v>#VALUE!</v>
      </c>
      <c r="S787" s="25" t="e">
        <f t="shared" si="91"/>
        <v>#VALUE!</v>
      </c>
    </row>
    <row r="788" spans="1:19" x14ac:dyDescent="0.25">
      <c r="A788" t="e">
        <f t="shared" si="95"/>
        <v>#VALUE!</v>
      </c>
      <c r="B788" t="e">
        <f t="shared" si="96"/>
        <v>#VALUE!</v>
      </c>
      <c r="D788" s="21" t="str" cm="1">
        <f t="array" ref="D788">IF(ROWS($D$7:D788)&gt;COUNTIF('[1]U$S'!$H$5:$H$1008,$L$5),"",INDEX(CuentaUS,_xlfn.AGGREGATE(15,6,ROW('[1]U$S'!$H$5:$H$1008)-ROW('[1]U$S'!$O$5)+1/--('[1]U$S'!$H$5:$H$1008=$L$5),ROWS($D$7:D788)),1))</f>
        <v/>
      </c>
      <c r="E788" s="22" t="str" cm="1">
        <f t="array" ref="E788">IF(ROWS($E$7:E788)&gt;COUNTIF('[1]U$S'!$H$5:$H$1008,$L$5),"",INDEX(CuentaUS,_xlfn.AGGREGATE(15,6,ROW('[1]U$S'!$H$5:$H$1008)-ROW('[1]U$S'!$O$5)+1/--('[1]U$S'!$H$5:$H$1008=$L$5),ROWS($E$7:E788)),6))</f>
        <v/>
      </c>
      <c r="F788" s="22" t="str">
        <f>IF(E788="","",IF(E788&gt;0,SUMIFS('[1]UY$'!$L$5:$L$993,'[1]UY$'!$O$5:$O$993,"Cambio",'[1]UY$'!$E$5:$E$993,'Efecto TC'!D788),""))</f>
        <v/>
      </c>
      <c r="G788" s="23" t="str">
        <f t="shared" si="92"/>
        <v/>
      </c>
      <c r="H788" s="22" t="str">
        <f t="shared" si="93"/>
        <v/>
      </c>
      <c r="I788" s="54" t="str">
        <f t="shared" si="97"/>
        <v/>
      </c>
      <c r="R788" s="24" t="e">
        <f t="shared" si="94"/>
        <v>#VALUE!</v>
      </c>
      <c r="S788" s="25" t="e">
        <f t="shared" si="91"/>
        <v>#VALUE!</v>
      </c>
    </row>
    <row r="789" spans="1:19" x14ac:dyDescent="0.25">
      <c r="A789" t="e">
        <f t="shared" si="95"/>
        <v>#VALUE!</v>
      </c>
      <c r="B789" t="e">
        <f t="shared" si="96"/>
        <v>#VALUE!</v>
      </c>
      <c r="D789" s="21" t="str" cm="1">
        <f t="array" ref="D789">IF(ROWS($D$7:D789)&gt;COUNTIF('[1]U$S'!$H$5:$H$1008,$L$5),"",INDEX(CuentaUS,_xlfn.AGGREGATE(15,6,ROW('[1]U$S'!$H$5:$H$1008)-ROW('[1]U$S'!$O$5)+1/--('[1]U$S'!$H$5:$H$1008=$L$5),ROWS($D$7:D789)),1))</f>
        <v/>
      </c>
      <c r="E789" s="22" t="str" cm="1">
        <f t="array" ref="E789">IF(ROWS($E$7:E789)&gt;COUNTIF('[1]U$S'!$H$5:$H$1008,$L$5),"",INDEX(CuentaUS,_xlfn.AGGREGATE(15,6,ROW('[1]U$S'!$H$5:$H$1008)-ROW('[1]U$S'!$O$5)+1/--('[1]U$S'!$H$5:$H$1008=$L$5),ROWS($E$7:E789)),6))</f>
        <v/>
      </c>
      <c r="F789" s="22" t="str">
        <f>IF(E789="","",IF(E789&gt;0,SUMIFS('[1]UY$'!$L$5:$L$993,'[1]UY$'!$O$5:$O$993,"Cambio",'[1]UY$'!$E$5:$E$993,'Efecto TC'!D789),""))</f>
        <v/>
      </c>
      <c r="G789" s="23" t="str">
        <f t="shared" si="92"/>
        <v/>
      </c>
      <c r="H789" s="22" t="str">
        <f t="shared" si="93"/>
        <v/>
      </c>
      <c r="I789" s="54" t="str">
        <f t="shared" si="97"/>
        <v/>
      </c>
      <c r="R789" s="24" t="e">
        <f t="shared" si="94"/>
        <v>#VALUE!</v>
      </c>
      <c r="S789" s="25" t="e">
        <f t="shared" si="91"/>
        <v>#VALUE!</v>
      </c>
    </row>
    <row r="790" spans="1:19" x14ac:dyDescent="0.25">
      <c r="A790" t="e">
        <f t="shared" si="95"/>
        <v>#VALUE!</v>
      </c>
      <c r="B790" t="e">
        <f t="shared" si="96"/>
        <v>#VALUE!</v>
      </c>
      <c r="D790" s="21" t="str" cm="1">
        <f t="array" ref="D790">IF(ROWS($D$7:D790)&gt;COUNTIF('[1]U$S'!$H$5:$H$1008,$L$5),"",INDEX(CuentaUS,_xlfn.AGGREGATE(15,6,ROW('[1]U$S'!$H$5:$H$1008)-ROW('[1]U$S'!$O$5)+1/--('[1]U$S'!$H$5:$H$1008=$L$5),ROWS($D$7:D790)),1))</f>
        <v/>
      </c>
      <c r="E790" s="22" t="str" cm="1">
        <f t="array" ref="E790">IF(ROWS($E$7:E790)&gt;COUNTIF('[1]U$S'!$H$5:$H$1008,$L$5),"",INDEX(CuentaUS,_xlfn.AGGREGATE(15,6,ROW('[1]U$S'!$H$5:$H$1008)-ROW('[1]U$S'!$O$5)+1/--('[1]U$S'!$H$5:$H$1008=$L$5),ROWS($E$7:E790)),6))</f>
        <v/>
      </c>
      <c r="F790" s="22" t="str">
        <f>IF(E790="","",IF(E790&gt;0,SUMIFS('[1]UY$'!$L$5:$L$993,'[1]UY$'!$O$5:$O$993,"Cambio",'[1]UY$'!$E$5:$E$993,'Efecto TC'!D790),""))</f>
        <v/>
      </c>
      <c r="G790" s="23" t="str">
        <f t="shared" si="92"/>
        <v/>
      </c>
      <c r="H790" s="22" t="str">
        <f t="shared" si="93"/>
        <v/>
      </c>
      <c r="I790" s="54" t="str">
        <f t="shared" si="97"/>
        <v/>
      </c>
      <c r="R790" s="24" t="e">
        <f t="shared" si="94"/>
        <v>#VALUE!</v>
      </c>
      <c r="S790" s="25" t="e">
        <f t="shared" si="91"/>
        <v>#VALUE!</v>
      </c>
    </row>
    <row r="791" spans="1:19" x14ac:dyDescent="0.25">
      <c r="A791" t="e">
        <f t="shared" si="95"/>
        <v>#VALUE!</v>
      </c>
      <c r="B791" t="e">
        <f t="shared" si="96"/>
        <v>#VALUE!</v>
      </c>
      <c r="D791" s="21" t="str" cm="1">
        <f t="array" ref="D791">IF(ROWS($D$7:D791)&gt;COUNTIF('[1]U$S'!$H$5:$H$1008,$L$5),"",INDEX(CuentaUS,_xlfn.AGGREGATE(15,6,ROW('[1]U$S'!$H$5:$H$1008)-ROW('[1]U$S'!$O$5)+1/--('[1]U$S'!$H$5:$H$1008=$L$5),ROWS($D$7:D791)),1))</f>
        <v/>
      </c>
      <c r="E791" s="22" t="str" cm="1">
        <f t="array" ref="E791">IF(ROWS($E$7:E791)&gt;COUNTIF('[1]U$S'!$H$5:$H$1008,$L$5),"",INDEX(CuentaUS,_xlfn.AGGREGATE(15,6,ROW('[1]U$S'!$H$5:$H$1008)-ROW('[1]U$S'!$O$5)+1/--('[1]U$S'!$H$5:$H$1008=$L$5),ROWS($E$7:E791)),6))</f>
        <v/>
      </c>
      <c r="F791" s="22" t="str">
        <f>IF(E791="","",IF(E791&gt;0,SUMIFS('[1]UY$'!$L$5:$L$993,'[1]UY$'!$O$5:$O$993,"Cambio",'[1]UY$'!$E$5:$E$993,'Efecto TC'!D791),""))</f>
        <v/>
      </c>
      <c r="G791" s="23" t="str">
        <f t="shared" si="92"/>
        <v/>
      </c>
      <c r="H791" s="22" t="str">
        <f t="shared" si="93"/>
        <v/>
      </c>
      <c r="I791" s="54" t="str">
        <f t="shared" si="97"/>
        <v/>
      </c>
      <c r="R791" s="24" t="e">
        <f t="shared" si="94"/>
        <v>#VALUE!</v>
      </c>
      <c r="S791" s="25" t="e">
        <f t="shared" si="91"/>
        <v>#VALUE!</v>
      </c>
    </row>
    <row r="792" spans="1:19" x14ac:dyDescent="0.25">
      <c r="A792" t="e">
        <f t="shared" si="95"/>
        <v>#VALUE!</v>
      </c>
      <c r="B792" t="e">
        <f t="shared" si="96"/>
        <v>#VALUE!</v>
      </c>
      <c r="D792" s="21" t="str" cm="1">
        <f t="array" ref="D792">IF(ROWS($D$7:D792)&gt;COUNTIF('[1]U$S'!$H$5:$H$1008,$L$5),"",INDEX(CuentaUS,_xlfn.AGGREGATE(15,6,ROW('[1]U$S'!$H$5:$H$1008)-ROW('[1]U$S'!$O$5)+1/--('[1]U$S'!$H$5:$H$1008=$L$5),ROWS($D$7:D792)),1))</f>
        <v/>
      </c>
      <c r="E792" s="22" t="str" cm="1">
        <f t="array" ref="E792">IF(ROWS($E$7:E792)&gt;COUNTIF('[1]U$S'!$H$5:$H$1008,$L$5),"",INDEX(CuentaUS,_xlfn.AGGREGATE(15,6,ROW('[1]U$S'!$H$5:$H$1008)-ROW('[1]U$S'!$O$5)+1/--('[1]U$S'!$H$5:$H$1008=$L$5),ROWS($E$7:E792)),6))</f>
        <v/>
      </c>
      <c r="F792" s="22" t="str">
        <f>IF(E792="","",IF(E792&gt;0,SUMIFS('[1]UY$'!$L$5:$L$993,'[1]UY$'!$O$5:$O$993,"Cambio",'[1]UY$'!$E$5:$E$993,'Efecto TC'!D792),""))</f>
        <v/>
      </c>
      <c r="G792" s="23" t="str">
        <f t="shared" si="92"/>
        <v/>
      </c>
      <c r="H792" s="22" t="str">
        <f t="shared" si="93"/>
        <v/>
      </c>
      <c r="I792" s="54" t="str">
        <f t="shared" si="97"/>
        <v/>
      </c>
      <c r="R792" s="24" t="e">
        <f t="shared" si="94"/>
        <v>#VALUE!</v>
      </c>
      <c r="S792" s="25" t="e">
        <f t="shared" si="91"/>
        <v>#VALUE!</v>
      </c>
    </row>
    <row r="793" spans="1:19" x14ac:dyDescent="0.25">
      <c r="A793" t="e">
        <f t="shared" si="95"/>
        <v>#VALUE!</v>
      </c>
      <c r="B793" t="e">
        <f t="shared" si="96"/>
        <v>#VALUE!</v>
      </c>
      <c r="D793" s="21" t="str" cm="1">
        <f t="array" ref="D793">IF(ROWS($D$7:D793)&gt;COUNTIF('[1]U$S'!$H$5:$H$1008,$L$5),"",INDEX(CuentaUS,_xlfn.AGGREGATE(15,6,ROW('[1]U$S'!$H$5:$H$1008)-ROW('[1]U$S'!$O$5)+1/--('[1]U$S'!$H$5:$H$1008=$L$5),ROWS($D$7:D793)),1))</f>
        <v/>
      </c>
      <c r="E793" s="22" t="str" cm="1">
        <f t="array" ref="E793">IF(ROWS($E$7:E793)&gt;COUNTIF('[1]U$S'!$H$5:$H$1008,$L$5),"",INDEX(CuentaUS,_xlfn.AGGREGATE(15,6,ROW('[1]U$S'!$H$5:$H$1008)-ROW('[1]U$S'!$O$5)+1/--('[1]U$S'!$H$5:$H$1008=$L$5),ROWS($E$7:E793)),6))</f>
        <v/>
      </c>
      <c r="F793" s="22" t="str">
        <f>IF(E793="","",IF(E793&gt;0,SUMIFS('[1]UY$'!$L$5:$L$993,'[1]UY$'!$O$5:$O$993,"Cambio",'[1]UY$'!$E$5:$E$993,'Efecto TC'!D793),""))</f>
        <v/>
      </c>
      <c r="G793" s="23" t="str">
        <f t="shared" si="92"/>
        <v/>
      </c>
      <c r="H793" s="22" t="str">
        <f t="shared" si="93"/>
        <v/>
      </c>
      <c r="I793" s="54" t="str">
        <f t="shared" si="97"/>
        <v/>
      </c>
      <c r="R793" s="24" t="e">
        <f t="shared" si="94"/>
        <v>#VALUE!</v>
      </c>
      <c r="S793" s="25" t="e">
        <f t="shared" si="91"/>
        <v>#VALUE!</v>
      </c>
    </row>
    <row r="794" spans="1:19" x14ac:dyDescent="0.25">
      <c r="A794" t="e">
        <f t="shared" si="95"/>
        <v>#VALUE!</v>
      </c>
      <c r="B794" t="e">
        <f t="shared" si="96"/>
        <v>#VALUE!</v>
      </c>
      <c r="D794" s="21" t="str" cm="1">
        <f t="array" ref="D794">IF(ROWS($D$7:D794)&gt;COUNTIF('[1]U$S'!$H$5:$H$1008,$L$5),"",INDEX(CuentaUS,_xlfn.AGGREGATE(15,6,ROW('[1]U$S'!$H$5:$H$1008)-ROW('[1]U$S'!$O$5)+1/--('[1]U$S'!$H$5:$H$1008=$L$5),ROWS($D$7:D794)),1))</f>
        <v/>
      </c>
      <c r="E794" s="22" t="str" cm="1">
        <f t="array" ref="E794">IF(ROWS($E$7:E794)&gt;COUNTIF('[1]U$S'!$H$5:$H$1008,$L$5),"",INDEX(CuentaUS,_xlfn.AGGREGATE(15,6,ROW('[1]U$S'!$H$5:$H$1008)-ROW('[1]U$S'!$O$5)+1/--('[1]U$S'!$H$5:$H$1008=$L$5),ROWS($E$7:E794)),6))</f>
        <v/>
      </c>
      <c r="F794" s="22" t="str">
        <f>IF(E794="","",IF(E794&gt;0,SUMIFS('[1]UY$'!$L$5:$L$993,'[1]UY$'!$O$5:$O$993,"Cambio",'[1]UY$'!$E$5:$E$993,'Efecto TC'!D794),""))</f>
        <v/>
      </c>
      <c r="G794" s="23" t="str">
        <f t="shared" si="92"/>
        <v/>
      </c>
      <c r="H794" s="22" t="str">
        <f t="shared" si="93"/>
        <v/>
      </c>
      <c r="I794" s="54" t="str">
        <f t="shared" si="97"/>
        <v/>
      </c>
      <c r="R794" s="24" t="e">
        <f t="shared" si="94"/>
        <v>#VALUE!</v>
      </c>
      <c r="S794" s="25" t="e">
        <f t="shared" si="91"/>
        <v>#VALUE!</v>
      </c>
    </row>
    <row r="795" spans="1:19" x14ac:dyDescent="0.25">
      <c r="A795" t="e">
        <f t="shared" si="95"/>
        <v>#VALUE!</v>
      </c>
      <c r="B795" t="e">
        <f t="shared" si="96"/>
        <v>#VALUE!</v>
      </c>
      <c r="D795" s="21" t="str" cm="1">
        <f t="array" ref="D795">IF(ROWS($D$7:D795)&gt;COUNTIF('[1]U$S'!$H$5:$H$1008,$L$5),"",INDEX(CuentaUS,_xlfn.AGGREGATE(15,6,ROW('[1]U$S'!$H$5:$H$1008)-ROW('[1]U$S'!$O$5)+1/--('[1]U$S'!$H$5:$H$1008=$L$5),ROWS($D$7:D795)),1))</f>
        <v/>
      </c>
      <c r="E795" s="22" t="str" cm="1">
        <f t="array" ref="E795">IF(ROWS($E$7:E795)&gt;COUNTIF('[1]U$S'!$H$5:$H$1008,$L$5),"",INDEX(CuentaUS,_xlfn.AGGREGATE(15,6,ROW('[1]U$S'!$H$5:$H$1008)-ROW('[1]U$S'!$O$5)+1/--('[1]U$S'!$H$5:$H$1008=$L$5),ROWS($E$7:E795)),6))</f>
        <v/>
      </c>
      <c r="F795" s="22" t="str">
        <f>IF(E795="","",IF(E795&gt;0,SUMIFS('[1]UY$'!$L$5:$L$993,'[1]UY$'!$O$5:$O$993,"Cambio",'[1]UY$'!$E$5:$E$993,'Efecto TC'!D795),""))</f>
        <v/>
      </c>
      <c r="G795" s="23" t="str">
        <f t="shared" si="92"/>
        <v/>
      </c>
      <c r="H795" s="22" t="str">
        <f t="shared" si="93"/>
        <v/>
      </c>
      <c r="I795" s="54" t="str">
        <f t="shared" si="97"/>
        <v/>
      </c>
      <c r="R795" s="24" t="e">
        <f t="shared" si="94"/>
        <v>#VALUE!</v>
      </c>
      <c r="S795" s="25" t="e">
        <f t="shared" ref="S795:S858" si="98">R795*G789</f>
        <v>#VALUE!</v>
      </c>
    </row>
    <row r="796" spans="1:19" x14ac:dyDescent="0.25">
      <c r="A796" t="e">
        <f t="shared" si="95"/>
        <v>#VALUE!</v>
      </c>
      <c r="B796" t="e">
        <f t="shared" si="96"/>
        <v>#VALUE!</v>
      </c>
      <c r="D796" s="21" t="str" cm="1">
        <f t="array" ref="D796">IF(ROWS($D$7:D796)&gt;COUNTIF('[1]U$S'!$H$5:$H$1008,$L$5),"",INDEX(CuentaUS,_xlfn.AGGREGATE(15,6,ROW('[1]U$S'!$H$5:$H$1008)-ROW('[1]U$S'!$O$5)+1/--('[1]U$S'!$H$5:$H$1008=$L$5),ROWS($D$7:D796)),1))</f>
        <v/>
      </c>
      <c r="E796" s="22" t="str" cm="1">
        <f t="array" ref="E796">IF(ROWS($E$7:E796)&gt;COUNTIF('[1]U$S'!$H$5:$H$1008,$L$5),"",INDEX(CuentaUS,_xlfn.AGGREGATE(15,6,ROW('[1]U$S'!$H$5:$H$1008)-ROW('[1]U$S'!$O$5)+1/--('[1]U$S'!$H$5:$H$1008=$L$5),ROWS($E$7:E796)),6))</f>
        <v/>
      </c>
      <c r="F796" s="22" t="str">
        <f>IF(E796="","",IF(E796&gt;0,SUMIFS('[1]UY$'!$L$5:$L$993,'[1]UY$'!$O$5:$O$993,"Cambio",'[1]UY$'!$E$5:$E$993,'Efecto TC'!D796),""))</f>
        <v/>
      </c>
      <c r="G796" s="23" t="str">
        <f t="shared" si="92"/>
        <v/>
      </c>
      <c r="H796" s="22" t="str">
        <f t="shared" si="93"/>
        <v/>
      </c>
      <c r="I796" s="54" t="str">
        <f t="shared" si="97"/>
        <v/>
      </c>
      <c r="R796" s="24" t="e">
        <f t="shared" si="94"/>
        <v>#VALUE!</v>
      </c>
      <c r="S796" s="25" t="e">
        <f t="shared" si="98"/>
        <v>#VALUE!</v>
      </c>
    </row>
    <row r="797" spans="1:19" x14ac:dyDescent="0.25">
      <c r="A797" t="e">
        <f t="shared" si="95"/>
        <v>#VALUE!</v>
      </c>
      <c r="B797" t="e">
        <f t="shared" si="96"/>
        <v>#VALUE!</v>
      </c>
      <c r="D797" s="21" t="str" cm="1">
        <f t="array" ref="D797">IF(ROWS($D$7:D797)&gt;COUNTIF('[1]U$S'!$H$5:$H$1008,$L$5),"",INDEX(CuentaUS,_xlfn.AGGREGATE(15,6,ROW('[1]U$S'!$H$5:$H$1008)-ROW('[1]U$S'!$O$5)+1/--('[1]U$S'!$H$5:$H$1008=$L$5),ROWS($D$7:D797)),1))</f>
        <v/>
      </c>
      <c r="E797" s="22" t="str" cm="1">
        <f t="array" ref="E797">IF(ROWS($E$7:E797)&gt;COUNTIF('[1]U$S'!$H$5:$H$1008,$L$5),"",INDEX(CuentaUS,_xlfn.AGGREGATE(15,6,ROW('[1]U$S'!$H$5:$H$1008)-ROW('[1]U$S'!$O$5)+1/--('[1]U$S'!$H$5:$H$1008=$L$5),ROWS($E$7:E797)),6))</f>
        <v/>
      </c>
      <c r="F797" s="22" t="str">
        <f>IF(E797="","",IF(E797&gt;0,SUMIFS('[1]UY$'!$L$5:$L$993,'[1]UY$'!$O$5:$O$993,"Cambio",'[1]UY$'!$E$5:$E$993,'Efecto TC'!D797),""))</f>
        <v/>
      </c>
      <c r="G797" s="23" t="str">
        <f t="shared" si="92"/>
        <v/>
      </c>
      <c r="H797" s="22" t="str">
        <f t="shared" si="93"/>
        <v/>
      </c>
      <c r="I797" s="54" t="str">
        <f t="shared" si="97"/>
        <v/>
      </c>
      <c r="R797" s="24" t="e">
        <f t="shared" si="94"/>
        <v>#VALUE!</v>
      </c>
      <c r="S797" s="25" t="e">
        <f t="shared" si="98"/>
        <v>#VALUE!</v>
      </c>
    </row>
    <row r="798" spans="1:19" x14ac:dyDescent="0.25">
      <c r="A798" t="e">
        <f t="shared" si="95"/>
        <v>#VALUE!</v>
      </c>
      <c r="B798" t="e">
        <f t="shared" si="96"/>
        <v>#VALUE!</v>
      </c>
      <c r="D798" s="21" t="str" cm="1">
        <f t="array" ref="D798">IF(ROWS($D$7:D798)&gt;COUNTIF('[1]U$S'!$H$5:$H$1008,$L$5),"",INDEX(CuentaUS,_xlfn.AGGREGATE(15,6,ROW('[1]U$S'!$H$5:$H$1008)-ROW('[1]U$S'!$O$5)+1/--('[1]U$S'!$H$5:$H$1008=$L$5),ROWS($D$7:D798)),1))</f>
        <v/>
      </c>
      <c r="E798" s="22" t="str" cm="1">
        <f t="array" ref="E798">IF(ROWS($E$7:E798)&gt;COUNTIF('[1]U$S'!$H$5:$H$1008,$L$5),"",INDEX(CuentaUS,_xlfn.AGGREGATE(15,6,ROW('[1]U$S'!$H$5:$H$1008)-ROW('[1]U$S'!$O$5)+1/--('[1]U$S'!$H$5:$H$1008=$L$5),ROWS($E$7:E798)),6))</f>
        <v/>
      </c>
      <c r="F798" s="22" t="str">
        <f>IF(E798="","",IF(E798&gt;0,SUMIFS('[1]UY$'!$L$5:$L$993,'[1]UY$'!$O$5:$O$993,"Cambio",'[1]UY$'!$E$5:$E$993,'Efecto TC'!D798),""))</f>
        <v/>
      </c>
      <c r="G798" s="23" t="str">
        <f t="shared" si="92"/>
        <v/>
      </c>
      <c r="H798" s="22" t="str">
        <f t="shared" si="93"/>
        <v/>
      </c>
      <c r="I798" s="54" t="str">
        <f t="shared" si="97"/>
        <v/>
      </c>
      <c r="R798" s="24" t="e">
        <f t="shared" si="94"/>
        <v>#VALUE!</v>
      </c>
      <c r="S798" s="25" t="e">
        <f t="shared" si="98"/>
        <v>#VALUE!</v>
      </c>
    </row>
    <row r="799" spans="1:19" x14ac:dyDescent="0.25">
      <c r="A799" t="e">
        <f t="shared" si="95"/>
        <v>#VALUE!</v>
      </c>
      <c r="B799" t="e">
        <f t="shared" si="96"/>
        <v>#VALUE!</v>
      </c>
      <c r="D799" s="21" t="str" cm="1">
        <f t="array" ref="D799">IF(ROWS($D$7:D799)&gt;COUNTIF('[1]U$S'!$H$5:$H$1008,$L$5),"",INDEX(CuentaUS,_xlfn.AGGREGATE(15,6,ROW('[1]U$S'!$H$5:$H$1008)-ROW('[1]U$S'!$O$5)+1/--('[1]U$S'!$H$5:$H$1008=$L$5),ROWS($D$7:D799)),1))</f>
        <v/>
      </c>
      <c r="E799" s="22" t="str" cm="1">
        <f t="array" ref="E799">IF(ROWS($E$7:E799)&gt;COUNTIF('[1]U$S'!$H$5:$H$1008,$L$5),"",INDEX(CuentaUS,_xlfn.AGGREGATE(15,6,ROW('[1]U$S'!$H$5:$H$1008)-ROW('[1]U$S'!$O$5)+1/--('[1]U$S'!$H$5:$H$1008=$L$5),ROWS($E$7:E799)),6))</f>
        <v/>
      </c>
      <c r="F799" s="22" t="str">
        <f>IF(E799="","",IF(E799&gt;0,SUMIFS('[1]UY$'!$L$5:$L$993,'[1]UY$'!$O$5:$O$993,"Cambio",'[1]UY$'!$E$5:$E$993,'Efecto TC'!D799),""))</f>
        <v/>
      </c>
      <c r="G799" s="23" t="str">
        <f t="shared" si="92"/>
        <v/>
      </c>
      <c r="H799" s="22" t="str">
        <f t="shared" si="93"/>
        <v/>
      </c>
      <c r="I799" s="54" t="str">
        <f t="shared" si="97"/>
        <v/>
      </c>
      <c r="R799" s="24" t="e">
        <f t="shared" si="94"/>
        <v>#VALUE!</v>
      </c>
      <c r="S799" s="25" t="e">
        <f t="shared" si="98"/>
        <v>#VALUE!</v>
      </c>
    </row>
    <row r="800" spans="1:19" x14ac:dyDescent="0.25">
      <c r="A800" t="e">
        <f t="shared" si="95"/>
        <v>#VALUE!</v>
      </c>
      <c r="B800" t="e">
        <f t="shared" si="96"/>
        <v>#VALUE!</v>
      </c>
      <c r="D800" s="21" t="str" cm="1">
        <f t="array" ref="D800">IF(ROWS($D$7:D800)&gt;COUNTIF('[1]U$S'!$H$5:$H$1008,$L$5),"",INDEX(CuentaUS,_xlfn.AGGREGATE(15,6,ROW('[1]U$S'!$H$5:$H$1008)-ROW('[1]U$S'!$O$5)+1/--('[1]U$S'!$H$5:$H$1008=$L$5),ROWS($D$7:D800)),1))</f>
        <v/>
      </c>
      <c r="E800" s="22" t="str" cm="1">
        <f t="array" ref="E800">IF(ROWS($E$7:E800)&gt;COUNTIF('[1]U$S'!$H$5:$H$1008,$L$5),"",INDEX(CuentaUS,_xlfn.AGGREGATE(15,6,ROW('[1]U$S'!$H$5:$H$1008)-ROW('[1]U$S'!$O$5)+1/--('[1]U$S'!$H$5:$H$1008=$L$5),ROWS($E$7:E800)),6))</f>
        <v/>
      </c>
      <c r="F800" s="22" t="str">
        <f>IF(E800="","",IF(E800&gt;0,SUMIFS('[1]UY$'!$L$5:$L$993,'[1]UY$'!$O$5:$O$993,"Cambio",'[1]UY$'!$E$5:$E$993,'Efecto TC'!D800),""))</f>
        <v/>
      </c>
      <c r="G800" s="23" t="str">
        <f t="shared" si="92"/>
        <v/>
      </c>
      <c r="H800" s="22" t="str">
        <f t="shared" si="93"/>
        <v/>
      </c>
      <c r="I800" s="54" t="str">
        <f t="shared" si="97"/>
        <v/>
      </c>
      <c r="R800" s="24" t="e">
        <f t="shared" si="94"/>
        <v>#VALUE!</v>
      </c>
      <c r="S800" s="25" t="e">
        <f t="shared" si="98"/>
        <v>#VALUE!</v>
      </c>
    </row>
    <row r="801" spans="1:19" x14ac:dyDescent="0.25">
      <c r="A801" t="e">
        <f t="shared" si="95"/>
        <v>#VALUE!</v>
      </c>
      <c r="B801" t="e">
        <f t="shared" si="96"/>
        <v>#VALUE!</v>
      </c>
      <c r="D801" s="21" t="str" cm="1">
        <f t="array" ref="D801">IF(ROWS($D$7:D801)&gt;COUNTIF('[1]U$S'!$H$5:$H$1008,$L$5),"",INDEX(CuentaUS,_xlfn.AGGREGATE(15,6,ROW('[1]U$S'!$H$5:$H$1008)-ROW('[1]U$S'!$O$5)+1/--('[1]U$S'!$H$5:$H$1008=$L$5),ROWS($D$7:D801)),1))</f>
        <v/>
      </c>
      <c r="E801" s="22" t="str" cm="1">
        <f t="array" ref="E801">IF(ROWS($E$7:E801)&gt;COUNTIF('[1]U$S'!$H$5:$H$1008,$L$5),"",INDEX(CuentaUS,_xlfn.AGGREGATE(15,6,ROW('[1]U$S'!$H$5:$H$1008)-ROW('[1]U$S'!$O$5)+1/--('[1]U$S'!$H$5:$H$1008=$L$5),ROWS($E$7:E801)),6))</f>
        <v/>
      </c>
      <c r="F801" s="22" t="str">
        <f>IF(E801="","",IF(E801&gt;0,SUMIFS('[1]UY$'!$L$5:$L$993,'[1]UY$'!$O$5:$O$993,"Cambio",'[1]UY$'!$E$5:$E$993,'Efecto TC'!D801),""))</f>
        <v/>
      </c>
      <c r="G801" s="23" t="str">
        <f t="shared" si="92"/>
        <v/>
      </c>
      <c r="H801" s="22" t="str">
        <f t="shared" si="93"/>
        <v/>
      </c>
      <c r="I801" s="54" t="str">
        <f t="shared" si="97"/>
        <v/>
      </c>
      <c r="R801" s="24" t="e">
        <f t="shared" si="94"/>
        <v>#VALUE!</v>
      </c>
      <c r="S801" s="25" t="e">
        <f t="shared" si="98"/>
        <v>#VALUE!</v>
      </c>
    </row>
    <row r="802" spans="1:19" x14ac:dyDescent="0.25">
      <c r="A802" t="e">
        <f t="shared" si="95"/>
        <v>#VALUE!</v>
      </c>
      <c r="B802" t="e">
        <f t="shared" si="96"/>
        <v>#VALUE!</v>
      </c>
      <c r="D802" s="21" t="str" cm="1">
        <f t="array" ref="D802">IF(ROWS($D$7:D802)&gt;COUNTIF('[1]U$S'!$H$5:$H$1008,$L$5),"",INDEX(CuentaUS,_xlfn.AGGREGATE(15,6,ROW('[1]U$S'!$H$5:$H$1008)-ROW('[1]U$S'!$O$5)+1/--('[1]U$S'!$H$5:$H$1008=$L$5),ROWS($D$7:D802)),1))</f>
        <v/>
      </c>
      <c r="E802" s="22" t="str" cm="1">
        <f t="array" ref="E802">IF(ROWS($E$7:E802)&gt;COUNTIF('[1]U$S'!$H$5:$H$1008,$L$5),"",INDEX(CuentaUS,_xlfn.AGGREGATE(15,6,ROW('[1]U$S'!$H$5:$H$1008)-ROW('[1]U$S'!$O$5)+1/--('[1]U$S'!$H$5:$H$1008=$L$5),ROWS($E$7:E802)),6))</f>
        <v/>
      </c>
      <c r="F802" s="22" t="str">
        <f>IF(E802="","",IF(E802&gt;0,SUMIFS('[1]UY$'!$L$5:$L$993,'[1]UY$'!$O$5:$O$993,"Cambio",'[1]UY$'!$E$5:$E$993,'Efecto TC'!D802),""))</f>
        <v/>
      </c>
      <c r="G802" s="23" t="str">
        <f t="shared" ref="G802:G865" si="99">IF(F802="","",F802/E802)</f>
        <v/>
      </c>
      <c r="H802" s="22" t="str">
        <f t="shared" ref="H802:H865" si="100">IF(E802="","",F802/$F$2-F802/G802)</f>
        <v/>
      </c>
      <c r="I802" s="54" t="str">
        <f t="shared" si="97"/>
        <v/>
      </c>
      <c r="R802" s="24" t="e">
        <f t="shared" ref="R802:R865" si="101">E802/$E$1001</f>
        <v>#VALUE!</v>
      </c>
      <c r="S802" s="25" t="e">
        <f t="shared" si="98"/>
        <v>#VALUE!</v>
      </c>
    </row>
    <row r="803" spans="1:19" x14ac:dyDescent="0.25">
      <c r="A803" t="e">
        <f t="shared" si="95"/>
        <v>#VALUE!</v>
      </c>
      <c r="B803" t="e">
        <f t="shared" si="96"/>
        <v>#VALUE!</v>
      </c>
      <c r="D803" s="21" t="str" cm="1">
        <f t="array" ref="D803">IF(ROWS($D$7:D803)&gt;COUNTIF('[1]U$S'!$H$5:$H$1008,$L$5),"",INDEX(CuentaUS,_xlfn.AGGREGATE(15,6,ROW('[1]U$S'!$H$5:$H$1008)-ROW('[1]U$S'!$O$5)+1/--('[1]U$S'!$H$5:$H$1008=$L$5),ROWS($D$7:D803)),1))</f>
        <v/>
      </c>
      <c r="E803" s="22" t="str" cm="1">
        <f t="array" ref="E803">IF(ROWS($E$7:E803)&gt;COUNTIF('[1]U$S'!$H$5:$H$1008,$L$5),"",INDEX(CuentaUS,_xlfn.AGGREGATE(15,6,ROW('[1]U$S'!$H$5:$H$1008)-ROW('[1]U$S'!$O$5)+1/--('[1]U$S'!$H$5:$H$1008=$L$5),ROWS($E$7:E803)),6))</f>
        <v/>
      </c>
      <c r="F803" s="22" t="str">
        <f>IF(E803="","",IF(E803&gt;0,SUMIFS('[1]UY$'!$L$5:$L$993,'[1]UY$'!$O$5:$O$993,"Cambio",'[1]UY$'!$E$5:$E$993,'Efecto TC'!D803),""))</f>
        <v/>
      </c>
      <c r="G803" s="23" t="str">
        <f t="shared" si="99"/>
        <v/>
      </c>
      <c r="H803" s="22" t="str">
        <f t="shared" si="100"/>
        <v/>
      </c>
      <c r="I803" s="54" t="str">
        <f t="shared" si="97"/>
        <v/>
      </c>
      <c r="R803" s="24" t="e">
        <f t="shared" si="101"/>
        <v>#VALUE!</v>
      </c>
      <c r="S803" s="25" t="e">
        <f t="shared" si="98"/>
        <v>#VALUE!</v>
      </c>
    </row>
    <row r="804" spans="1:19" x14ac:dyDescent="0.25">
      <c r="A804" t="e">
        <f t="shared" si="95"/>
        <v>#VALUE!</v>
      </c>
      <c r="B804" t="e">
        <f t="shared" si="96"/>
        <v>#VALUE!</v>
      </c>
      <c r="D804" s="21" t="str" cm="1">
        <f t="array" ref="D804">IF(ROWS($D$7:D804)&gt;COUNTIF('[1]U$S'!$H$5:$H$1008,$L$5),"",INDEX(CuentaUS,_xlfn.AGGREGATE(15,6,ROW('[1]U$S'!$H$5:$H$1008)-ROW('[1]U$S'!$O$5)+1/--('[1]U$S'!$H$5:$H$1008=$L$5),ROWS($D$7:D804)),1))</f>
        <v/>
      </c>
      <c r="E804" s="22" t="str" cm="1">
        <f t="array" ref="E804">IF(ROWS($E$7:E804)&gt;COUNTIF('[1]U$S'!$H$5:$H$1008,$L$5),"",INDEX(CuentaUS,_xlfn.AGGREGATE(15,6,ROW('[1]U$S'!$H$5:$H$1008)-ROW('[1]U$S'!$O$5)+1/--('[1]U$S'!$H$5:$H$1008=$L$5),ROWS($E$7:E804)),6))</f>
        <v/>
      </c>
      <c r="F804" s="22" t="str">
        <f>IF(E804="","",IF(E804&gt;0,SUMIFS('[1]UY$'!$L$5:$L$993,'[1]UY$'!$O$5:$O$993,"Cambio",'[1]UY$'!$E$5:$E$993,'Efecto TC'!D804),""))</f>
        <v/>
      </c>
      <c r="G804" s="23" t="str">
        <f t="shared" si="99"/>
        <v/>
      </c>
      <c r="H804" s="22" t="str">
        <f t="shared" si="100"/>
        <v/>
      </c>
      <c r="I804" s="54" t="str">
        <f t="shared" si="97"/>
        <v/>
      </c>
      <c r="R804" s="24" t="e">
        <f t="shared" si="101"/>
        <v>#VALUE!</v>
      </c>
      <c r="S804" s="25" t="e">
        <f t="shared" si="98"/>
        <v>#VALUE!</v>
      </c>
    </row>
    <row r="805" spans="1:19" x14ac:dyDescent="0.25">
      <c r="A805" t="e">
        <f t="shared" si="95"/>
        <v>#VALUE!</v>
      </c>
      <c r="B805" t="e">
        <f t="shared" si="96"/>
        <v>#VALUE!</v>
      </c>
      <c r="D805" s="21" t="str" cm="1">
        <f t="array" ref="D805">IF(ROWS($D$7:D805)&gt;COUNTIF('[1]U$S'!$H$5:$H$1008,$L$5),"",INDEX(CuentaUS,_xlfn.AGGREGATE(15,6,ROW('[1]U$S'!$H$5:$H$1008)-ROW('[1]U$S'!$O$5)+1/--('[1]U$S'!$H$5:$H$1008=$L$5),ROWS($D$7:D805)),1))</f>
        <v/>
      </c>
      <c r="E805" s="22" t="str" cm="1">
        <f t="array" ref="E805">IF(ROWS($E$7:E805)&gt;COUNTIF('[1]U$S'!$H$5:$H$1008,$L$5),"",INDEX(CuentaUS,_xlfn.AGGREGATE(15,6,ROW('[1]U$S'!$H$5:$H$1008)-ROW('[1]U$S'!$O$5)+1/--('[1]U$S'!$H$5:$H$1008=$L$5),ROWS($E$7:E805)),6))</f>
        <v/>
      </c>
      <c r="F805" s="22" t="str">
        <f>IF(E805="","",IF(E805&gt;0,SUMIFS('[1]UY$'!$L$5:$L$993,'[1]UY$'!$O$5:$O$993,"Cambio",'[1]UY$'!$E$5:$E$993,'Efecto TC'!D805),""))</f>
        <v/>
      </c>
      <c r="G805" s="23" t="str">
        <f t="shared" si="99"/>
        <v/>
      </c>
      <c r="H805" s="22" t="str">
        <f t="shared" si="100"/>
        <v/>
      </c>
      <c r="I805" s="54" t="str">
        <f t="shared" si="97"/>
        <v/>
      </c>
      <c r="R805" s="24" t="e">
        <f t="shared" si="101"/>
        <v>#VALUE!</v>
      </c>
      <c r="S805" s="25" t="e">
        <f t="shared" si="98"/>
        <v>#VALUE!</v>
      </c>
    </row>
    <row r="806" spans="1:19" x14ac:dyDescent="0.25">
      <c r="A806" t="e">
        <f t="shared" si="95"/>
        <v>#VALUE!</v>
      </c>
      <c r="B806" t="e">
        <f t="shared" si="96"/>
        <v>#VALUE!</v>
      </c>
      <c r="D806" s="21" t="str" cm="1">
        <f t="array" ref="D806">IF(ROWS($D$7:D806)&gt;COUNTIF('[1]U$S'!$H$5:$H$1008,$L$5),"",INDEX(CuentaUS,_xlfn.AGGREGATE(15,6,ROW('[1]U$S'!$H$5:$H$1008)-ROW('[1]U$S'!$O$5)+1/--('[1]U$S'!$H$5:$H$1008=$L$5),ROWS($D$7:D806)),1))</f>
        <v/>
      </c>
      <c r="E806" s="22" t="str" cm="1">
        <f t="array" ref="E806">IF(ROWS($E$7:E806)&gt;COUNTIF('[1]U$S'!$H$5:$H$1008,$L$5),"",INDEX(CuentaUS,_xlfn.AGGREGATE(15,6,ROW('[1]U$S'!$H$5:$H$1008)-ROW('[1]U$S'!$O$5)+1/--('[1]U$S'!$H$5:$H$1008=$L$5),ROWS($E$7:E806)),6))</f>
        <v/>
      </c>
      <c r="F806" s="22" t="str">
        <f>IF(E806="","",IF(E806&gt;0,SUMIFS('[1]UY$'!$L$5:$L$993,'[1]UY$'!$O$5:$O$993,"Cambio",'[1]UY$'!$E$5:$E$993,'Efecto TC'!D806),""))</f>
        <v/>
      </c>
      <c r="G806" s="23" t="str">
        <f t="shared" si="99"/>
        <v/>
      </c>
      <c r="H806" s="22" t="str">
        <f t="shared" si="100"/>
        <v/>
      </c>
      <c r="I806" s="54" t="str">
        <f t="shared" si="97"/>
        <v/>
      </c>
      <c r="R806" s="24" t="e">
        <f t="shared" si="101"/>
        <v>#VALUE!</v>
      </c>
      <c r="S806" s="25" t="e">
        <f t="shared" si="98"/>
        <v>#VALUE!</v>
      </c>
    </row>
    <row r="807" spans="1:19" x14ac:dyDescent="0.25">
      <c r="A807" t="e">
        <f t="shared" si="95"/>
        <v>#VALUE!</v>
      </c>
      <c r="B807" t="e">
        <f t="shared" si="96"/>
        <v>#VALUE!</v>
      </c>
      <c r="D807" s="21" t="str" cm="1">
        <f t="array" ref="D807">IF(ROWS($D$7:D807)&gt;COUNTIF('[1]U$S'!$H$5:$H$1008,$L$5),"",INDEX(CuentaUS,_xlfn.AGGREGATE(15,6,ROW('[1]U$S'!$H$5:$H$1008)-ROW('[1]U$S'!$O$5)+1/--('[1]U$S'!$H$5:$H$1008=$L$5),ROWS($D$7:D807)),1))</f>
        <v/>
      </c>
      <c r="E807" s="22" t="str" cm="1">
        <f t="array" ref="E807">IF(ROWS($E$7:E807)&gt;COUNTIF('[1]U$S'!$H$5:$H$1008,$L$5),"",INDEX(CuentaUS,_xlfn.AGGREGATE(15,6,ROW('[1]U$S'!$H$5:$H$1008)-ROW('[1]U$S'!$O$5)+1/--('[1]U$S'!$H$5:$H$1008=$L$5),ROWS($E$7:E807)),6))</f>
        <v/>
      </c>
      <c r="F807" s="22" t="str">
        <f>IF(E807="","",IF(E807&gt;0,SUMIFS('[1]UY$'!$L$5:$L$993,'[1]UY$'!$O$5:$O$993,"Cambio",'[1]UY$'!$E$5:$E$993,'Efecto TC'!D807),""))</f>
        <v/>
      </c>
      <c r="G807" s="23" t="str">
        <f t="shared" si="99"/>
        <v/>
      </c>
      <c r="H807" s="22" t="str">
        <f t="shared" si="100"/>
        <v/>
      </c>
      <c r="I807" s="54" t="str">
        <f t="shared" si="97"/>
        <v/>
      </c>
      <c r="R807" s="24" t="e">
        <f t="shared" si="101"/>
        <v>#VALUE!</v>
      </c>
      <c r="S807" s="25" t="e">
        <f t="shared" si="98"/>
        <v>#VALUE!</v>
      </c>
    </row>
    <row r="808" spans="1:19" x14ac:dyDescent="0.25">
      <c r="A808" t="e">
        <f t="shared" si="95"/>
        <v>#VALUE!</v>
      </c>
      <c r="B808" t="e">
        <f t="shared" si="96"/>
        <v>#VALUE!</v>
      </c>
      <c r="D808" s="21" t="str" cm="1">
        <f t="array" ref="D808">IF(ROWS($D$7:D808)&gt;COUNTIF('[1]U$S'!$H$5:$H$1008,$L$5),"",INDEX(CuentaUS,_xlfn.AGGREGATE(15,6,ROW('[1]U$S'!$H$5:$H$1008)-ROW('[1]U$S'!$O$5)+1/--('[1]U$S'!$H$5:$H$1008=$L$5),ROWS($D$7:D808)),1))</f>
        <v/>
      </c>
      <c r="E808" s="22" t="str" cm="1">
        <f t="array" ref="E808">IF(ROWS($E$7:E808)&gt;COUNTIF('[1]U$S'!$H$5:$H$1008,$L$5),"",INDEX(CuentaUS,_xlfn.AGGREGATE(15,6,ROW('[1]U$S'!$H$5:$H$1008)-ROW('[1]U$S'!$O$5)+1/--('[1]U$S'!$H$5:$H$1008=$L$5),ROWS($E$7:E808)),6))</f>
        <v/>
      </c>
      <c r="F808" s="22" t="str">
        <f>IF(E808="","",IF(E808&gt;0,SUMIFS('[1]UY$'!$L$5:$L$993,'[1]UY$'!$O$5:$O$993,"Cambio",'[1]UY$'!$E$5:$E$993,'Efecto TC'!D808),""))</f>
        <v/>
      </c>
      <c r="G808" s="23" t="str">
        <f t="shared" si="99"/>
        <v/>
      </c>
      <c r="H808" s="22" t="str">
        <f t="shared" si="100"/>
        <v/>
      </c>
      <c r="I808" s="54" t="str">
        <f t="shared" si="97"/>
        <v/>
      </c>
      <c r="R808" s="24" t="e">
        <f t="shared" si="101"/>
        <v>#VALUE!</v>
      </c>
      <c r="S808" s="25" t="e">
        <f t="shared" si="98"/>
        <v>#VALUE!</v>
      </c>
    </row>
    <row r="809" spans="1:19" x14ac:dyDescent="0.25">
      <c r="A809" t="e">
        <f t="shared" si="95"/>
        <v>#VALUE!</v>
      </c>
      <c r="B809" t="e">
        <f t="shared" si="96"/>
        <v>#VALUE!</v>
      </c>
      <c r="D809" s="21" t="str" cm="1">
        <f t="array" ref="D809">IF(ROWS($D$7:D809)&gt;COUNTIF('[1]U$S'!$H$5:$H$1008,$L$5),"",INDEX(CuentaUS,_xlfn.AGGREGATE(15,6,ROW('[1]U$S'!$H$5:$H$1008)-ROW('[1]U$S'!$O$5)+1/--('[1]U$S'!$H$5:$H$1008=$L$5),ROWS($D$7:D809)),1))</f>
        <v/>
      </c>
      <c r="E809" s="22" t="str" cm="1">
        <f t="array" ref="E809">IF(ROWS($E$7:E809)&gt;COUNTIF('[1]U$S'!$H$5:$H$1008,$L$5),"",INDEX(CuentaUS,_xlfn.AGGREGATE(15,6,ROW('[1]U$S'!$H$5:$H$1008)-ROW('[1]U$S'!$O$5)+1/--('[1]U$S'!$H$5:$H$1008=$L$5),ROWS($E$7:E809)),6))</f>
        <v/>
      </c>
      <c r="F809" s="22" t="str">
        <f>IF(E809="","",IF(E809&gt;0,SUMIFS('[1]UY$'!$L$5:$L$993,'[1]UY$'!$O$5:$O$993,"Cambio",'[1]UY$'!$E$5:$E$993,'Efecto TC'!D809),""))</f>
        <v/>
      </c>
      <c r="G809" s="23" t="str">
        <f t="shared" si="99"/>
        <v/>
      </c>
      <c r="H809" s="22" t="str">
        <f t="shared" si="100"/>
        <v/>
      </c>
      <c r="I809" s="54" t="str">
        <f t="shared" si="97"/>
        <v/>
      </c>
      <c r="R809" s="24" t="e">
        <f t="shared" si="101"/>
        <v>#VALUE!</v>
      </c>
      <c r="S809" s="25" t="e">
        <f t="shared" si="98"/>
        <v>#VALUE!</v>
      </c>
    </row>
    <row r="810" spans="1:19" x14ac:dyDescent="0.25">
      <c r="A810" t="e">
        <f t="shared" si="95"/>
        <v>#VALUE!</v>
      </c>
      <c r="B810" t="e">
        <f t="shared" si="96"/>
        <v>#VALUE!</v>
      </c>
      <c r="D810" s="21" t="str" cm="1">
        <f t="array" ref="D810">IF(ROWS($D$7:D810)&gt;COUNTIF('[1]U$S'!$H$5:$H$1008,$L$5),"",INDEX(CuentaUS,_xlfn.AGGREGATE(15,6,ROW('[1]U$S'!$H$5:$H$1008)-ROW('[1]U$S'!$O$5)+1/--('[1]U$S'!$H$5:$H$1008=$L$5),ROWS($D$7:D810)),1))</f>
        <v/>
      </c>
      <c r="E810" s="22" t="str" cm="1">
        <f t="array" ref="E810">IF(ROWS($E$7:E810)&gt;COUNTIF('[1]U$S'!$H$5:$H$1008,$L$5),"",INDEX(CuentaUS,_xlfn.AGGREGATE(15,6,ROW('[1]U$S'!$H$5:$H$1008)-ROW('[1]U$S'!$O$5)+1/--('[1]U$S'!$H$5:$H$1008=$L$5),ROWS($E$7:E810)),6))</f>
        <v/>
      </c>
      <c r="F810" s="22" t="str">
        <f>IF(E810="","",IF(E810&gt;0,SUMIFS('[1]UY$'!$L$5:$L$993,'[1]UY$'!$O$5:$O$993,"Cambio",'[1]UY$'!$E$5:$E$993,'Efecto TC'!D810),""))</f>
        <v/>
      </c>
      <c r="G810" s="23" t="str">
        <f t="shared" si="99"/>
        <v/>
      </c>
      <c r="H810" s="22" t="str">
        <f t="shared" si="100"/>
        <v/>
      </c>
      <c r="I810" s="54" t="str">
        <f t="shared" si="97"/>
        <v/>
      </c>
      <c r="R810" s="24" t="e">
        <f t="shared" si="101"/>
        <v>#VALUE!</v>
      </c>
      <c r="S810" s="25" t="e">
        <f t="shared" si="98"/>
        <v>#VALUE!</v>
      </c>
    </row>
    <row r="811" spans="1:19" x14ac:dyDescent="0.25">
      <c r="A811" t="e">
        <f t="shared" si="95"/>
        <v>#VALUE!</v>
      </c>
      <c r="B811" t="e">
        <f t="shared" si="96"/>
        <v>#VALUE!</v>
      </c>
      <c r="D811" s="21" t="str" cm="1">
        <f t="array" ref="D811">IF(ROWS($D$7:D811)&gt;COUNTIF('[1]U$S'!$H$5:$H$1008,$L$5),"",INDEX(CuentaUS,_xlfn.AGGREGATE(15,6,ROW('[1]U$S'!$H$5:$H$1008)-ROW('[1]U$S'!$O$5)+1/--('[1]U$S'!$H$5:$H$1008=$L$5),ROWS($D$7:D811)),1))</f>
        <v/>
      </c>
      <c r="E811" s="22" t="str" cm="1">
        <f t="array" ref="E811">IF(ROWS($E$7:E811)&gt;COUNTIF('[1]U$S'!$H$5:$H$1008,$L$5),"",INDEX(CuentaUS,_xlfn.AGGREGATE(15,6,ROW('[1]U$S'!$H$5:$H$1008)-ROW('[1]U$S'!$O$5)+1/--('[1]U$S'!$H$5:$H$1008=$L$5),ROWS($E$7:E811)),6))</f>
        <v/>
      </c>
      <c r="F811" s="22" t="str">
        <f>IF(E811="","",IF(E811&gt;0,SUMIFS('[1]UY$'!$L$5:$L$993,'[1]UY$'!$O$5:$O$993,"Cambio",'[1]UY$'!$E$5:$E$993,'Efecto TC'!D811),""))</f>
        <v/>
      </c>
      <c r="G811" s="23" t="str">
        <f t="shared" si="99"/>
        <v/>
      </c>
      <c r="H811" s="22" t="str">
        <f t="shared" si="100"/>
        <v/>
      </c>
      <c r="I811" s="54" t="str">
        <f t="shared" si="97"/>
        <v/>
      </c>
      <c r="R811" s="24" t="e">
        <f t="shared" si="101"/>
        <v>#VALUE!</v>
      </c>
      <c r="S811" s="25" t="e">
        <f t="shared" si="98"/>
        <v>#VALUE!</v>
      </c>
    </row>
    <row r="812" spans="1:19" x14ac:dyDescent="0.25">
      <c r="A812" t="e">
        <f t="shared" si="95"/>
        <v>#VALUE!</v>
      </c>
      <c r="B812" t="e">
        <f t="shared" si="96"/>
        <v>#VALUE!</v>
      </c>
      <c r="D812" s="21" t="str" cm="1">
        <f t="array" ref="D812">IF(ROWS($D$7:D812)&gt;COUNTIF('[1]U$S'!$H$5:$H$1008,$L$5),"",INDEX(CuentaUS,_xlfn.AGGREGATE(15,6,ROW('[1]U$S'!$H$5:$H$1008)-ROW('[1]U$S'!$O$5)+1/--('[1]U$S'!$H$5:$H$1008=$L$5),ROWS($D$7:D812)),1))</f>
        <v/>
      </c>
      <c r="E812" s="22" t="str" cm="1">
        <f t="array" ref="E812">IF(ROWS($E$7:E812)&gt;COUNTIF('[1]U$S'!$H$5:$H$1008,$L$5),"",INDEX(CuentaUS,_xlfn.AGGREGATE(15,6,ROW('[1]U$S'!$H$5:$H$1008)-ROW('[1]U$S'!$O$5)+1/--('[1]U$S'!$H$5:$H$1008=$L$5),ROWS($E$7:E812)),6))</f>
        <v/>
      </c>
      <c r="F812" s="22" t="str">
        <f>IF(E812="","",IF(E812&gt;0,SUMIFS('[1]UY$'!$L$5:$L$993,'[1]UY$'!$O$5:$O$993,"Cambio",'[1]UY$'!$E$5:$E$993,'Efecto TC'!D812),""))</f>
        <v/>
      </c>
      <c r="G812" s="23" t="str">
        <f t="shared" si="99"/>
        <v/>
      </c>
      <c r="H812" s="22" t="str">
        <f t="shared" si="100"/>
        <v/>
      </c>
      <c r="I812" s="54" t="str">
        <f t="shared" si="97"/>
        <v/>
      </c>
      <c r="R812" s="24" t="e">
        <f t="shared" si="101"/>
        <v>#VALUE!</v>
      </c>
      <c r="S812" s="25" t="e">
        <f t="shared" si="98"/>
        <v>#VALUE!</v>
      </c>
    </row>
    <row r="813" spans="1:19" x14ac:dyDescent="0.25">
      <c r="A813" t="e">
        <f t="shared" si="95"/>
        <v>#VALUE!</v>
      </c>
      <c r="B813" t="e">
        <f t="shared" si="96"/>
        <v>#VALUE!</v>
      </c>
      <c r="D813" s="21" t="str" cm="1">
        <f t="array" ref="D813">IF(ROWS($D$7:D813)&gt;COUNTIF('[1]U$S'!$H$5:$H$1008,$L$5),"",INDEX(CuentaUS,_xlfn.AGGREGATE(15,6,ROW('[1]U$S'!$H$5:$H$1008)-ROW('[1]U$S'!$O$5)+1/--('[1]U$S'!$H$5:$H$1008=$L$5),ROWS($D$7:D813)),1))</f>
        <v/>
      </c>
      <c r="E813" s="22" t="str" cm="1">
        <f t="array" ref="E813">IF(ROWS($E$7:E813)&gt;COUNTIF('[1]U$S'!$H$5:$H$1008,$L$5),"",INDEX(CuentaUS,_xlfn.AGGREGATE(15,6,ROW('[1]U$S'!$H$5:$H$1008)-ROW('[1]U$S'!$O$5)+1/--('[1]U$S'!$H$5:$H$1008=$L$5),ROWS($E$7:E813)),6))</f>
        <v/>
      </c>
      <c r="F813" s="22" t="str">
        <f>IF(E813="","",IF(E813&gt;0,SUMIFS('[1]UY$'!$L$5:$L$993,'[1]UY$'!$O$5:$O$993,"Cambio",'[1]UY$'!$E$5:$E$993,'Efecto TC'!D813),""))</f>
        <v/>
      </c>
      <c r="G813" s="23" t="str">
        <f t="shared" si="99"/>
        <v/>
      </c>
      <c r="H813" s="22" t="str">
        <f t="shared" si="100"/>
        <v/>
      </c>
      <c r="I813" s="54" t="str">
        <f t="shared" si="97"/>
        <v/>
      </c>
      <c r="R813" s="24" t="e">
        <f t="shared" si="101"/>
        <v>#VALUE!</v>
      </c>
      <c r="S813" s="25" t="e">
        <f t="shared" si="98"/>
        <v>#VALUE!</v>
      </c>
    </row>
    <row r="814" spans="1:19" x14ac:dyDescent="0.25">
      <c r="A814" t="e">
        <f t="shared" si="95"/>
        <v>#VALUE!</v>
      </c>
      <c r="B814" t="e">
        <f t="shared" si="96"/>
        <v>#VALUE!</v>
      </c>
      <c r="D814" s="21" t="str" cm="1">
        <f t="array" ref="D814">IF(ROWS($D$7:D814)&gt;COUNTIF('[1]U$S'!$H$5:$H$1008,$L$5),"",INDEX(CuentaUS,_xlfn.AGGREGATE(15,6,ROW('[1]U$S'!$H$5:$H$1008)-ROW('[1]U$S'!$O$5)+1/--('[1]U$S'!$H$5:$H$1008=$L$5),ROWS($D$7:D814)),1))</f>
        <v/>
      </c>
      <c r="E814" s="22" t="str" cm="1">
        <f t="array" ref="E814">IF(ROWS($E$7:E814)&gt;COUNTIF('[1]U$S'!$H$5:$H$1008,$L$5),"",INDEX(CuentaUS,_xlfn.AGGREGATE(15,6,ROW('[1]U$S'!$H$5:$H$1008)-ROW('[1]U$S'!$O$5)+1/--('[1]U$S'!$H$5:$H$1008=$L$5),ROWS($E$7:E814)),6))</f>
        <v/>
      </c>
      <c r="F814" s="22" t="str">
        <f>IF(E814="","",IF(E814&gt;0,SUMIFS('[1]UY$'!$L$5:$L$993,'[1]UY$'!$O$5:$O$993,"Cambio",'[1]UY$'!$E$5:$E$993,'Efecto TC'!D814),""))</f>
        <v/>
      </c>
      <c r="G814" s="23" t="str">
        <f t="shared" si="99"/>
        <v/>
      </c>
      <c r="H814" s="22" t="str">
        <f t="shared" si="100"/>
        <v/>
      </c>
      <c r="I814" s="54" t="str">
        <f t="shared" si="97"/>
        <v/>
      </c>
      <c r="R814" s="24" t="e">
        <f t="shared" si="101"/>
        <v>#VALUE!</v>
      </c>
      <c r="S814" s="25" t="e">
        <f t="shared" si="98"/>
        <v>#VALUE!</v>
      </c>
    </row>
    <row r="815" spans="1:19" x14ac:dyDescent="0.25">
      <c r="A815" t="e">
        <f t="shared" si="95"/>
        <v>#VALUE!</v>
      </c>
      <c r="B815" t="e">
        <f t="shared" si="96"/>
        <v>#VALUE!</v>
      </c>
      <c r="D815" s="21" t="str" cm="1">
        <f t="array" ref="D815">IF(ROWS($D$7:D815)&gt;COUNTIF('[1]U$S'!$H$5:$H$1008,$L$5),"",INDEX(CuentaUS,_xlfn.AGGREGATE(15,6,ROW('[1]U$S'!$H$5:$H$1008)-ROW('[1]U$S'!$O$5)+1/--('[1]U$S'!$H$5:$H$1008=$L$5),ROWS($D$7:D815)),1))</f>
        <v/>
      </c>
      <c r="E815" s="22" t="str" cm="1">
        <f t="array" ref="E815">IF(ROWS($E$7:E815)&gt;COUNTIF('[1]U$S'!$H$5:$H$1008,$L$5),"",INDEX(CuentaUS,_xlfn.AGGREGATE(15,6,ROW('[1]U$S'!$H$5:$H$1008)-ROW('[1]U$S'!$O$5)+1/--('[1]U$S'!$H$5:$H$1008=$L$5),ROWS($E$7:E815)),6))</f>
        <v/>
      </c>
      <c r="F815" s="22" t="str">
        <f>IF(E815="","",IF(E815&gt;0,SUMIFS('[1]UY$'!$L$5:$L$993,'[1]UY$'!$O$5:$O$993,"Cambio",'[1]UY$'!$E$5:$E$993,'Efecto TC'!D815),""))</f>
        <v/>
      </c>
      <c r="G815" s="23" t="str">
        <f t="shared" si="99"/>
        <v/>
      </c>
      <c r="H815" s="22" t="str">
        <f t="shared" si="100"/>
        <v/>
      </c>
      <c r="I815" s="54" t="str">
        <f t="shared" si="97"/>
        <v/>
      </c>
      <c r="R815" s="24" t="e">
        <f t="shared" si="101"/>
        <v>#VALUE!</v>
      </c>
      <c r="S815" s="25" t="e">
        <f t="shared" si="98"/>
        <v>#VALUE!</v>
      </c>
    </row>
    <row r="816" spans="1:19" x14ac:dyDescent="0.25">
      <c r="A816" t="e">
        <f t="shared" si="95"/>
        <v>#VALUE!</v>
      </c>
      <c r="B816" t="e">
        <f t="shared" si="96"/>
        <v>#VALUE!</v>
      </c>
      <c r="D816" s="21" t="str" cm="1">
        <f t="array" ref="D816">IF(ROWS($D$7:D816)&gt;COUNTIF('[1]U$S'!$H$5:$H$1008,$L$5),"",INDEX(CuentaUS,_xlfn.AGGREGATE(15,6,ROW('[1]U$S'!$H$5:$H$1008)-ROW('[1]U$S'!$O$5)+1/--('[1]U$S'!$H$5:$H$1008=$L$5),ROWS($D$7:D816)),1))</f>
        <v/>
      </c>
      <c r="E816" s="22" t="str" cm="1">
        <f t="array" ref="E816">IF(ROWS($E$7:E816)&gt;COUNTIF('[1]U$S'!$H$5:$H$1008,$L$5),"",INDEX(CuentaUS,_xlfn.AGGREGATE(15,6,ROW('[1]U$S'!$H$5:$H$1008)-ROW('[1]U$S'!$O$5)+1/--('[1]U$S'!$H$5:$H$1008=$L$5),ROWS($E$7:E816)),6))</f>
        <v/>
      </c>
      <c r="F816" s="22" t="str">
        <f>IF(E816="","",IF(E816&gt;0,SUMIFS('[1]UY$'!$L$5:$L$993,'[1]UY$'!$O$5:$O$993,"Cambio",'[1]UY$'!$E$5:$E$993,'Efecto TC'!D816),""))</f>
        <v/>
      </c>
      <c r="G816" s="23" t="str">
        <f t="shared" si="99"/>
        <v/>
      </c>
      <c r="H816" s="22" t="str">
        <f t="shared" si="100"/>
        <v/>
      </c>
      <c r="I816" s="54" t="str">
        <f t="shared" si="97"/>
        <v/>
      </c>
      <c r="R816" s="24" t="e">
        <f t="shared" si="101"/>
        <v>#VALUE!</v>
      </c>
      <c r="S816" s="25" t="e">
        <f t="shared" si="98"/>
        <v>#VALUE!</v>
      </c>
    </row>
    <row r="817" spans="1:19" x14ac:dyDescent="0.25">
      <c r="A817" t="e">
        <f t="shared" si="95"/>
        <v>#VALUE!</v>
      </c>
      <c r="B817" t="e">
        <f t="shared" si="96"/>
        <v>#VALUE!</v>
      </c>
      <c r="D817" s="21" t="str" cm="1">
        <f t="array" ref="D817">IF(ROWS($D$7:D817)&gt;COUNTIF('[1]U$S'!$H$5:$H$1008,$L$5),"",INDEX(CuentaUS,_xlfn.AGGREGATE(15,6,ROW('[1]U$S'!$H$5:$H$1008)-ROW('[1]U$S'!$O$5)+1/--('[1]U$S'!$H$5:$H$1008=$L$5),ROWS($D$7:D817)),1))</f>
        <v/>
      </c>
      <c r="E817" s="22" t="str" cm="1">
        <f t="array" ref="E817">IF(ROWS($E$7:E817)&gt;COUNTIF('[1]U$S'!$H$5:$H$1008,$L$5),"",INDEX(CuentaUS,_xlfn.AGGREGATE(15,6,ROW('[1]U$S'!$H$5:$H$1008)-ROW('[1]U$S'!$O$5)+1/--('[1]U$S'!$H$5:$H$1008=$L$5),ROWS($E$7:E817)),6))</f>
        <v/>
      </c>
      <c r="F817" s="22" t="str">
        <f>IF(E817="","",IF(E817&gt;0,SUMIFS('[1]UY$'!$L$5:$L$993,'[1]UY$'!$O$5:$O$993,"Cambio",'[1]UY$'!$E$5:$E$993,'Efecto TC'!D817),""))</f>
        <v/>
      </c>
      <c r="G817" s="23" t="str">
        <f t="shared" si="99"/>
        <v/>
      </c>
      <c r="H817" s="22" t="str">
        <f t="shared" si="100"/>
        <v/>
      </c>
      <c r="I817" s="54" t="str">
        <f t="shared" si="97"/>
        <v/>
      </c>
      <c r="R817" s="24" t="e">
        <f t="shared" si="101"/>
        <v>#VALUE!</v>
      </c>
      <c r="S817" s="25" t="e">
        <f t="shared" si="98"/>
        <v>#VALUE!</v>
      </c>
    </row>
    <row r="818" spans="1:19" x14ac:dyDescent="0.25">
      <c r="A818" t="e">
        <f t="shared" si="95"/>
        <v>#VALUE!</v>
      </c>
      <c r="B818" t="e">
        <f t="shared" si="96"/>
        <v>#VALUE!</v>
      </c>
      <c r="D818" s="21" t="str" cm="1">
        <f t="array" ref="D818">IF(ROWS($D$7:D818)&gt;COUNTIF('[1]U$S'!$H$5:$H$1008,$L$5),"",INDEX(CuentaUS,_xlfn.AGGREGATE(15,6,ROW('[1]U$S'!$H$5:$H$1008)-ROW('[1]U$S'!$O$5)+1/--('[1]U$S'!$H$5:$H$1008=$L$5),ROWS($D$7:D818)),1))</f>
        <v/>
      </c>
      <c r="E818" s="22" t="str" cm="1">
        <f t="array" ref="E818">IF(ROWS($E$7:E818)&gt;COUNTIF('[1]U$S'!$H$5:$H$1008,$L$5),"",INDEX(CuentaUS,_xlfn.AGGREGATE(15,6,ROW('[1]U$S'!$H$5:$H$1008)-ROW('[1]U$S'!$O$5)+1/--('[1]U$S'!$H$5:$H$1008=$L$5),ROWS($E$7:E818)),6))</f>
        <v/>
      </c>
      <c r="F818" s="22" t="str">
        <f>IF(E818="","",IF(E818&gt;0,SUMIFS('[1]UY$'!$L$5:$L$993,'[1]UY$'!$O$5:$O$993,"Cambio",'[1]UY$'!$E$5:$E$993,'Efecto TC'!D818),""))</f>
        <v/>
      </c>
      <c r="G818" s="23" t="str">
        <f t="shared" si="99"/>
        <v/>
      </c>
      <c r="H818" s="22" t="str">
        <f t="shared" si="100"/>
        <v/>
      </c>
      <c r="I818" s="54" t="str">
        <f t="shared" si="97"/>
        <v/>
      </c>
      <c r="R818" s="24" t="e">
        <f t="shared" si="101"/>
        <v>#VALUE!</v>
      </c>
      <c r="S818" s="25" t="e">
        <f t="shared" si="98"/>
        <v>#VALUE!</v>
      </c>
    </row>
    <row r="819" spans="1:19" x14ac:dyDescent="0.25">
      <c r="A819" t="e">
        <f t="shared" si="95"/>
        <v>#VALUE!</v>
      </c>
      <c r="B819" t="e">
        <f t="shared" si="96"/>
        <v>#VALUE!</v>
      </c>
      <c r="D819" s="21" t="str" cm="1">
        <f t="array" ref="D819">IF(ROWS($D$7:D819)&gt;COUNTIF('[1]U$S'!$H$5:$H$1008,$L$5),"",INDEX(CuentaUS,_xlfn.AGGREGATE(15,6,ROW('[1]U$S'!$H$5:$H$1008)-ROW('[1]U$S'!$O$5)+1/--('[1]U$S'!$H$5:$H$1008=$L$5),ROWS($D$7:D819)),1))</f>
        <v/>
      </c>
      <c r="E819" s="22" t="str" cm="1">
        <f t="array" ref="E819">IF(ROWS($E$7:E819)&gt;COUNTIF('[1]U$S'!$H$5:$H$1008,$L$5),"",INDEX(CuentaUS,_xlfn.AGGREGATE(15,6,ROW('[1]U$S'!$H$5:$H$1008)-ROW('[1]U$S'!$O$5)+1/--('[1]U$S'!$H$5:$H$1008=$L$5),ROWS($E$7:E819)),6))</f>
        <v/>
      </c>
      <c r="F819" s="22" t="str">
        <f>IF(E819="","",IF(E819&gt;0,SUMIFS('[1]UY$'!$L$5:$L$993,'[1]UY$'!$O$5:$O$993,"Cambio",'[1]UY$'!$E$5:$E$993,'Efecto TC'!D819),""))</f>
        <v/>
      </c>
      <c r="G819" s="23" t="str">
        <f t="shared" si="99"/>
        <v/>
      </c>
      <c r="H819" s="22" t="str">
        <f t="shared" si="100"/>
        <v/>
      </c>
      <c r="I819" s="54" t="str">
        <f t="shared" si="97"/>
        <v/>
      </c>
      <c r="R819" s="24" t="e">
        <f t="shared" si="101"/>
        <v>#VALUE!</v>
      </c>
      <c r="S819" s="25" t="e">
        <f t="shared" si="98"/>
        <v>#VALUE!</v>
      </c>
    </row>
    <row r="820" spans="1:19" x14ac:dyDescent="0.25">
      <c r="A820" t="e">
        <f t="shared" si="95"/>
        <v>#VALUE!</v>
      </c>
      <c r="B820" t="e">
        <f t="shared" si="96"/>
        <v>#VALUE!</v>
      </c>
      <c r="D820" s="21" t="str" cm="1">
        <f t="array" ref="D820">IF(ROWS($D$7:D820)&gt;COUNTIF('[1]U$S'!$H$5:$H$1008,$L$5),"",INDEX(CuentaUS,_xlfn.AGGREGATE(15,6,ROW('[1]U$S'!$H$5:$H$1008)-ROW('[1]U$S'!$O$5)+1/--('[1]U$S'!$H$5:$H$1008=$L$5),ROWS($D$7:D820)),1))</f>
        <v/>
      </c>
      <c r="E820" s="22" t="str" cm="1">
        <f t="array" ref="E820">IF(ROWS($E$7:E820)&gt;COUNTIF('[1]U$S'!$H$5:$H$1008,$L$5),"",INDEX(CuentaUS,_xlfn.AGGREGATE(15,6,ROW('[1]U$S'!$H$5:$H$1008)-ROW('[1]U$S'!$O$5)+1/--('[1]U$S'!$H$5:$H$1008=$L$5),ROWS($E$7:E820)),6))</f>
        <v/>
      </c>
      <c r="F820" s="22" t="str">
        <f>IF(E820="","",IF(E820&gt;0,SUMIFS('[1]UY$'!$L$5:$L$993,'[1]UY$'!$O$5:$O$993,"Cambio",'[1]UY$'!$E$5:$E$993,'Efecto TC'!D820),""))</f>
        <v/>
      </c>
      <c r="G820" s="23" t="str">
        <f t="shared" si="99"/>
        <v/>
      </c>
      <c r="H820" s="22" t="str">
        <f t="shared" si="100"/>
        <v/>
      </c>
      <c r="I820" s="54" t="str">
        <f t="shared" si="97"/>
        <v/>
      </c>
      <c r="R820" s="24" t="e">
        <f t="shared" si="101"/>
        <v>#VALUE!</v>
      </c>
      <c r="S820" s="25" t="e">
        <f t="shared" si="98"/>
        <v>#VALUE!</v>
      </c>
    </row>
    <row r="821" spans="1:19" x14ac:dyDescent="0.25">
      <c r="A821" t="e">
        <f t="shared" si="95"/>
        <v>#VALUE!</v>
      </c>
      <c r="B821" t="e">
        <f t="shared" si="96"/>
        <v>#VALUE!</v>
      </c>
      <c r="D821" s="21" t="str" cm="1">
        <f t="array" ref="D821">IF(ROWS($D$7:D821)&gt;COUNTIF('[1]U$S'!$H$5:$H$1008,$L$5),"",INDEX(CuentaUS,_xlfn.AGGREGATE(15,6,ROW('[1]U$S'!$H$5:$H$1008)-ROW('[1]U$S'!$O$5)+1/--('[1]U$S'!$H$5:$H$1008=$L$5),ROWS($D$7:D821)),1))</f>
        <v/>
      </c>
      <c r="E821" s="22" t="str" cm="1">
        <f t="array" ref="E821">IF(ROWS($E$7:E821)&gt;COUNTIF('[1]U$S'!$H$5:$H$1008,$L$5),"",INDEX(CuentaUS,_xlfn.AGGREGATE(15,6,ROW('[1]U$S'!$H$5:$H$1008)-ROW('[1]U$S'!$O$5)+1/--('[1]U$S'!$H$5:$H$1008=$L$5),ROWS($E$7:E821)),6))</f>
        <v/>
      </c>
      <c r="F821" s="22" t="str">
        <f>IF(E821="","",IF(E821&gt;0,SUMIFS('[1]UY$'!$L$5:$L$993,'[1]UY$'!$O$5:$O$993,"Cambio",'[1]UY$'!$E$5:$E$993,'Efecto TC'!D821),""))</f>
        <v/>
      </c>
      <c r="G821" s="23" t="str">
        <f t="shared" si="99"/>
        <v/>
      </c>
      <c r="H821" s="22" t="str">
        <f t="shared" si="100"/>
        <v/>
      </c>
      <c r="I821" s="54" t="str">
        <f t="shared" si="97"/>
        <v/>
      </c>
      <c r="R821" s="24" t="e">
        <f t="shared" si="101"/>
        <v>#VALUE!</v>
      </c>
      <c r="S821" s="25" t="e">
        <f t="shared" si="98"/>
        <v>#VALUE!</v>
      </c>
    </row>
    <row r="822" spans="1:19" x14ac:dyDescent="0.25">
      <c r="A822" t="e">
        <f t="shared" si="95"/>
        <v>#VALUE!</v>
      </c>
      <c r="B822" t="e">
        <f t="shared" si="96"/>
        <v>#VALUE!</v>
      </c>
      <c r="D822" s="21" t="str" cm="1">
        <f t="array" ref="D822">IF(ROWS($D$7:D822)&gt;COUNTIF('[1]U$S'!$H$5:$H$1008,$L$5),"",INDEX(CuentaUS,_xlfn.AGGREGATE(15,6,ROW('[1]U$S'!$H$5:$H$1008)-ROW('[1]U$S'!$O$5)+1/--('[1]U$S'!$H$5:$H$1008=$L$5),ROWS($D$7:D822)),1))</f>
        <v/>
      </c>
      <c r="E822" s="22" t="str" cm="1">
        <f t="array" ref="E822">IF(ROWS($E$7:E822)&gt;COUNTIF('[1]U$S'!$H$5:$H$1008,$L$5),"",INDEX(CuentaUS,_xlfn.AGGREGATE(15,6,ROW('[1]U$S'!$H$5:$H$1008)-ROW('[1]U$S'!$O$5)+1/--('[1]U$S'!$H$5:$H$1008=$L$5),ROWS($E$7:E822)),6))</f>
        <v/>
      </c>
      <c r="F822" s="22" t="str">
        <f>IF(E822="","",IF(E822&gt;0,SUMIFS('[1]UY$'!$L$5:$L$993,'[1]UY$'!$O$5:$O$993,"Cambio",'[1]UY$'!$E$5:$E$993,'Efecto TC'!D822),""))</f>
        <v/>
      </c>
      <c r="G822" s="23" t="str">
        <f t="shared" si="99"/>
        <v/>
      </c>
      <c r="H822" s="22" t="str">
        <f t="shared" si="100"/>
        <v/>
      </c>
      <c r="I822" s="54" t="str">
        <f t="shared" si="97"/>
        <v/>
      </c>
      <c r="R822" s="24" t="e">
        <f t="shared" si="101"/>
        <v>#VALUE!</v>
      </c>
      <c r="S822" s="25" t="e">
        <f t="shared" si="98"/>
        <v>#VALUE!</v>
      </c>
    </row>
    <row r="823" spans="1:19" x14ac:dyDescent="0.25">
      <c r="A823" t="e">
        <f t="shared" si="95"/>
        <v>#VALUE!</v>
      </c>
      <c r="B823" t="e">
        <f t="shared" si="96"/>
        <v>#VALUE!</v>
      </c>
      <c r="D823" s="21" t="str" cm="1">
        <f t="array" ref="D823">IF(ROWS($D$7:D823)&gt;COUNTIF('[1]U$S'!$H$5:$H$1008,$L$5),"",INDEX(CuentaUS,_xlfn.AGGREGATE(15,6,ROW('[1]U$S'!$H$5:$H$1008)-ROW('[1]U$S'!$O$5)+1/--('[1]U$S'!$H$5:$H$1008=$L$5),ROWS($D$7:D823)),1))</f>
        <v/>
      </c>
      <c r="E823" s="22" t="str" cm="1">
        <f t="array" ref="E823">IF(ROWS($E$7:E823)&gt;COUNTIF('[1]U$S'!$H$5:$H$1008,$L$5),"",INDEX(CuentaUS,_xlfn.AGGREGATE(15,6,ROW('[1]U$S'!$H$5:$H$1008)-ROW('[1]U$S'!$O$5)+1/--('[1]U$S'!$H$5:$H$1008=$L$5),ROWS($E$7:E823)),6))</f>
        <v/>
      </c>
      <c r="F823" s="22" t="str">
        <f>IF(E823="","",IF(E823&gt;0,SUMIFS('[1]UY$'!$L$5:$L$993,'[1]UY$'!$O$5:$O$993,"Cambio",'[1]UY$'!$E$5:$E$993,'Efecto TC'!D823),""))</f>
        <v/>
      </c>
      <c r="G823" s="23" t="str">
        <f t="shared" si="99"/>
        <v/>
      </c>
      <c r="H823" s="22" t="str">
        <f t="shared" si="100"/>
        <v/>
      </c>
      <c r="I823" s="54" t="str">
        <f t="shared" si="97"/>
        <v/>
      </c>
      <c r="R823" s="24" t="e">
        <f t="shared" si="101"/>
        <v>#VALUE!</v>
      </c>
      <c r="S823" s="25" t="e">
        <f t="shared" si="98"/>
        <v>#VALUE!</v>
      </c>
    </row>
    <row r="824" spans="1:19" x14ac:dyDescent="0.25">
      <c r="A824" t="e">
        <f t="shared" si="95"/>
        <v>#VALUE!</v>
      </c>
      <c r="B824" t="e">
        <f t="shared" si="96"/>
        <v>#VALUE!</v>
      </c>
      <c r="D824" s="21" t="str" cm="1">
        <f t="array" ref="D824">IF(ROWS($D$7:D824)&gt;COUNTIF('[1]U$S'!$H$5:$H$1008,$L$5),"",INDEX(CuentaUS,_xlfn.AGGREGATE(15,6,ROW('[1]U$S'!$H$5:$H$1008)-ROW('[1]U$S'!$O$5)+1/--('[1]U$S'!$H$5:$H$1008=$L$5),ROWS($D$7:D824)),1))</f>
        <v/>
      </c>
      <c r="E824" s="22" t="str" cm="1">
        <f t="array" ref="E824">IF(ROWS($E$7:E824)&gt;COUNTIF('[1]U$S'!$H$5:$H$1008,$L$5),"",INDEX(CuentaUS,_xlfn.AGGREGATE(15,6,ROW('[1]U$S'!$H$5:$H$1008)-ROW('[1]U$S'!$O$5)+1/--('[1]U$S'!$H$5:$H$1008=$L$5),ROWS($E$7:E824)),6))</f>
        <v/>
      </c>
      <c r="F824" s="22" t="str">
        <f>IF(E824="","",IF(E824&gt;0,SUMIFS('[1]UY$'!$L$5:$L$993,'[1]UY$'!$O$5:$O$993,"Cambio",'[1]UY$'!$E$5:$E$993,'Efecto TC'!D824),""))</f>
        <v/>
      </c>
      <c r="G824" s="23" t="str">
        <f t="shared" si="99"/>
        <v/>
      </c>
      <c r="H824" s="22" t="str">
        <f t="shared" si="100"/>
        <v/>
      </c>
      <c r="I824" s="54" t="str">
        <f t="shared" si="97"/>
        <v/>
      </c>
      <c r="R824" s="24" t="e">
        <f t="shared" si="101"/>
        <v>#VALUE!</v>
      </c>
      <c r="S824" s="25" t="e">
        <f t="shared" si="98"/>
        <v>#VALUE!</v>
      </c>
    </row>
    <row r="825" spans="1:19" x14ac:dyDescent="0.25">
      <c r="A825" t="e">
        <f t="shared" si="95"/>
        <v>#VALUE!</v>
      </c>
      <c r="B825" t="e">
        <f t="shared" si="96"/>
        <v>#VALUE!</v>
      </c>
      <c r="D825" s="21" t="str" cm="1">
        <f t="array" ref="D825">IF(ROWS($D$7:D825)&gt;COUNTIF('[1]U$S'!$H$5:$H$1008,$L$5),"",INDEX(CuentaUS,_xlfn.AGGREGATE(15,6,ROW('[1]U$S'!$H$5:$H$1008)-ROW('[1]U$S'!$O$5)+1/--('[1]U$S'!$H$5:$H$1008=$L$5),ROWS($D$7:D825)),1))</f>
        <v/>
      </c>
      <c r="E825" s="22" t="str" cm="1">
        <f t="array" ref="E825">IF(ROWS($E$7:E825)&gt;COUNTIF('[1]U$S'!$H$5:$H$1008,$L$5),"",INDEX(CuentaUS,_xlfn.AGGREGATE(15,6,ROW('[1]U$S'!$H$5:$H$1008)-ROW('[1]U$S'!$O$5)+1/--('[1]U$S'!$H$5:$H$1008=$L$5),ROWS($E$7:E825)),6))</f>
        <v/>
      </c>
      <c r="F825" s="22" t="str">
        <f>IF(E825="","",IF(E825&gt;0,SUMIFS('[1]UY$'!$L$5:$L$993,'[1]UY$'!$O$5:$O$993,"Cambio",'[1]UY$'!$E$5:$E$993,'Efecto TC'!D825),""))</f>
        <v/>
      </c>
      <c r="G825" s="23" t="str">
        <f t="shared" si="99"/>
        <v/>
      </c>
      <c r="H825" s="22" t="str">
        <f t="shared" si="100"/>
        <v/>
      </c>
      <c r="I825" s="54" t="str">
        <f t="shared" si="97"/>
        <v/>
      </c>
      <c r="R825" s="24" t="e">
        <f t="shared" si="101"/>
        <v>#VALUE!</v>
      </c>
      <c r="S825" s="25" t="e">
        <f t="shared" si="98"/>
        <v>#VALUE!</v>
      </c>
    </row>
    <row r="826" spans="1:19" x14ac:dyDescent="0.25">
      <c r="A826" t="e">
        <f t="shared" si="95"/>
        <v>#VALUE!</v>
      </c>
      <c r="B826" t="e">
        <f t="shared" si="96"/>
        <v>#VALUE!</v>
      </c>
      <c r="D826" s="21" t="str" cm="1">
        <f t="array" ref="D826">IF(ROWS($D$7:D826)&gt;COUNTIF('[1]U$S'!$H$5:$H$1008,$L$5),"",INDEX(CuentaUS,_xlfn.AGGREGATE(15,6,ROW('[1]U$S'!$H$5:$H$1008)-ROW('[1]U$S'!$O$5)+1/--('[1]U$S'!$H$5:$H$1008=$L$5),ROWS($D$7:D826)),1))</f>
        <v/>
      </c>
      <c r="E826" s="22" t="str" cm="1">
        <f t="array" ref="E826">IF(ROWS($E$7:E826)&gt;COUNTIF('[1]U$S'!$H$5:$H$1008,$L$5),"",INDEX(CuentaUS,_xlfn.AGGREGATE(15,6,ROW('[1]U$S'!$H$5:$H$1008)-ROW('[1]U$S'!$O$5)+1/--('[1]U$S'!$H$5:$H$1008=$L$5),ROWS($E$7:E826)),6))</f>
        <v/>
      </c>
      <c r="F826" s="22" t="str">
        <f>IF(E826="","",IF(E826&gt;0,SUMIFS('[1]UY$'!$L$5:$L$993,'[1]UY$'!$O$5:$O$993,"Cambio",'[1]UY$'!$E$5:$E$993,'Efecto TC'!D826),""))</f>
        <v/>
      </c>
      <c r="G826" s="23" t="str">
        <f t="shared" si="99"/>
        <v/>
      </c>
      <c r="H826" s="22" t="str">
        <f t="shared" si="100"/>
        <v/>
      </c>
      <c r="I826" s="54" t="str">
        <f t="shared" si="97"/>
        <v/>
      </c>
      <c r="R826" s="24" t="e">
        <f t="shared" si="101"/>
        <v>#VALUE!</v>
      </c>
      <c r="S826" s="25" t="e">
        <f t="shared" si="98"/>
        <v>#VALUE!</v>
      </c>
    </row>
    <row r="827" spans="1:19" x14ac:dyDescent="0.25">
      <c r="A827" t="e">
        <f t="shared" si="95"/>
        <v>#VALUE!</v>
      </c>
      <c r="B827" t="e">
        <f t="shared" si="96"/>
        <v>#VALUE!</v>
      </c>
      <c r="D827" s="21" t="str" cm="1">
        <f t="array" ref="D827">IF(ROWS($D$7:D827)&gt;COUNTIF('[1]U$S'!$H$5:$H$1008,$L$5),"",INDEX(CuentaUS,_xlfn.AGGREGATE(15,6,ROW('[1]U$S'!$H$5:$H$1008)-ROW('[1]U$S'!$O$5)+1/--('[1]U$S'!$H$5:$H$1008=$L$5),ROWS($D$7:D827)),1))</f>
        <v/>
      </c>
      <c r="E827" s="22" t="str" cm="1">
        <f t="array" ref="E827">IF(ROWS($E$7:E827)&gt;COUNTIF('[1]U$S'!$H$5:$H$1008,$L$5),"",INDEX(CuentaUS,_xlfn.AGGREGATE(15,6,ROW('[1]U$S'!$H$5:$H$1008)-ROW('[1]U$S'!$O$5)+1/--('[1]U$S'!$H$5:$H$1008=$L$5),ROWS($E$7:E827)),6))</f>
        <v/>
      </c>
      <c r="F827" s="22" t="str">
        <f>IF(E827="","",IF(E827&gt;0,SUMIFS('[1]UY$'!$L$5:$L$993,'[1]UY$'!$O$5:$O$993,"Cambio",'[1]UY$'!$E$5:$E$993,'Efecto TC'!D827),""))</f>
        <v/>
      </c>
      <c r="G827" s="23" t="str">
        <f t="shared" si="99"/>
        <v/>
      </c>
      <c r="H827" s="22" t="str">
        <f t="shared" si="100"/>
        <v/>
      </c>
      <c r="I827" s="54" t="str">
        <f t="shared" si="97"/>
        <v/>
      </c>
      <c r="R827" s="24" t="e">
        <f t="shared" si="101"/>
        <v>#VALUE!</v>
      </c>
      <c r="S827" s="25" t="e">
        <f t="shared" si="98"/>
        <v>#VALUE!</v>
      </c>
    </row>
    <row r="828" spans="1:19" x14ac:dyDescent="0.25">
      <c r="A828" t="e">
        <f t="shared" si="95"/>
        <v>#VALUE!</v>
      </c>
      <c r="B828" t="e">
        <f t="shared" si="96"/>
        <v>#VALUE!</v>
      </c>
      <c r="D828" s="21" t="str" cm="1">
        <f t="array" ref="D828">IF(ROWS($D$7:D828)&gt;COUNTIF('[1]U$S'!$H$5:$H$1008,$L$5),"",INDEX(CuentaUS,_xlfn.AGGREGATE(15,6,ROW('[1]U$S'!$H$5:$H$1008)-ROW('[1]U$S'!$O$5)+1/--('[1]U$S'!$H$5:$H$1008=$L$5),ROWS($D$7:D828)),1))</f>
        <v/>
      </c>
      <c r="E828" s="22" t="str" cm="1">
        <f t="array" ref="E828">IF(ROWS($E$7:E828)&gt;COUNTIF('[1]U$S'!$H$5:$H$1008,$L$5),"",INDEX(CuentaUS,_xlfn.AGGREGATE(15,6,ROW('[1]U$S'!$H$5:$H$1008)-ROW('[1]U$S'!$O$5)+1/--('[1]U$S'!$H$5:$H$1008=$L$5),ROWS($E$7:E828)),6))</f>
        <v/>
      </c>
      <c r="F828" s="22" t="str">
        <f>IF(E828="","",IF(E828&gt;0,SUMIFS('[1]UY$'!$L$5:$L$993,'[1]UY$'!$O$5:$O$993,"Cambio",'[1]UY$'!$E$5:$E$993,'Efecto TC'!D828),""))</f>
        <v/>
      </c>
      <c r="G828" s="23" t="str">
        <f t="shared" si="99"/>
        <v/>
      </c>
      <c r="H828" s="22" t="str">
        <f t="shared" si="100"/>
        <v/>
      </c>
      <c r="I828" s="54" t="str">
        <f t="shared" si="97"/>
        <v/>
      </c>
      <c r="R828" s="24" t="e">
        <f t="shared" si="101"/>
        <v>#VALUE!</v>
      </c>
      <c r="S828" s="25" t="e">
        <f t="shared" si="98"/>
        <v>#VALUE!</v>
      </c>
    </row>
    <row r="829" spans="1:19" x14ac:dyDescent="0.25">
      <c r="A829" t="e">
        <f t="shared" si="95"/>
        <v>#VALUE!</v>
      </c>
      <c r="B829" t="e">
        <f t="shared" si="96"/>
        <v>#VALUE!</v>
      </c>
      <c r="D829" s="21" t="str" cm="1">
        <f t="array" ref="D829">IF(ROWS($D$7:D829)&gt;COUNTIF('[1]U$S'!$H$5:$H$1008,$L$5),"",INDEX(CuentaUS,_xlfn.AGGREGATE(15,6,ROW('[1]U$S'!$H$5:$H$1008)-ROW('[1]U$S'!$O$5)+1/--('[1]U$S'!$H$5:$H$1008=$L$5),ROWS($D$7:D829)),1))</f>
        <v/>
      </c>
      <c r="E829" s="22" t="str" cm="1">
        <f t="array" ref="E829">IF(ROWS($E$7:E829)&gt;COUNTIF('[1]U$S'!$H$5:$H$1008,$L$5),"",INDEX(CuentaUS,_xlfn.AGGREGATE(15,6,ROW('[1]U$S'!$H$5:$H$1008)-ROW('[1]U$S'!$O$5)+1/--('[1]U$S'!$H$5:$H$1008=$L$5),ROWS($E$7:E829)),6))</f>
        <v/>
      </c>
      <c r="F829" s="22" t="str">
        <f>IF(E829="","",IF(E829&gt;0,SUMIFS('[1]UY$'!$L$5:$L$993,'[1]UY$'!$O$5:$O$993,"Cambio",'[1]UY$'!$E$5:$E$993,'Efecto TC'!D829),""))</f>
        <v/>
      </c>
      <c r="G829" s="23" t="str">
        <f t="shared" si="99"/>
        <v/>
      </c>
      <c r="H829" s="22" t="str">
        <f t="shared" si="100"/>
        <v/>
      </c>
      <c r="I829" s="54" t="str">
        <f t="shared" si="97"/>
        <v/>
      </c>
      <c r="R829" s="24" t="e">
        <f t="shared" si="101"/>
        <v>#VALUE!</v>
      </c>
      <c r="S829" s="25" t="e">
        <f t="shared" si="98"/>
        <v>#VALUE!</v>
      </c>
    </row>
    <row r="830" spans="1:19" x14ac:dyDescent="0.25">
      <c r="A830" t="e">
        <f t="shared" si="95"/>
        <v>#VALUE!</v>
      </c>
      <c r="B830" t="e">
        <f t="shared" si="96"/>
        <v>#VALUE!</v>
      </c>
      <c r="D830" s="21" t="str" cm="1">
        <f t="array" ref="D830">IF(ROWS($D$7:D830)&gt;COUNTIF('[1]U$S'!$H$5:$H$1008,$L$5),"",INDEX(CuentaUS,_xlfn.AGGREGATE(15,6,ROW('[1]U$S'!$H$5:$H$1008)-ROW('[1]U$S'!$O$5)+1/--('[1]U$S'!$H$5:$H$1008=$L$5),ROWS($D$7:D830)),1))</f>
        <v/>
      </c>
      <c r="E830" s="22" t="str" cm="1">
        <f t="array" ref="E830">IF(ROWS($E$7:E830)&gt;COUNTIF('[1]U$S'!$H$5:$H$1008,$L$5),"",INDEX(CuentaUS,_xlfn.AGGREGATE(15,6,ROW('[1]U$S'!$H$5:$H$1008)-ROW('[1]U$S'!$O$5)+1/--('[1]U$S'!$H$5:$H$1008=$L$5),ROWS($E$7:E830)),6))</f>
        <v/>
      </c>
      <c r="F830" s="22" t="str">
        <f>IF(E830="","",IF(E830&gt;0,SUMIFS('[1]UY$'!$L$5:$L$993,'[1]UY$'!$O$5:$O$993,"Cambio",'[1]UY$'!$E$5:$E$993,'Efecto TC'!D830),""))</f>
        <v/>
      </c>
      <c r="G830" s="23" t="str">
        <f t="shared" si="99"/>
        <v/>
      </c>
      <c r="H830" s="22" t="str">
        <f t="shared" si="100"/>
        <v/>
      </c>
      <c r="I830" s="54" t="str">
        <f t="shared" si="97"/>
        <v/>
      </c>
      <c r="R830" s="24" t="e">
        <f t="shared" si="101"/>
        <v>#VALUE!</v>
      </c>
      <c r="S830" s="25" t="e">
        <f t="shared" si="98"/>
        <v>#VALUE!</v>
      </c>
    </row>
    <row r="831" spans="1:19" x14ac:dyDescent="0.25">
      <c r="A831" t="e">
        <f t="shared" si="95"/>
        <v>#VALUE!</v>
      </c>
      <c r="B831" t="e">
        <f t="shared" si="96"/>
        <v>#VALUE!</v>
      </c>
      <c r="D831" s="21" t="str" cm="1">
        <f t="array" ref="D831">IF(ROWS($D$7:D831)&gt;COUNTIF('[1]U$S'!$H$5:$H$1008,$L$5),"",INDEX(CuentaUS,_xlfn.AGGREGATE(15,6,ROW('[1]U$S'!$H$5:$H$1008)-ROW('[1]U$S'!$O$5)+1/--('[1]U$S'!$H$5:$H$1008=$L$5),ROWS($D$7:D831)),1))</f>
        <v/>
      </c>
      <c r="E831" s="22" t="str" cm="1">
        <f t="array" ref="E831">IF(ROWS($E$7:E831)&gt;COUNTIF('[1]U$S'!$H$5:$H$1008,$L$5),"",INDEX(CuentaUS,_xlfn.AGGREGATE(15,6,ROW('[1]U$S'!$H$5:$H$1008)-ROW('[1]U$S'!$O$5)+1/--('[1]U$S'!$H$5:$H$1008=$L$5),ROWS($E$7:E831)),6))</f>
        <v/>
      </c>
      <c r="F831" s="22" t="str">
        <f>IF(E831="","",IF(E831&gt;0,SUMIFS('[1]UY$'!$L$5:$L$993,'[1]UY$'!$O$5:$O$993,"Cambio",'[1]UY$'!$E$5:$E$993,'Efecto TC'!D831),""))</f>
        <v/>
      </c>
      <c r="G831" s="23" t="str">
        <f t="shared" si="99"/>
        <v/>
      </c>
      <c r="H831" s="22" t="str">
        <f t="shared" si="100"/>
        <v/>
      </c>
      <c r="I831" s="54" t="str">
        <f t="shared" si="97"/>
        <v/>
      </c>
      <c r="R831" s="24" t="e">
        <f t="shared" si="101"/>
        <v>#VALUE!</v>
      </c>
      <c r="S831" s="25" t="e">
        <f t="shared" si="98"/>
        <v>#VALUE!</v>
      </c>
    </row>
    <row r="832" spans="1:19" x14ac:dyDescent="0.25">
      <c r="A832" t="e">
        <f t="shared" si="95"/>
        <v>#VALUE!</v>
      </c>
      <c r="B832" t="e">
        <f t="shared" si="96"/>
        <v>#VALUE!</v>
      </c>
      <c r="D832" s="21" t="str" cm="1">
        <f t="array" ref="D832">IF(ROWS($D$7:D832)&gt;COUNTIF('[1]U$S'!$H$5:$H$1008,$L$5),"",INDEX(CuentaUS,_xlfn.AGGREGATE(15,6,ROW('[1]U$S'!$H$5:$H$1008)-ROW('[1]U$S'!$O$5)+1/--('[1]U$S'!$H$5:$H$1008=$L$5),ROWS($D$7:D832)),1))</f>
        <v/>
      </c>
      <c r="E832" s="22" t="str" cm="1">
        <f t="array" ref="E832">IF(ROWS($E$7:E832)&gt;COUNTIF('[1]U$S'!$H$5:$H$1008,$L$5),"",INDEX(CuentaUS,_xlfn.AGGREGATE(15,6,ROW('[1]U$S'!$H$5:$H$1008)-ROW('[1]U$S'!$O$5)+1/--('[1]U$S'!$H$5:$H$1008=$L$5),ROWS($E$7:E832)),6))</f>
        <v/>
      </c>
      <c r="F832" s="22" t="str">
        <f>IF(E832="","",IF(E832&gt;0,SUMIFS('[1]UY$'!$L$5:$L$993,'[1]UY$'!$O$5:$O$993,"Cambio",'[1]UY$'!$E$5:$E$993,'Efecto TC'!D832),""))</f>
        <v/>
      </c>
      <c r="G832" s="23" t="str">
        <f t="shared" si="99"/>
        <v/>
      </c>
      <c r="H832" s="22" t="str">
        <f t="shared" si="100"/>
        <v/>
      </c>
      <c r="I832" s="54" t="str">
        <f t="shared" si="97"/>
        <v/>
      </c>
      <c r="R832" s="24" t="e">
        <f t="shared" si="101"/>
        <v>#VALUE!</v>
      </c>
      <c r="S832" s="25" t="e">
        <f t="shared" si="98"/>
        <v>#VALUE!</v>
      </c>
    </row>
    <row r="833" spans="1:19" x14ac:dyDescent="0.25">
      <c r="A833" t="e">
        <f t="shared" si="95"/>
        <v>#VALUE!</v>
      </c>
      <c r="B833" t="e">
        <f t="shared" si="96"/>
        <v>#VALUE!</v>
      </c>
      <c r="D833" s="21" t="str" cm="1">
        <f t="array" ref="D833">IF(ROWS($D$7:D833)&gt;COUNTIF('[1]U$S'!$H$5:$H$1008,$L$5),"",INDEX(CuentaUS,_xlfn.AGGREGATE(15,6,ROW('[1]U$S'!$H$5:$H$1008)-ROW('[1]U$S'!$O$5)+1/--('[1]U$S'!$H$5:$H$1008=$L$5),ROWS($D$7:D833)),1))</f>
        <v/>
      </c>
      <c r="E833" s="22" t="str" cm="1">
        <f t="array" ref="E833">IF(ROWS($E$7:E833)&gt;COUNTIF('[1]U$S'!$H$5:$H$1008,$L$5),"",INDEX(CuentaUS,_xlfn.AGGREGATE(15,6,ROW('[1]U$S'!$H$5:$H$1008)-ROW('[1]U$S'!$O$5)+1/--('[1]U$S'!$H$5:$H$1008=$L$5),ROWS($E$7:E833)),6))</f>
        <v/>
      </c>
      <c r="F833" s="22" t="str">
        <f>IF(E833="","",IF(E833&gt;0,SUMIFS('[1]UY$'!$L$5:$L$993,'[1]UY$'!$O$5:$O$993,"Cambio",'[1]UY$'!$E$5:$E$993,'Efecto TC'!D833),""))</f>
        <v/>
      </c>
      <c r="G833" s="23" t="str">
        <f t="shared" si="99"/>
        <v/>
      </c>
      <c r="H833" s="22" t="str">
        <f t="shared" si="100"/>
        <v/>
      </c>
      <c r="I833" s="54" t="str">
        <f t="shared" si="97"/>
        <v/>
      </c>
      <c r="R833" s="24" t="e">
        <f t="shared" si="101"/>
        <v>#VALUE!</v>
      </c>
      <c r="S833" s="25" t="e">
        <f t="shared" si="98"/>
        <v>#VALUE!</v>
      </c>
    </row>
    <row r="834" spans="1:19" x14ac:dyDescent="0.25">
      <c r="A834" t="e">
        <f t="shared" si="95"/>
        <v>#VALUE!</v>
      </c>
      <c r="B834" t="e">
        <f t="shared" si="96"/>
        <v>#VALUE!</v>
      </c>
      <c r="D834" s="21" t="str" cm="1">
        <f t="array" ref="D834">IF(ROWS($D$7:D834)&gt;COUNTIF('[1]U$S'!$H$5:$H$1008,$L$5),"",INDEX(CuentaUS,_xlfn.AGGREGATE(15,6,ROW('[1]U$S'!$H$5:$H$1008)-ROW('[1]U$S'!$O$5)+1/--('[1]U$S'!$H$5:$H$1008=$L$5),ROWS($D$7:D834)),1))</f>
        <v/>
      </c>
      <c r="E834" s="22" t="str" cm="1">
        <f t="array" ref="E834">IF(ROWS($E$7:E834)&gt;COUNTIF('[1]U$S'!$H$5:$H$1008,$L$5),"",INDEX(CuentaUS,_xlfn.AGGREGATE(15,6,ROW('[1]U$S'!$H$5:$H$1008)-ROW('[1]U$S'!$O$5)+1/--('[1]U$S'!$H$5:$H$1008=$L$5),ROWS($E$7:E834)),6))</f>
        <v/>
      </c>
      <c r="F834" s="22" t="str">
        <f>IF(E834="","",IF(E834&gt;0,SUMIFS('[1]UY$'!$L$5:$L$993,'[1]UY$'!$O$5:$O$993,"Cambio",'[1]UY$'!$E$5:$E$993,'Efecto TC'!D834),""))</f>
        <v/>
      </c>
      <c r="G834" s="23" t="str">
        <f t="shared" si="99"/>
        <v/>
      </c>
      <c r="H834" s="22" t="str">
        <f t="shared" si="100"/>
        <v/>
      </c>
      <c r="I834" s="54" t="str">
        <f t="shared" si="97"/>
        <v/>
      </c>
      <c r="R834" s="24" t="e">
        <f t="shared" si="101"/>
        <v>#VALUE!</v>
      </c>
      <c r="S834" s="25" t="e">
        <f t="shared" si="98"/>
        <v>#VALUE!</v>
      </c>
    </row>
    <row r="835" spans="1:19" x14ac:dyDescent="0.25">
      <c r="A835" t="e">
        <f t="shared" si="95"/>
        <v>#VALUE!</v>
      </c>
      <c r="B835" t="e">
        <f t="shared" si="96"/>
        <v>#VALUE!</v>
      </c>
      <c r="D835" s="21" t="str" cm="1">
        <f t="array" ref="D835">IF(ROWS($D$7:D835)&gt;COUNTIF('[1]U$S'!$H$5:$H$1008,$L$5),"",INDEX(CuentaUS,_xlfn.AGGREGATE(15,6,ROW('[1]U$S'!$H$5:$H$1008)-ROW('[1]U$S'!$O$5)+1/--('[1]U$S'!$H$5:$H$1008=$L$5),ROWS($D$7:D835)),1))</f>
        <v/>
      </c>
      <c r="E835" s="22" t="str" cm="1">
        <f t="array" ref="E835">IF(ROWS($E$7:E835)&gt;COUNTIF('[1]U$S'!$H$5:$H$1008,$L$5),"",INDEX(CuentaUS,_xlfn.AGGREGATE(15,6,ROW('[1]U$S'!$H$5:$H$1008)-ROW('[1]U$S'!$O$5)+1/--('[1]U$S'!$H$5:$H$1008=$L$5),ROWS($E$7:E835)),6))</f>
        <v/>
      </c>
      <c r="F835" s="22" t="str">
        <f>IF(E835="","",IF(E835&gt;0,SUMIFS('[1]UY$'!$L$5:$L$993,'[1]UY$'!$O$5:$O$993,"Cambio",'[1]UY$'!$E$5:$E$993,'Efecto TC'!D835),""))</f>
        <v/>
      </c>
      <c r="G835" s="23" t="str">
        <f t="shared" si="99"/>
        <v/>
      </c>
      <c r="H835" s="22" t="str">
        <f t="shared" si="100"/>
        <v/>
      </c>
      <c r="I835" s="54" t="str">
        <f t="shared" si="97"/>
        <v/>
      </c>
      <c r="R835" s="24" t="e">
        <f t="shared" si="101"/>
        <v>#VALUE!</v>
      </c>
      <c r="S835" s="25" t="e">
        <f t="shared" si="98"/>
        <v>#VALUE!</v>
      </c>
    </row>
    <row r="836" spans="1:19" x14ac:dyDescent="0.25">
      <c r="A836" t="e">
        <f t="shared" si="95"/>
        <v>#VALUE!</v>
      </c>
      <c r="B836" t="e">
        <f t="shared" si="96"/>
        <v>#VALUE!</v>
      </c>
      <c r="D836" s="21" t="str" cm="1">
        <f t="array" ref="D836">IF(ROWS($D$7:D836)&gt;COUNTIF('[1]U$S'!$H$5:$H$1008,$L$5),"",INDEX(CuentaUS,_xlfn.AGGREGATE(15,6,ROW('[1]U$S'!$H$5:$H$1008)-ROW('[1]U$S'!$O$5)+1/--('[1]U$S'!$H$5:$H$1008=$L$5),ROWS($D$7:D836)),1))</f>
        <v/>
      </c>
      <c r="E836" s="22" t="str" cm="1">
        <f t="array" ref="E836">IF(ROWS($E$7:E836)&gt;COUNTIF('[1]U$S'!$H$5:$H$1008,$L$5),"",INDEX(CuentaUS,_xlfn.AGGREGATE(15,6,ROW('[1]U$S'!$H$5:$H$1008)-ROW('[1]U$S'!$O$5)+1/--('[1]U$S'!$H$5:$H$1008=$L$5),ROWS($E$7:E836)),6))</f>
        <v/>
      </c>
      <c r="F836" s="22" t="str">
        <f>IF(E836="","",IF(E836&gt;0,SUMIFS('[1]UY$'!$L$5:$L$993,'[1]UY$'!$O$5:$O$993,"Cambio",'[1]UY$'!$E$5:$E$993,'Efecto TC'!D836),""))</f>
        <v/>
      </c>
      <c r="G836" s="23" t="str">
        <f t="shared" si="99"/>
        <v/>
      </c>
      <c r="H836" s="22" t="str">
        <f t="shared" si="100"/>
        <v/>
      </c>
      <c r="I836" s="54" t="str">
        <f t="shared" si="97"/>
        <v/>
      </c>
      <c r="R836" s="24" t="e">
        <f t="shared" si="101"/>
        <v>#VALUE!</v>
      </c>
      <c r="S836" s="25" t="e">
        <f t="shared" si="98"/>
        <v>#VALUE!</v>
      </c>
    </row>
    <row r="837" spans="1:19" x14ac:dyDescent="0.25">
      <c r="A837" t="e">
        <f t="shared" si="95"/>
        <v>#VALUE!</v>
      </c>
      <c r="B837" t="e">
        <f t="shared" si="96"/>
        <v>#VALUE!</v>
      </c>
      <c r="D837" s="21" t="str" cm="1">
        <f t="array" ref="D837">IF(ROWS($D$7:D837)&gt;COUNTIF('[1]U$S'!$H$5:$H$1008,$L$5),"",INDEX(CuentaUS,_xlfn.AGGREGATE(15,6,ROW('[1]U$S'!$H$5:$H$1008)-ROW('[1]U$S'!$O$5)+1/--('[1]U$S'!$H$5:$H$1008=$L$5),ROWS($D$7:D837)),1))</f>
        <v/>
      </c>
      <c r="E837" s="22" t="str" cm="1">
        <f t="array" ref="E837">IF(ROWS($E$7:E837)&gt;COUNTIF('[1]U$S'!$H$5:$H$1008,$L$5),"",INDEX(CuentaUS,_xlfn.AGGREGATE(15,6,ROW('[1]U$S'!$H$5:$H$1008)-ROW('[1]U$S'!$O$5)+1/--('[1]U$S'!$H$5:$H$1008=$L$5),ROWS($E$7:E837)),6))</f>
        <v/>
      </c>
      <c r="F837" s="22" t="str">
        <f>IF(E837="","",IF(E837&gt;0,SUMIFS('[1]UY$'!$L$5:$L$993,'[1]UY$'!$O$5:$O$993,"Cambio",'[1]UY$'!$E$5:$E$993,'Efecto TC'!D837),""))</f>
        <v/>
      </c>
      <c r="G837" s="23" t="str">
        <f t="shared" si="99"/>
        <v/>
      </c>
      <c r="H837" s="22" t="str">
        <f t="shared" si="100"/>
        <v/>
      </c>
      <c r="I837" s="54" t="str">
        <f t="shared" si="97"/>
        <v/>
      </c>
      <c r="R837" s="24" t="e">
        <f t="shared" si="101"/>
        <v>#VALUE!</v>
      </c>
      <c r="S837" s="25" t="e">
        <f t="shared" si="98"/>
        <v>#VALUE!</v>
      </c>
    </row>
    <row r="838" spans="1:19" x14ac:dyDescent="0.25">
      <c r="A838" t="e">
        <f t="shared" si="95"/>
        <v>#VALUE!</v>
      </c>
      <c r="B838" t="e">
        <f t="shared" si="96"/>
        <v>#VALUE!</v>
      </c>
      <c r="D838" s="21" t="str" cm="1">
        <f t="array" ref="D838">IF(ROWS($D$7:D838)&gt;COUNTIF('[1]U$S'!$H$5:$H$1008,$L$5),"",INDEX(CuentaUS,_xlfn.AGGREGATE(15,6,ROW('[1]U$S'!$H$5:$H$1008)-ROW('[1]U$S'!$O$5)+1/--('[1]U$S'!$H$5:$H$1008=$L$5),ROWS($D$7:D838)),1))</f>
        <v/>
      </c>
      <c r="E838" s="22" t="str" cm="1">
        <f t="array" ref="E838">IF(ROWS($E$7:E838)&gt;COUNTIF('[1]U$S'!$H$5:$H$1008,$L$5),"",INDEX(CuentaUS,_xlfn.AGGREGATE(15,6,ROW('[1]U$S'!$H$5:$H$1008)-ROW('[1]U$S'!$O$5)+1/--('[1]U$S'!$H$5:$H$1008=$L$5),ROWS($E$7:E838)),6))</f>
        <v/>
      </c>
      <c r="F838" s="22" t="str">
        <f>IF(E838="","",IF(E838&gt;0,SUMIFS('[1]UY$'!$L$5:$L$993,'[1]UY$'!$O$5:$O$993,"Cambio",'[1]UY$'!$E$5:$E$993,'Efecto TC'!D838),""))</f>
        <v/>
      </c>
      <c r="G838" s="23" t="str">
        <f t="shared" si="99"/>
        <v/>
      </c>
      <c r="H838" s="22" t="str">
        <f t="shared" si="100"/>
        <v/>
      </c>
      <c r="I838" s="54" t="str">
        <f t="shared" si="97"/>
        <v/>
      </c>
      <c r="R838" s="24" t="e">
        <f t="shared" si="101"/>
        <v>#VALUE!</v>
      </c>
      <c r="S838" s="25" t="e">
        <f t="shared" si="98"/>
        <v>#VALUE!</v>
      </c>
    </row>
    <row r="839" spans="1:19" x14ac:dyDescent="0.25">
      <c r="A839" t="e">
        <f t="shared" ref="A839:A902" si="102">MONTH(D839)</f>
        <v>#VALUE!</v>
      </c>
      <c r="B839" t="e">
        <f t="shared" ref="B839:B902" si="103">YEAR(D839)</f>
        <v>#VALUE!</v>
      </c>
      <c r="D839" s="21" t="str" cm="1">
        <f t="array" ref="D839">IF(ROWS($D$7:D839)&gt;COUNTIF('[1]U$S'!$H$5:$H$1008,$L$5),"",INDEX(CuentaUS,_xlfn.AGGREGATE(15,6,ROW('[1]U$S'!$H$5:$H$1008)-ROW('[1]U$S'!$O$5)+1/--('[1]U$S'!$H$5:$H$1008=$L$5),ROWS($D$7:D839)),1))</f>
        <v/>
      </c>
      <c r="E839" s="22" t="str" cm="1">
        <f t="array" ref="E839">IF(ROWS($E$7:E839)&gt;COUNTIF('[1]U$S'!$H$5:$H$1008,$L$5),"",INDEX(CuentaUS,_xlfn.AGGREGATE(15,6,ROW('[1]U$S'!$H$5:$H$1008)-ROW('[1]U$S'!$O$5)+1/--('[1]U$S'!$H$5:$H$1008=$L$5),ROWS($E$7:E839)),6))</f>
        <v/>
      </c>
      <c r="F839" s="22" t="str">
        <f>IF(E839="","",IF(E839&gt;0,SUMIFS('[1]UY$'!$L$5:$L$993,'[1]UY$'!$O$5:$O$993,"Cambio",'[1]UY$'!$E$5:$E$993,'Efecto TC'!D839),""))</f>
        <v/>
      </c>
      <c r="G839" s="23" t="str">
        <f t="shared" si="99"/>
        <v/>
      </c>
      <c r="H839" s="22" t="str">
        <f t="shared" si="100"/>
        <v/>
      </c>
      <c r="I839" s="54" t="str">
        <f t="shared" si="97"/>
        <v/>
      </c>
      <c r="R839" s="24" t="e">
        <f t="shared" si="101"/>
        <v>#VALUE!</v>
      </c>
      <c r="S839" s="25" t="e">
        <f t="shared" si="98"/>
        <v>#VALUE!</v>
      </c>
    </row>
    <row r="840" spans="1:19" x14ac:dyDescent="0.25">
      <c r="A840" t="e">
        <f t="shared" si="102"/>
        <v>#VALUE!</v>
      </c>
      <c r="B840" t="e">
        <f t="shared" si="103"/>
        <v>#VALUE!</v>
      </c>
      <c r="D840" s="21" t="str" cm="1">
        <f t="array" ref="D840">IF(ROWS($D$7:D840)&gt;COUNTIF('[1]U$S'!$H$5:$H$1008,$L$5),"",INDEX(CuentaUS,_xlfn.AGGREGATE(15,6,ROW('[1]U$S'!$H$5:$H$1008)-ROW('[1]U$S'!$O$5)+1/--('[1]U$S'!$H$5:$H$1008=$L$5),ROWS($D$7:D840)),1))</f>
        <v/>
      </c>
      <c r="E840" s="22" t="str" cm="1">
        <f t="array" ref="E840">IF(ROWS($E$7:E840)&gt;COUNTIF('[1]U$S'!$H$5:$H$1008,$L$5),"",INDEX(CuentaUS,_xlfn.AGGREGATE(15,6,ROW('[1]U$S'!$H$5:$H$1008)-ROW('[1]U$S'!$O$5)+1/--('[1]U$S'!$H$5:$H$1008=$L$5),ROWS($E$7:E840)),6))</f>
        <v/>
      </c>
      <c r="F840" s="22" t="str">
        <f>IF(E840="","",IF(E840&gt;0,SUMIFS('[1]UY$'!$L$5:$L$993,'[1]UY$'!$O$5:$O$993,"Cambio",'[1]UY$'!$E$5:$E$993,'Efecto TC'!D840),""))</f>
        <v/>
      </c>
      <c r="G840" s="23" t="str">
        <f t="shared" si="99"/>
        <v/>
      </c>
      <c r="H840" s="22" t="str">
        <f t="shared" si="100"/>
        <v/>
      </c>
      <c r="I840" s="54" t="str">
        <f t="shared" si="97"/>
        <v/>
      </c>
      <c r="R840" s="24" t="e">
        <f t="shared" si="101"/>
        <v>#VALUE!</v>
      </c>
      <c r="S840" s="25" t="e">
        <f t="shared" si="98"/>
        <v>#VALUE!</v>
      </c>
    </row>
    <row r="841" spans="1:19" x14ac:dyDescent="0.25">
      <c r="A841" t="e">
        <f t="shared" si="102"/>
        <v>#VALUE!</v>
      </c>
      <c r="B841" t="e">
        <f t="shared" si="103"/>
        <v>#VALUE!</v>
      </c>
      <c r="D841" s="21" t="str" cm="1">
        <f t="array" ref="D841">IF(ROWS($D$7:D841)&gt;COUNTIF('[1]U$S'!$H$5:$H$1008,$L$5),"",INDEX(CuentaUS,_xlfn.AGGREGATE(15,6,ROW('[1]U$S'!$H$5:$H$1008)-ROW('[1]U$S'!$O$5)+1/--('[1]U$S'!$H$5:$H$1008=$L$5),ROWS($D$7:D841)),1))</f>
        <v/>
      </c>
      <c r="E841" s="22" t="str" cm="1">
        <f t="array" ref="E841">IF(ROWS($E$7:E841)&gt;COUNTIF('[1]U$S'!$H$5:$H$1008,$L$5),"",INDEX(CuentaUS,_xlfn.AGGREGATE(15,6,ROW('[1]U$S'!$H$5:$H$1008)-ROW('[1]U$S'!$O$5)+1/--('[1]U$S'!$H$5:$H$1008=$L$5),ROWS($E$7:E841)),6))</f>
        <v/>
      </c>
      <c r="F841" s="22" t="str">
        <f>IF(E841="","",IF(E841&gt;0,SUMIFS('[1]UY$'!$L$5:$L$993,'[1]UY$'!$O$5:$O$993,"Cambio",'[1]UY$'!$E$5:$E$993,'Efecto TC'!D841),""))</f>
        <v/>
      </c>
      <c r="G841" s="23" t="str">
        <f t="shared" si="99"/>
        <v/>
      </c>
      <c r="H841" s="22" t="str">
        <f t="shared" si="100"/>
        <v/>
      </c>
      <c r="I841" s="54" t="str">
        <f t="shared" si="97"/>
        <v/>
      </c>
      <c r="R841" s="24" t="e">
        <f t="shared" si="101"/>
        <v>#VALUE!</v>
      </c>
      <c r="S841" s="25" t="e">
        <f t="shared" si="98"/>
        <v>#VALUE!</v>
      </c>
    </row>
    <row r="842" spans="1:19" x14ac:dyDescent="0.25">
      <c r="A842" t="e">
        <f t="shared" si="102"/>
        <v>#VALUE!</v>
      </c>
      <c r="B842" t="e">
        <f t="shared" si="103"/>
        <v>#VALUE!</v>
      </c>
      <c r="D842" s="21" t="str" cm="1">
        <f t="array" ref="D842">IF(ROWS($D$7:D842)&gt;COUNTIF('[1]U$S'!$H$5:$H$1008,$L$5),"",INDEX(CuentaUS,_xlfn.AGGREGATE(15,6,ROW('[1]U$S'!$H$5:$H$1008)-ROW('[1]U$S'!$O$5)+1/--('[1]U$S'!$H$5:$H$1008=$L$5),ROWS($D$7:D842)),1))</f>
        <v/>
      </c>
      <c r="E842" s="22" t="str" cm="1">
        <f t="array" ref="E842">IF(ROWS($E$7:E842)&gt;COUNTIF('[1]U$S'!$H$5:$H$1008,$L$5),"",INDEX(CuentaUS,_xlfn.AGGREGATE(15,6,ROW('[1]U$S'!$H$5:$H$1008)-ROW('[1]U$S'!$O$5)+1/--('[1]U$S'!$H$5:$H$1008=$L$5),ROWS($E$7:E842)),6))</f>
        <v/>
      </c>
      <c r="F842" s="22" t="str">
        <f>IF(E842="","",IF(E842&gt;0,SUMIFS('[1]UY$'!$L$5:$L$993,'[1]UY$'!$O$5:$O$993,"Cambio",'[1]UY$'!$E$5:$E$993,'Efecto TC'!D842),""))</f>
        <v/>
      </c>
      <c r="G842" s="23" t="str">
        <f t="shared" si="99"/>
        <v/>
      </c>
      <c r="H842" s="22" t="str">
        <f t="shared" si="100"/>
        <v/>
      </c>
      <c r="I842" s="54" t="str">
        <f t="shared" ref="I842:I905" si="104">IF(H842="","",+H842+I841)</f>
        <v/>
      </c>
      <c r="R842" s="24" t="e">
        <f t="shared" si="101"/>
        <v>#VALUE!</v>
      </c>
      <c r="S842" s="25" t="e">
        <f t="shared" si="98"/>
        <v>#VALUE!</v>
      </c>
    </row>
    <row r="843" spans="1:19" x14ac:dyDescent="0.25">
      <c r="A843" t="e">
        <f t="shared" si="102"/>
        <v>#VALUE!</v>
      </c>
      <c r="B843" t="e">
        <f t="shared" si="103"/>
        <v>#VALUE!</v>
      </c>
      <c r="D843" s="21" t="str" cm="1">
        <f t="array" ref="D843">IF(ROWS($D$7:D843)&gt;COUNTIF('[1]U$S'!$H$5:$H$1008,$L$5),"",INDEX(CuentaUS,_xlfn.AGGREGATE(15,6,ROW('[1]U$S'!$H$5:$H$1008)-ROW('[1]U$S'!$O$5)+1/--('[1]U$S'!$H$5:$H$1008=$L$5),ROWS($D$7:D843)),1))</f>
        <v/>
      </c>
      <c r="E843" s="22" t="str" cm="1">
        <f t="array" ref="E843">IF(ROWS($E$7:E843)&gt;COUNTIF('[1]U$S'!$H$5:$H$1008,$L$5),"",INDEX(CuentaUS,_xlfn.AGGREGATE(15,6,ROW('[1]U$S'!$H$5:$H$1008)-ROW('[1]U$S'!$O$5)+1/--('[1]U$S'!$H$5:$H$1008=$L$5),ROWS($E$7:E843)),6))</f>
        <v/>
      </c>
      <c r="F843" s="22" t="str">
        <f>IF(E843="","",IF(E843&gt;0,SUMIFS('[1]UY$'!$L$5:$L$993,'[1]UY$'!$O$5:$O$993,"Cambio",'[1]UY$'!$E$5:$E$993,'Efecto TC'!D843),""))</f>
        <v/>
      </c>
      <c r="G843" s="23" t="str">
        <f t="shared" si="99"/>
        <v/>
      </c>
      <c r="H843" s="22" t="str">
        <f t="shared" si="100"/>
        <v/>
      </c>
      <c r="I843" s="54" t="str">
        <f t="shared" si="104"/>
        <v/>
      </c>
      <c r="R843" s="24" t="e">
        <f t="shared" si="101"/>
        <v>#VALUE!</v>
      </c>
      <c r="S843" s="25" t="e">
        <f t="shared" si="98"/>
        <v>#VALUE!</v>
      </c>
    </row>
    <row r="844" spans="1:19" x14ac:dyDescent="0.25">
      <c r="A844" t="e">
        <f t="shared" si="102"/>
        <v>#VALUE!</v>
      </c>
      <c r="B844" t="e">
        <f t="shared" si="103"/>
        <v>#VALUE!</v>
      </c>
      <c r="D844" s="21" t="str" cm="1">
        <f t="array" ref="D844">IF(ROWS($D$7:D844)&gt;COUNTIF('[1]U$S'!$H$5:$H$1008,$L$5),"",INDEX(CuentaUS,_xlfn.AGGREGATE(15,6,ROW('[1]U$S'!$H$5:$H$1008)-ROW('[1]U$S'!$O$5)+1/--('[1]U$S'!$H$5:$H$1008=$L$5),ROWS($D$7:D844)),1))</f>
        <v/>
      </c>
      <c r="E844" s="22" t="str" cm="1">
        <f t="array" ref="E844">IF(ROWS($E$7:E844)&gt;COUNTIF('[1]U$S'!$H$5:$H$1008,$L$5),"",INDEX(CuentaUS,_xlfn.AGGREGATE(15,6,ROW('[1]U$S'!$H$5:$H$1008)-ROW('[1]U$S'!$O$5)+1/--('[1]U$S'!$H$5:$H$1008=$L$5),ROWS($E$7:E844)),6))</f>
        <v/>
      </c>
      <c r="F844" s="22" t="str">
        <f>IF(E844="","",IF(E844&gt;0,SUMIFS('[1]UY$'!$L$5:$L$993,'[1]UY$'!$O$5:$O$993,"Cambio",'[1]UY$'!$E$5:$E$993,'Efecto TC'!D844),""))</f>
        <v/>
      </c>
      <c r="G844" s="23" t="str">
        <f t="shared" si="99"/>
        <v/>
      </c>
      <c r="H844" s="22" t="str">
        <f t="shared" si="100"/>
        <v/>
      </c>
      <c r="I844" s="54" t="str">
        <f t="shared" si="104"/>
        <v/>
      </c>
      <c r="R844" s="24" t="e">
        <f t="shared" si="101"/>
        <v>#VALUE!</v>
      </c>
      <c r="S844" s="25" t="e">
        <f t="shared" si="98"/>
        <v>#VALUE!</v>
      </c>
    </row>
    <row r="845" spans="1:19" x14ac:dyDescent="0.25">
      <c r="A845" t="e">
        <f t="shared" si="102"/>
        <v>#VALUE!</v>
      </c>
      <c r="B845" t="e">
        <f t="shared" si="103"/>
        <v>#VALUE!</v>
      </c>
      <c r="D845" s="21" t="str" cm="1">
        <f t="array" ref="D845">IF(ROWS($D$7:D845)&gt;COUNTIF('[1]U$S'!$H$5:$H$1008,$L$5),"",INDEX(CuentaUS,_xlfn.AGGREGATE(15,6,ROW('[1]U$S'!$H$5:$H$1008)-ROW('[1]U$S'!$O$5)+1/--('[1]U$S'!$H$5:$H$1008=$L$5),ROWS($D$7:D845)),1))</f>
        <v/>
      </c>
      <c r="E845" s="22" t="str" cm="1">
        <f t="array" ref="E845">IF(ROWS($E$7:E845)&gt;COUNTIF('[1]U$S'!$H$5:$H$1008,$L$5),"",INDEX(CuentaUS,_xlfn.AGGREGATE(15,6,ROW('[1]U$S'!$H$5:$H$1008)-ROW('[1]U$S'!$O$5)+1/--('[1]U$S'!$H$5:$H$1008=$L$5),ROWS($E$7:E845)),6))</f>
        <v/>
      </c>
      <c r="F845" s="22" t="str">
        <f>IF(E845="","",IF(E845&gt;0,SUMIFS('[1]UY$'!$L$5:$L$993,'[1]UY$'!$O$5:$O$993,"Cambio",'[1]UY$'!$E$5:$E$993,'Efecto TC'!D845),""))</f>
        <v/>
      </c>
      <c r="G845" s="23" t="str">
        <f t="shared" si="99"/>
        <v/>
      </c>
      <c r="H845" s="22" t="str">
        <f t="shared" si="100"/>
        <v/>
      </c>
      <c r="I845" s="54" t="str">
        <f t="shared" si="104"/>
        <v/>
      </c>
      <c r="R845" s="24" t="e">
        <f t="shared" si="101"/>
        <v>#VALUE!</v>
      </c>
      <c r="S845" s="25" t="e">
        <f t="shared" si="98"/>
        <v>#VALUE!</v>
      </c>
    </row>
    <row r="846" spans="1:19" x14ac:dyDescent="0.25">
      <c r="A846" t="e">
        <f t="shared" si="102"/>
        <v>#VALUE!</v>
      </c>
      <c r="B846" t="e">
        <f t="shared" si="103"/>
        <v>#VALUE!</v>
      </c>
      <c r="D846" s="21" t="str" cm="1">
        <f t="array" ref="D846">IF(ROWS($D$7:D846)&gt;COUNTIF('[1]U$S'!$H$5:$H$1008,$L$5),"",INDEX(CuentaUS,_xlfn.AGGREGATE(15,6,ROW('[1]U$S'!$H$5:$H$1008)-ROW('[1]U$S'!$O$5)+1/--('[1]U$S'!$H$5:$H$1008=$L$5),ROWS($D$7:D846)),1))</f>
        <v/>
      </c>
      <c r="E846" s="22" t="str" cm="1">
        <f t="array" ref="E846">IF(ROWS($E$7:E846)&gt;COUNTIF('[1]U$S'!$H$5:$H$1008,$L$5),"",INDEX(CuentaUS,_xlfn.AGGREGATE(15,6,ROW('[1]U$S'!$H$5:$H$1008)-ROW('[1]U$S'!$O$5)+1/--('[1]U$S'!$H$5:$H$1008=$L$5),ROWS($E$7:E846)),6))</f>
        <v/>
      </c>
      <c r="F846" s="22" t="str">
        <f>IF(E846="","",IF(E846&gt;0,SUMIFS('[1]UY$'!$L$5:$L$993,'[1]UY$'!$O$5:$O$993,"Cambio",'[1]UY$'!$E$5:$E$993,'Efecto TC'!D846),""))</f>
        <v/>
      </c>
      <c r="G846" s="23" t="str">
        <f t="shared" si="99"/>
        <v/>
      </c>
      <c r="H846" s="22" t="str">
        <f t="shared" si="100"/>
        <v/>
      </c>
      <c r="I846" s="54" t="str">
        <f t="shared" si="104"/>
        <v/>
      </c>
      <c r="R846" s="24" t="e">
        <f t="shared" si="101"/>
        <v>#VALUE!</v>
      </c>
      <c r="S846" s="25" t="e">
        <f t="shared" si="98"/>
        <v>#VALUE!</v>
      </c>
    </row>
    <row r="847" spans="1:19" x14ac:dyDescent="0.25">
      <c r="A847" t="e">
        <f t="shared" si="102"/>
        <v>#VALUE!</v>
      </c>
      <c r="B847" t="e">
        <f t="shared" si="103"/>
        <v>#VALUE!</v>
      </c>
      <c r="D847" s="21" t="str" cm="1">
        <f t="array" ref="D847">IF(ROWS($D$7:D847)&gt;COUNTIF('[1]U$S'!$H$5:$H$1008,$L$5),"",INDEX(CuentaUS,_xlfn.AGGREGATE(15,6,ROW('[1]U$S'!$H$5:$H$1008)-ROW('[1]U$S'!$O$5)+1/--('[1]U$S'!$H$5:$H$1008=$L$5),ROWS($D$7:D847)),1))</f>
        <v/>
      </c>
      <c r="E847" s="22" t="str" cm="1">
        <f t="array" ref="E847">IF(ROWS($E$7:E847)&gt;COUNTIF('[1]U$S'!$H$5:$H$1008,$L$5),"",INDEX(CuentaUS,_xlfn.AGGREGATE(15,6,ROW('[1]U$S'!$H$5:$H$1008)-ROW('[1]U$S'!$O$5)+1/--('[1]U$S'!$H$5:$H$1008=$L$5),ROWS($E$7:E847)),6))</f>
        <v/>
      </c>
      <c r="F847" s="22" t="str">
        <f>IF(E847="","",IF(E847&gt;0,SUMIFS('[1]UY$'!$L$5:$L$993,'[1]UY$'!$O$5:$O$993,"Cambio",'[1]UY$'!$E$5:$E$993,'Efecto TC'!D847),""))</f>
        <v/>
      </c>
      <c r="G847" s="23" t="str">
        <f t="shared" si="99"/>
        <v/>
      </c>
      <c r="H847" s="22" t="str">
        <f t="shared" si="100"/>
        <v/>
      </c>
      <c r="I847" s="54" t="str">
        <f t="shared" si="104"/>
        <v/>
      </c>
      <c r="R847" s="24" t="e">
        <f t="shared" si="101"/>
        <v>#VALUE!</v>
      </c>
      <c r="S847" s="25" t="e">
        <f t="shared" si="98"/>
        <v>#VALUE!</v>
      </c>
    </row>
    <row r="848" spans="1:19" x14ac:dyDescent="0.25">
      <c r="A848" t="e">
        <f t="shared" si="102"/>
        <v>#VALUE!</v>
      </c>
      <c r="B848" t="e">
        <f t="shared" si="103"/>
        <v>#VALUE!</v>
      </c>
      <c r="D848" s="21" t="str" cm="1">
        <f t="array" ref="D848">IF(ROWS($D$7:D848)&gt;COUNTIF('[1]U$S'!$H$5:$H$1008,$L$5),"",INDEX(CuentaUS,_xlfn.AGGREGATE(15,6,ROW('[1]U$S'!$H$5:$H$1008)-ROW('[1]U$S'!$O$5)+1/--('[1]U$S'!$H$5:$H$1008=$L$5),ROWS($D$7:D848)),1))</f>
        <v/>
      </c>
      <c r="E848" s="22" t="str" cm="1">
        <f t="array" ref="E848">IF(ROWS($E$7:E848)&gt;COUNTIF('[1]U$S'!$H$5:$H$1008,$L$5),"",INDEX(CuentaUS,_xlfn.AGGREGATE(15,6,ROW('[1]U$S'!$H$5:$H$1008)-ROW('[1]U$S'!$O$5)+1/--('[1]U$S'!$H$5:$H$1008=$L$5),ROWS($E$7:E848)),6))</f>
        <v/>
      </c>
      <c r="F848" s="22" t="str">
        <f>IF(E848="","",IF(E848&gt;0,SUMIFS('[1]UY$'!$L$5:$L$993,'[1]UY$'!$O$5:$O$993,"Cambio",'[1]UY$'!$E$5:$E$993,'Efecto TC'!D848),""))</f>
        <v/>
      </c>
      <c r="G848" s="23" t="str">
        <f t="shared" si="99"/>
        <v/>
      </c>
      <c r="H848" s="22" t="str">
        <f t="shared" si="100"/>
        <v/>
      </c>
      <c r="I848" s="54" t="str">
        <f t="shared" si="104"/>
        <v/>
      </c>
      <c r="R848" s="24" t="e">
        <f t="shared" si="101"/>
        <v>#VALUE!</v>
      </c>
      <c r="S848" s="25" t="e">
        <f t="shared" si="98"/>
        <v>#VALUE!</v>
      </c>
    </row>
    <row r="849" spans="1:19" x14ac:dyDescent="0.25">
      <c r="A849" t="e">
        <f t="shared" si="102"/>
        <v>#VALUE!</v>
      </c>
      <c r="B849" t="e">
        <f t="shared" si="103"/>
        <v>#VALUE!</v>
      </c>
      <c r="D849" s="21" t="str" cm="1">
        <f t="array" ref="D849">IF(ROWS($D$7:D849)&gt;COUNTIF('[1]U$S'!$H$5:$H$1008,$L$5),"",INDEX(CuentaUS,_xlfn.AGGREGATE(15,6,ROW('[1]U$S'!$H$5:$H$1008)-ROW('[1]U$S'!$O$5)+1/--('[1]U$S'!$H$5:$H$1008=$L$5),ROWS($D$7:D849)),1))</f>
        <v/>
      </c>
      <c r="E849" s="22" t="str" cm="1">
        <f t="array" ref="E849">IF(ROWS($E$7:E849)&gt;COUNTIF('[1]U$S'!$H$5:$H$1008,$L$5),"",INDEX(CuentaUS,_xlfn.AGGREGATE(15,6,ROW('[1]U$S'!$H$5:$H$1008)-ROW('[1]U$S'!$O$5)+1/--('[1]U$S'!$H$5:$H$1008=$L$5),ROWS($E$7:E849)),6))</f>
        <v/>
      </c>
      <c r="F849" s="22" t="str">
        <f>IF(E849="","",IF(E849&gt;0,SUMIFS('[1]UY$'!$L$5:$L$993,'[1]UY$'!$O$5:$O$993,"Cambio",'[1]UY$'!$E$5:$E$993,'Efecto TC'!D849),""))</f>
        <v/>
      </c>
      <c r="G849" s="23" t="str">
        <f t="shared" si="99"/>
        <v/>
      </c>
      <c r="H849" s="22" t="str">
        <f t="shared" si="100"/>
        <v/>
      </c>
      <c r="I849" s="54" t="str">
        <f t="shared" si="104"/>
        <v/>
      </c>
      <c r="R849" s="24" t="e">
        <f t="shared" si="101"/>
        <v>#VALUE!</v>
      </c>
      <c r="S849" s="25" t="e">
        <f t="shared" si="98"/>
        <v>#VALUE!</v>
      </c>
    </row>
    <row r="850" spans="1:19" x14ac:dyDescent="0.25">
      <c r="A850" t="e">
        <f t="shared" si="102"/>
        <v>#VALUE!</v>
      </c>
      <c r="B850" t="e">
        <f t="shared" si="103"/>
        <v>#VALUE!</v>
      </c>
      <c r="D850" s="21" t="str" cm="1">
        <f t="array" ref="D850">IF(ROWS($D$7:D850)&gt;COUNTIF('[1]U$S'!$H$5:$H$1008,$L$5),"",INDEX(CuentaUS,_xlfn.AGGREGATE(15,6,ROW('[1]U$S'!$H$5:$H$1008)-ROW('[1]U$S'!$O$5)+1/--('[1]U$S'!$H$5:$H$1008=$L$5),ROWS($D$7:D850)),1))</f>
        <v/>
      </c>
      <c r="E850" s="22" t="str" cm="1">
        <f t="array" ref="E850">IF(ROWS($E$7:E850)&gt;COUNTIF('[1]U$S'!$H$5:$H$1008,$L$5),"",INDEX(CuentaUS,_xlfn.AGGREGATE(15,6,ROW('[1]U$S'!$H$5:$H$1008)-ROW('[1]U$S'!$O$5)+1/--('[1]U$S'!$H$5:$H$1008=$L$5),ROWS($E$7:E850)),6))</f>
        <v/>
      </c>
      <c r="F850" s="22" t="str">
        <f>IF(E850="","",IF(E850&gt;0,SUMIFS('[1]UY$'!$L$5:$L$993,'[1]UY$'!$O$5:$O$993,"Cambio",'[1]UY$'!$E$5:$E$993,'Efecto TC'!D850),""))</f>
        <v/>
      </c>
      <c r="G850" s="23" t="str">
        <f t="shared" si="99"/>
        <v/>
      </c>
      <c r="H850" s="22" t="str">
        <f t="shared" si="100"/>
        <v/>
      </c>
      <c r="I850" s="54" t="str">
        <f t="shared" si="104"/>
        <v/>
      </c>
      <c r="R850" s="24" t="e">
        <f t="shared" si="101"/>
        <v>#VALUE!</v>
      </c>
      <c r="S850" s="25" t="e">
        <f t="shared" si="98"/>
        <v>#VALUE!</v>
      </c>
    </row>
    <row r="851" spans="1:19" x14ac:dyDescent="0.25">
      <c r="A851" t="e">
        <f t="shared" si="102"/>
        <v>#VALUE!</v>
      </c>
      <c r="B851" t="e">
        <f t="shared" si="103"/>
        <v>#VALUE!</v>
      </c>
      <c r="D851" s="21" t="str" cm="1">
        <f t="array" ref="D851">IF(ROWS($D$7:D851)&gt;COUNTIF('[1]U$S'!$H$5:$H$1008,$L$5),"",INDEX(CuentaUS,_xlfn.AGGREGATE(15,6,ROW('[1]U$S'!$H$5:$H$1008)-ROW('[1]U$S'!$O$5)+1/--('[1]U$S'!$H$5:$H$1008=$L$5),ROWS($D$7:D851)),1))</f>
        <v/>
      </c>
      <c r="E851" s="22" t="str" cm="1">
        <f t="array" ref="E851">IF(ROWS($E$7:E851)&gt;COUNTIF('[1]U$S'!$H$5:$H$1008,$L$5),"",INDEX(CuentaUS,_xlfn.AGGREGATE(15,6,ROW('[1]U$S'!$H$5:$H$1008)-ROW('[1]U$S'!$O$5)+1/--('[1]U$S'!$H$5:$H$1008=$L$5),ROWS($E$7:E851)),6))</f>
        <v/>
      </c>
      <c r="F851" s="22" t="str">
        <f>IF(E851="","",IF(E851&gt;0,SUMIFS('[1]UY$'!$L$5:$L$993,'[1]UY$'!$O$5:$O$993,"Cambio",'[1]UY$'!$E$5:$E$993,'Efecto TC'!D851),""))</f>
        <v/>
      </c>
      <c r="G851" s="23" t="str">
        <f t="shared" si="99"/>
        <v/>
      </c>
      <c r="H851" s="22" t="str">
        <f t="shared" si="100"/>
        <v/>
      </c>
      <c r="I851" s="54" t="str">
        <f t="shared" si="104"/>
        <v/>
      </c>
      <c r="R851" s="24" t="e">
        <f t="shared" si="101"/>
        <v>#VALUE!</v>
      </c>
      <c r="S851" s="25" t="e">
        <f t="shared" si="98"/>
        <v>#VALUE!</v>
      </c>
    </row>
    <row r="852" spans="1:19" x14ac:dyDescent="0.25">
      <c r="A852" t="e">
        <f t="shared" si="102"/>
        <v>#VALUE!</v>
      </c>
      <c r="B852" t="e">
        <f t="shared" si="103"/>
        <v>#VALUE!</v>
      </c>
      <c r="D852" s="21" t="str" cm="1">
        <f t="array" ref="D852">IF(ROWS($D$7:D852)&gt;COUNTIF('[1]U$S'!$H$5:$H$1008,$L$5),"",INDEX(CuentaUS,_xlfn.AGGREGATE(15,6,ROW('[1]U$S'!$H$5:$H$1008)-ROW('[1]U$S'!$O$5)+1/--('[1]U$S'!$H$5:$H$1008=$L$5),ROWS($D$7:D852)),1))</f>
        <v/>
      </c>
      <c r="E852" s="22" t="str" cm="1">
        <f t="array" ref="E852">IF(ROWS($E$7:E852)&gt;COUNTIF('[1]U$S'!$H$5:$H$1008,$L$5),"",INDEX(CuentaUS,_xlfn.AGGREGATE(15,6,ROW('[1]U$S'!$H$5:$H$1008)-ROW('[1]U$S'!$O$5)+1/--('[1]U$S'!$H$5:$H$1008=$L$5),ROWS($E$7:E852)),6))</f>
        <v/>
      </c>
      <c r="F852" s="22" t="str">
        <f>IF(E852="","",IF(E852&gt;0,SUMIFS('[1]UY$'!$L$5:$L$993,'[1]UY$'!$O$5:$O$993,"Cambio",'[1]UY$'!$E$5:$E$993,'Efecto TC'!D852),""))</f>
        <v/>
      </c>
      <c r="G852" s="23" t="str">
        <f t="shared" si="99"/>
        <v/>
      </c>
      <c r="H852" s="22" t="str">
        <f t="shared" si="100"/>
        <v/>
      </c>
      <c r="I852" s="54" t="str">
        <f t="shared" si="104"/>
        <v/>
      </c>
      <c r="R852" s="24" t="e">
        <f t="shared" si="101"/>
        <v>#VALUE!</v>
      </c>
      <c r="S852" s="25" t="e">
        <f t="shared" si="98"/>
        <v>#VALUE!</v>
      </c>
    </row>
    <row r="853" spans="1:19" x14ac:dyDescent="0.25">
      <c r="A853" t="e">
        <f t="shared" si="102"/>
        <v>#VALUE!</v>
      </c>
      <c r="B853" t="e">
        <f t="shared" si="103"/>
        <v>#VALUE!</v>
      </c>
      <c r="D853" s="21" t="str" cm="1">
        <f t="array" ref="D853">IF(ROWS($D$7:D853)&gt;COUNTIF('[1]U$S'!$H$5:$H$1008,$L$5),"",INDEX(CuentaUS,_xlfn.AGGREGATE(15,6,ROW('[1]U$S'!$H$5:$H$1008)-ROW('[1]U$S'!$O$5)+1/--('[1]U$S'!$H$5:$H$1008=$L$5),ROWS($D$7:D853)),1))</f>
        <v/>
      </c>
      <c r="E853" s="22" t="str" cm="1">
        <f t="array" ref="E853">IF(ROWS($E$7:E853)&gt;COUNTIF('[1]U$S'!$H$5:$H$1008,$L$5),"",INDEX(CuentaUS,_xlfn.AGGREGATE(15,6,ROW('[1]U$S'!$H$5:$H$1008)-ROW('[1]U$S'!$O$5)+1/--('[1]U$S'!$H$5:$H$1008=$L$5),ROWS($E$7:E853)),6))</f>
        <v/>
      </c>
      <c r="F853" s="22" t="str">
        <f>IF(E853="","",IF(E853&gt;0,SUMIFS('[1]UY$'!$L$5:$L$993,'[1]UY$'!$O$5:$O$993,"Cambio",'[1]UY$'!$E$5:$E$993,'Efecto TC'!D853),""))</f>
        <v/>
      </c>
      <c r="G853" s="23" t="str">
        <f t="shared" si="99"/>
        <v/>
      </c>
      <c r="H853" s="22" t="str">
        <f t="shared" si="100"/>
        <v/>
      </c>
      <c r="I853" s="54" t="str">
        <f t="shared" si="104"/>
        <v/>
      </c>
      <c r="R853" s="24" t="e">
        <f t="shared" si="101"/>
        <v>#VALUE!</v>
      </c>
      <c r="S853" s="25" t="e">
        <f t="shared" si="98"/>
        <v>#VALUE!</v>
      </c>
    </row>
    <row r="854" spans="1:19" x14ac:dyDescent="0.25">
      <c r="A854" t="e">
        <f t="shared" si="102"/>
        <v>#VALUE!</v>
      </c>
      <c r="B854" t="e">
        <f t="shared" si="103"/>
        <v>#VALUE!</v>
      </c>
      <c r="D854" s="21" t="str" cm="1">
        <f t="array" ref="D854">IF(ROWS($D$7:D854)&gt;COUNTIF('[1]U$S'!$H$5:$H$1008,$L$5),"",INDEX(CuentaUS,_xlfn.AGGREGATE(15,6,ROW('[1]U$S'!$H$5:$H$1008)-ROW('[1]U$S'!$O$5)+1/--('[1]U$S'!$H$5:$H$1008=$L$5),ROWS($D$7:D854)),1))</f>
        <v/>
      </c>
      <c r="E854" s="22" t="str" cm="1">
        <f t="array" ref="E854">IF(ROWS($E$7:E854)&gt;COUNTIF('[1]U$S'!$H$5:$H$1008,$L$5),"",INDEX(CuentaUS,_xlfn.AGGREGATE(15,6,ROW('[1]U$S'!$H$5:$H$1008)-ROW('[1]U$S'!$O$5)+1/--('[1]U$S'!$H$5:$H$1008=$L$5),ROWS($E$7:E854)),6))</f>
        <v/>
      </c>
      <c r="F854" s="22" t="str">
        <f>IF(E854="","",IF(E854&gt;0,SUMIFS('[1]UY$'!$L$5:$L$993,'[1]UY$'!$O$5:$O$993,"Cambio",'[1]UY$'!$E$5:$E$993,'Efecto TC'!D854),""))</f>
        <v/>
      </c>
      <c r="G854" s="23" t="str">
        <f t="shared" si="99"/>
        <v/>
      </c>
      <c r="H854" s="22" t="str">
        <f t="shared" si="100"/>
        <v/>
      </c>
      <c r="I854" s="54" t="str">
        <f t="shared" si="104"/>
        <v/>
      </c>
      <c r="R854" s="24" t="e">
        <f t="shared" si="101"/>
        <v>#VALUE!</v>
      </c>
      <c r="S854" s="25" t="e">
        <f t="shared" si="98"/>
        <v>#VALUE!</v>
      </c>
    </row>
    <row r="855" spans="1:19" x14ac:dyDescent="0.25">
      <c r="A855" t="e">
        <f t="shared" si="102"/>
        <v>#VALUE!</v>
      </c>
      <c r="B855" t="e">
        <f t="shared" si="103"/>
        <v>#VALUE!</v>
      </c>
      <c r="D855" s="21" t="str" cm="1">
        <f t="array" ref="D855">IF(ROWS($D$7:D855)&gt;COUNTIF('[1]U$S'!$H$5:$H$1008,$L$5),"",INDEX(CuentaUS,_xlfn.AGGREGATE(15,6,ROW('[1]U$S'!$H$5:$H$1008)-ROW('[1]U$S'!$O$5)+1/--('[1]U$S'!$H$5:$H$1008=$L$5),ROWS($D$7:D855)),1))</f>
        <v/>
      </c>
      <c r="E855" s="22" t="str" cm="1">
        <f t="array" ref="E855">IF(ROWS($E$7:E855)&gt;COUNTIF('[1]U$S'!$H$5:$H$1008,$L$5),"",INDEX(CuentaUS,_xlfn.AGGREGATE(15,6,ROW('[1]U$S'!$H$5:$H$1008)-ROW('[1]U$S'!$O$5)+1/--('[1]U$S'!$H$5:$H$1008=$L$5),ROWS($E$7:E855)),6))</f>
        <v/>
      </c>
      <c r="F855" s="22" t="str">
        <f>IF(E855="","",IF(E855&gt;0,SUMIFS('[1]UY$'!$L$5:$L$993,'[1]UY$'!$O$5:$O$993,"Cambio",'[1]UY$'!$E$5:$E$993,'Efecto TC'!D855),""))</f>
        <v/>
      </c>
      <c r="G855" s="23" t="str">
        <f t="shared" si="99"/>
        <v/>
      </c>
      <c r="H855" s="22" t="str">
        <f t="shared" si="100"/>
        <v/>
      </c>
      <c r="I855" s="54" t="str">
        <f t="shared" si="104"/>
        <v/>
      </c>
      <c r="R855" s="24" t="e">
        <f t="shared" si="101"/>
        <v>#VALUE!</v>
      </c>
      <c r="S855" s="25" t="e">
        <f t="shared" si="98"/>
        <v>#VALUE!</v>
      </c>
    </row>
    <row r="856" spans="1:19" x14ac:dyDescent="0.25">
      <c r="A856" t="e">
        <f t="shared" si="102"/>
        <v>#VALUE!</v>
      </c>
      <c r="B856" t="e">
        <f t="shared" si="103"/>
        <v>#VALUE!</v>
      </c>
      <c r="D856" s="21" t="str" cm="1">
        <f t="array" ref="D856">IF(ROWS($D$7:D856)&gt;COUNTIF('[1]U$S'!$H$5:$H$1008,$L$5),"",INDEX(CuentaUS,_xlfn.AGGREGATE(15,6,ROW('[1]U$S'!$H$5:$H$1008)-ROW('[1]U$S'!$O$5)+1/--('[1]U$S'!$H$5:$H$1008=$L$5),ROWS($D$7:D856)),1))</f>
        <v/>
      </c>
      <c r="E856" s="22" t="str" cm="1">
        <f t="array" ref="E856">IF(ROWS($E$7:E856)&gt;COUNTIF('[1]U$S'!$H$5:$H$1008,$L$5),"",INDEX(CuentaUS,_xlfn.AGGREGATE(15,6,ROW('[1]U$S'!$H$5:$H$1008)-ROW('[1]U$S'!$O$5)+1/--('[1]U$S'!$H$5:$H$1008=$L$5),ROWS($E$7:E856)),6))</f>
        <v/>
      </c>
      <c r="F856" s="22" t="str">
        <f>IF(E856="","",IF(E856&gt;0,SUMIFS('[1]UY$'!$L$5:$L$993,'[1]UY$'!$O$5:$O$993,"Cambio",'[1]UY$'!$E$5:$E$993,'Efecto TC'!D856),""))</f>
        <v/>
      </c>
      <c r="G856" s="23" t="str">
        <f t="shared" si="99"/>
        <v/>
      </c>
      <c r="H856" s="22" t="str">
        <f t="shared" si="100"/>
        <v/>
      </c>
      <c r="I856" s="54" t="str">
        <f t="shared" si="104"/>
        <v/>
      </c>
      <c r="R856" s="24" t="e">
        <f t="shared" si="101"/>
        <v>#VALUE!</v>
      </c>
      <c r="S856" s="25" t="e">
        <f t="shared" si="98"/>
        <v>#VALUE!</v>
      </c>
    </row>
    <row r="857" spans="1:19" x14ac:dyDescent="0.25">
      <c r="A857" t="e">
        <f t="shared" si="102"/>
        <v>#VALUE!</v>
      </c>
      <c r="B857" t="e">
        <f t="shared" si="103"/>
        <v>#VALUE!</v>
      </c>
      <c r="D857" s="21" t="str" cm="1">
        <f t="array" ref="D857">IF(ROWS($D$7:D857)&gt;COUNTIF('[1]U$S'!$H$5:$H$1008,$L$5),"",INDEX(CuentaUS,_xlfn.AGGREGATE(15,6,ROW('[1]U$S'!$H$5:$H$1008)-ROW('[1]U$S'!$O$5)+1/--('[1]U$S'!$H$5:$H$1008=$L$5),ROWS($D$7:D857)),1))</f>
        <v/>
      </c>
      <c r="E857" s="22" t="str" cm="1">
        <f t="array" ref="E857">IF(ROWS($E$7:E857)&gt;COUNTIF('[1]U$S'!$H$5:$H$1008,$L$5),"",INDEX(CuentaUS,_xlfn.AGGREGATE(15,6,ROW('[1]U$S'!$H$5:$H$1008)-ROW('[1]U$S'!$O$5)+1/--('[1]U$S'!$H$5:$H$1008=$L$5),ROWS($E$7:E857)),6))</f>
        <v/>
      </c>
      <c r="F857" s="22" t="str">
        <f>IF(E857="","",IF(E857&gt;0,SUMIFS('[1]UY$'!$L$5:$L$993,'[1]UY$'!$O$5:$O$993,"Cambio",'[1]UY$'!$E$5:$E$993,'Efecto TC'!D857),""))</f>
        <v/>
      </c>
      <c r="G857" s="23" t="str">
        <f t="shared" si="99"/>
        <v/>
      </c>
      <c r="H857" s="22" t="str">
        <f t="shared" si="100"/>
        <v/>
      </c>
      <c r="I857" s="54" t="str">
        <f t="shared" si="104"/>
        <v/>
      </c>
      <c r="R857" s="24" t="e">
        <f t="shared" si="101"/>
        <v>#VALUE!</v>
      </c>
      <c r="S857" s="25" t="e">
        <f t="shared" si="98"/>
        <v>#VALUE!</v>
      </c>
    </row>
    <row r="858" spans="1:19" x14ac:dyDescent="0.25">
      <c r="A858" t="e">
        <f t="shared" si="102"/>
        <v>#VALUE!</v>
      </c>
      <c r="B858" t="e">
        <f t="shared" si="103"/>
        <v>#VALUE!</v>
      </c>
      <c r="D858" s="21" t="str" cm="1">
        <f t="array" ref="D858">IF(ROWS($D$7:D858)&gt;COUNTIF('[1]U$S'!$H$5:$H$1008,$L$5),"",INDEX(CuentaUS,_xlfn.AGGREGATE(15,6,ROW('[1]U$S'!$H$5:$H$1008)-ROW('[1]U$S'!$O$5)+1/--('[1]U$S'!$H$5:$H$1008=$L$5),ROWS($D$7:D858)),1))</f>
        <v/>
      </c>
      <c r="E858" s="22" t="str" cm="1">
        <f t="array" ref="E858">IF(ROWS($E$7:E858)&gt;COUNTIF('[1]U$S'!$H$5:$H$1008,$L$5),"",INDEX(CuentaUS,_xlfn.AGGREGATE(15,6,ROW('[1]U$S'!$H$5:$H$1008)-ROW('[1]U$S'!$O$5)+1/--('[1]U$S'!$H$5:$H$1008=$L$5),ROWS($E$7:E858)),6))</f>
        <v/>
      </c>
      <c r="F858" s="22" t="str">
        <f>IF(E858="","",IF(E858&gt;0,SUMIFS('[1]UY$'!$L$5:$L$993,'[1]UY$'!$O$5:$O$993,"Cambio",'[1]UY$'!$E$5:$E$993,'Efecto TC'!D858),""))</f>
        <v/>
      </c>
      <c r="G858" s="23" t="str">
        <f t="shared" si="99"/>
        <v/>
      </c>
      <c r="H858" s="22" t="str">
        <f t="shared" si="100"/>
        <v/>
      </c>
      <c r="I858" s="54" t="str">
        <f t="shared" si="104"/>
        <v/>
      </c>
      <c r="R858" s="24" t="e">
        <f t="shared" si="101"/>
        <v>#VALUE!</v>
      </c>
      <c r="S858" s="25" t="e">
        <f t="shared" si="98"/>
        <v>#VALUE!</v>
      </c>
    </row>
    <row r="859" spans="1:19" x14ac:dyDescent="0.25">
      <c r="A859" t="e">
        <f t="shared" si="102"/>
        <v>#VALUE!</v>
      </c>
      <c r="B859" t="e">
        <f t="shared" si="103"/>
        <v>#VALUE!</v>
      </c>
      <c r="D859" s="21" t="str" cm="1">
        <f t="array" ref="D859">IF(ROWS($D$7:D859)&gt;COUNTIF('[1]U$S'!$H$5:$H$1008,$L$5),"",INDEX(CuentaUS,_xlfn.AGGREGATE(15,6,ROW('[1]U$S'!$H$5:$H$1008)-ROW('[1]U$S'!$O$5)+1/--('[1]U$S'!$H$5:$H$1008=$L$5),ROWS($D$7:D859)),1))</f>
        <v/>
      </c>
      <c r="E859" s="22" t="str" cm="1">
        <f t="array" ref="E859">IF(ROWS($E$7:E859)&gt;COUNTIF('[1]U$S'!$H$5:$H$1008,$L$5),"",INDEX(CuentaUS,_xlfn.AGGREGATE(15,6,ROW('[1]U$S'!$H$5:$H$1008)-ROW('[1]U$S'!$O$5)+1/--('[1]U$S'!$H$5:$H$1008=$L$5),ROWS($E$7:E859)),6))</f>
        <v/>
      </c>
      <c r="F859" s="22" t="str">
        <f>IF(E859="","",IF(E859&gt;0,SUMIFS('[1]UY$'!$L$5:$L$993,'[1]UY$'!$O$5:$O$993,"Cambio",'[1]UY$'!$E$5:$E$993,'Efecto TC'!D859),""))</f>
        <v/>
      </c>
      <c r="G859" s="23" t="str">
        <f t="shared" si="99"/>
        <v/>
      </c>
      <c r="H859" s="22" t="str">
        <f t="shared" si="100"/>
        <v/>
      </c>
      <c r="I859" s="54" t="str">
        <f t="shared" si="104"/>
        <v/>
      </c>
      <c r="R859" s="24" t="e">
        <f t="shared" si="101"/>
        <v>#VALUE!</v>
      </c>
      <c r="S859" s="25" t="e">
        <f t="shared" ref="S859:S922" si="105">R859*G853</f>
        <v>#VALUE!</v>
      </c>
    </row>
    <row r="860" spans="1:19" x14ac:dyDescent="0.25">
      <c r="A860" t="e">
        <f t="shared" si="102"/>
        <v>#VALUE!</v>
      </c>
      <c r="B860" t="e">
        <f t="shared" si="103"/>
        <v>#VALUE!</v>
      </c>
      <c r="D860" s="21" t="str" cm="1">
        <f t="array" ref="D860">IF(ROWS($D$7:D860)&gt;COUNTIF('[1]U$S'!$H$5:$H$1008,$L$5),"",INDEX(CuentaUS,_xlfn.AGGREGATE(15,6,ROW('[1]U$S'!$H$5:$H$1008)-ROW('[1]U$S'!$O$5)+1/--('[1]U$S'!$H$5:$H$1008=$L$5),ROWS($D$7:D860)),1))</f>
        <v/>
      </c>
      <c r="E860" s="22" t="str" cm="1">
        <f t="array" ref="E860">IF(ROWS($E$7:E860)&gt;COUNTIF('[1]U$S'!$H$5:$H$1008,$L$5),"",INDEX(CuentaUS,_xlfn.AGGREGATE(15,6,ROW('[1]U$S'!$H$5:$H$1008)-ROW('[1]U$S'!$O$5)+1/--('[1]U$S'!$H$5:$H$1008=$L$5),ROWS($E$7:E860)),6))</f>
        <v/>
      </c>
      <c r="F860" s="22" t="str">
        <f>IF(E860="","",IF(E860&gt;0,SUMIFS('[1]UY$'!$L$5:$L$993,'[1]UY$'!$O$5:$O$993,"Cambio",'[1]UY$'!$E$5:$E$993,'Efecto TC'!D860),""))</f>
        <v/>
      </c>
      <c r="G860" s="23" t="str">
        <f t="shared" si="99"/>
        <v/>
      </c>
      <c r="H860" s="22" t="str">
        <f t="shared" si="100"/>
        <v/>
      </c>
      <c r="I860" s="54" t="str">
        <f t="shared" si="104"/>
        <v/>
      </c>
      <c r="R860" s="24" t="e">
        <f t="shared" si="101"/>
        <v>#VALUE!</v>
      </c>
      <c r="S860" s="25" t="e">
        <f t="shared" si="105"/>
        <v>#VALUE!</v>
      </c>
    </row>
    <row r="861" spans="1:19" x14ac:dyDescent="0.25">
      <c r="A861" t="e">
        <f t="shared" si="102"/>
        <v>#VALUE!</v>
      </c>
      <c r="B861" t="e">
        <f t="shared" si="103"/>
        <v>#VALUE!</v>
      </c>
      <c r="D861" s="21" t="str" cm="1">
        <f t="array" ref="D861">IF(ROWS($D$7:D861)&gt;COUNTIF('[1]U$S'!$H$5:$H$1008,$L$5),"",INDEX(CuentaUS,_xlfn.AGGREGATE(15,6,ROW('[1]U$S'!$H$5:$H$1008)-ROW('[1]U$S'!$O$5)+1/--('[1]U$S'!$H$5:$H$1008=$L$5),ROWS($D$7:D861)),1))</f>
        <v/>
      </c>
      <c r="E861" s="22" t="str" cm="1">
        <f t="array" ref="E861">IF(ROWS($E$7:E861)&gt;COUNTIF('[1]U$S'!$H$5:$H$1008,$L$5),"",INDEX(CuentaUS,_xlfn.AGGREGATE(15,6,ROW('[1]U$S'!$H$5:$H$1008)-ROW('[1]U$S'!$O$5)+1/--('[1]U$S'!$H$5:$H$1008=$L$5),ROWS($E$7:E861)),6))</f>
        <v/>
      </c>
      <c r="F861" s="22" t="str">
        <f>IF(E861="","",IF(E861&gt;0,SUMIFS('[1]UY$'!$L$5:$L$993,'[1]UY$'!$O$5:$O$993,"Cambio",'[1]UY$'!$E$5:$E$993,'Efecto TC'!D861),""))</f>
        <v/>
      </c>
      <c r="G861" s="23" t="str">
        <f t="shared" si="99"/>
        <v/>
      </c>
      <c r="H861" s="22" t="str">
        <f t="shared" si="100"/>
        <v/>
      </c>
      <c r="I861" s="54" t="str">
        <f t="shared" si="104"/>
        <v/>
      </c>
      <c r="R861" s="24" t="e">
        <f t="shared" si="101"/>
        <v>#VALUE!</v>
      </c>
      <c r="S861" s="25" t="e">
        <f t="shared" si="105"/>
        <v>#VALUE!</v>
      </c>
    </row>
    <row r="862" spans="1:19" x14ac:dyDescent="0.25">
      <c r="A862" t="e">
        <f t="shared" si="102"/>
        <v>#VALUE!</v>
      </c>
      <c r="B862" t="e">
        <f t="shared" si="103"/>
        <v>#VALUE!</v>
      </c>
      <c r="D862" s="21" t="str" cm="1">
        <f t="array" ref="D862">IF(ROWS($D$7:D862)&gt;COUNTIF('[1]U$S'!$H$5:$H$1008,$L$5),"",INDEX(CuentaUS,_xlfn.AGGREGATE(15,6,ROW('[1]U$S'!$H$5:$H$1008)-ROW('[1]U$S'!$O$5)+1/--('[1]U$S'!$H$5:$H$1008=$L$5),ROWS($D$7:D862)),1))</f>
        <v/>
      </c>
      <c r="E862" s="22" t="str" cm="1">
        <f t="array" ref="E862">IF(ROWS($E$7:E862)&gt;COUNTIF('[1]U$S'!$H$5:$H$1008,$L$5),"",INDEX(CuentaUS,_xlfn.AGGREGATE(15,6,ROW('[1]U$S'!$H$5:$H$1008)-ROW('[1]U$S'!$O$5)+1/--('[1]U$S'!$H$5:$H$1008=$L$5),ROWS($E$7:E862)),6))</f>
        <v/>
      </c>
      <c r="F862" s="22" t="str">
        <f>IF(E862="","",IF(E862&gt;0,SUMIFS('[1]UY$'!$L$5:$L$993,'[1]UY$'!$O$5:$O$993,"Cambio",'[1]UY$'!$E$5:$E$993,'Efecto TC'!D862),""))</f>
        <v/>
      </c>
      <c r="G862" s="23" t="str">
        <f t="shared" si="99"/>
        <v/>
      </c>
      <c r="H862" s="22" t="str">
        <f t="shared" si="100"/>
        <v/>
      </c>
      <c r="I862" s="54" t="str">
        <f t="shared" si="104"/>
        <v/>
      </c>
      <c r="R862" s="24" t="e">
        <f t="shared" si="101"/>
        <v>#VALUE!</v>
      </c>
      <c r="S862" s="25" t="e">
        <f t="shared" si="105"/>
        <v>#VALUE!</v>
      </c>
    </row>
    <row r="863" spans="1:19" x14ac:dyDescent="0.25">
      <c r="A863" t="e">
        <f t="shared" si="102"/>
        <v>#VALUE!</v>
      </c>
      <c r="B863" t="e">
        <f t="shared" si="103"/>
        <v>#VALUE!</v>
      </c>
      <c r="D863" s="21" t="str" cm="1">
        <f t="array" ref="D863">IF(ROWS($D$7:D863)&gt;COUNTIF('[1]U$S'!$H$5:$H$1008,$L$5),"",INDEX(CuentaUS,_xlfn.AGGREGATE(15,6,ROW('[1]U$S'!$H$5:$H$1008)-ROW('[1]U$S'!$O$5)+1/--('[1]U$S'!$H$5:$H$1008=$L$5),ROWS($D$7:D863)),1))</f>
        <v/>
      </c>
      <c r="E863" s="22" t="str" cm="1">
        <f t="array" ref="E863">IF(ROWS($E$7:E863)&gt;COUNTIF('[1]U$S'!$H$5:$H$1008,$L$5),"",INDEX(CuentaUS,_xlfn.AGGREGATE(15,6,ROW('[1]U$S'!$H$5:$H$1008)-ROW('[1]U$S'!$O$5)+1/--('[1]U$S'!$H$5:$H$1008=$L$5),ROWS($E$7:E863)),6))</f>
        <v/>
      </c>
      <c r="F863" s="22" t="str">
        <f>IF(E863="","",IF(E863&gt;0,SUMIFS('[1]UY$'!$L$5:$L$993,'[1]UY$'!$O$5:$O$993,"Cambio",'[1]UY$'!$E$5:$E$993,'Efecto TC'!D863),""))</f>
        <v/>
      </c>
      <c r="G863" s="23" t="str">
        <f t="shared" si="99"/>
        <v/>
      </c>
      <c r="H863" s="22" t="str">
        <f t="shared" si="100"/>
        <v/>
      </c>
      <c r="I863" s="54" t="str">
        <f t="shared" si="104"/>
        <v/>
      </c>
      <c r="R863" s="24" t="e">
        <f t="shared" si="101"/>
        <v>#VALUE!</v>
      </c>
      <c r="S863" s="25" t="e">
        <f t="shared" si="105"/>
        <v>#VALUE!</v>
      </c>
    </row>
    <row r="864" spans="1:19" x14ac:dyDescent="0.25">
      <c r="A864" t="e">
        <f t="shared" si="102"/>
        <v>#VALUE!</v>
      </c>
      <c r="B864" t="e">
        <f t="shared" si="103"/>
        <v>#VALUE!</v>
      </c>
      <c r="D864" s="21" t="str" cm="1">
        <f t="array" ref="D864">IF(ROWS($D$7:D864)&gt;COUNTIF('[1]U$S'!$H$5:$H$1008,$L$5),"",INDEX(CuentaUS,_xlfn.AGGREGATE(15,6,ROW('[1]U$S'!$H$5:$H$1008)-ROW('[1]U$S'!$O$5)+1/--('[1]U$S'!$H$5:$H$1008=$L$5),ROWS($D$7:D864)),1))</f>
        <v/>
      </c>
      <c r="E864" s="22" t="str" cm="1">
        <f t="array" ref="E864">IF(ROWS($E$7:E864)&gt;COUNTIF('[1]U$S'!$H$5:$H$1008,$L$5),"",INDEX(CuentaUS,_xlfn.AGGREGATE(15,6,ROW('[1]U$S'!$H$5:$H$1008)-ROW('[1]U$S'!$O$5)+1/--('[1]U$S'!$H$5:$H$1008=$L$5),ROWS($E$7:E864)),6))</f>
        <v/>
      </c>
      <c r="F864" s="22" t="str">
        <f>IF(E864="","",IF(E864&gt;0,SUMIFS('[1]UY$'!$L$5:$L$993,'[1]UY$'!$O$5:$O$993,"Cambio",'[1]UY$'!$E$5:$E$993,'Efecto TC'!D864),""))</f>
        <v/>
      </c>
      <c r="G864" s="23" t="str">
        <f t="shared" si="99"/>
        <v/>
      </c>
      <c r="H864" s="22" t="str">
        <f t="shared" si="100"/>
        <v/>
      </c>
      <c r="I864" s="54" t="str">
        <f t="shared" si="104"/>
        <v/>
      </c>
      <c r="R864" s="24" t="e">
        <f t="shared" si="101"/>
        <v>#VALUE!</v>
      </c>
      <c r="S864" s="25" t="e">
        <f t="shared" si="105"/>
        <v>#VALUE!</v>
      </c>
    </row>
    <row r="865" spans="1:19" x14ac:dyDescent="0.25">
      <c r="A865" t="e">
        <f t="shared" si="102"/>
        <v>#VALUE!</v>
      </c>
      <c r="B865" t="e">
        <f t="shared" si="103"/>
        <v>#VALUE!</v>
      </c>
      <c r="D865" s="21" t="str" cm="1">
        <f t="array" ref="D865">IF(ROWS($D$7:D865)&gt;COUNTIF('[1]U$S'!$H$5:$H$1008,$L$5),"",INDEX(CuentaUS,_xlfn.AGGREGATE(15,6,ROW('[1]U$S'!$H$5:$H$1008)-ROW('[1]U$S'!$O$5)+1/--('[1]U$S'!$H$5:$H$1008=$L$5),ROWS($D$7:D865)),1))</f>
        <v/>
      </c>
      <c r="E865" s="22" t="str" cm="1">
        <f t="array" ref="E865">IF(ROWS($E$7:E865)&gt;COUNTIF('[1]U$S'!$H$5:$H$1008,$L$5),"",INDEX(CuentaUS,_xlfn.AGGREGATE(15,6,ROW('[1]U$S'!$H$5:$H$1008)-ROW('[1]U$S'!$O$5)+1/--('[1]U$S'!$H$5:$H$1008=$L$5),ROWS($E$7:E865)),6))</f>
        <v/>
      </c>
      <c r="F865" s="22" t="str">
        <f>IF(E865="","",IF(E865&gt;0,SUMIFS('[1]UY$'!$L$5:$L$993,'[1]UY$'!$O$5:$O$993,"Cambio",'[1]UY$'!$E$5:$E$993,'Efecto TC'!D865),""))</f>
        <v/>
      </c>
      <c r="G865" s="23" t="str">
        <f t="shared" si="99"/>
        <v/>
      </c>
      <c r="H865" s="22" t="str">
        <f t="shared" si="100"/>
        <v/>
      </c>
      <c r="I865" s="54" t="str">
        <f t="shared" si="104"/>
        <v/>
      </c>
      <c r="R865" s="24" t="e">
        <f t="shared" si="101"/>
        <v>#VALUE!</v>
      </c>
      <c r="S865" s="25" t="e">
        <f t="shared" si="105"/>
        <v>#VALUE!</v>
      </c>
    </row>
    <row r="866" spans="1:19" x14ac:dyDescent="0.25">
      <c r="A866" t="e">
        <f t="shared" si="102"/>
        <v>#VALUE!</v>
      </c>
      <c r="B866" t="e">
        <f t="shared" si="103"/>
        <v>#VALUE!</v>
      </c>
      <c r="D866" s="21" t="str" cm="1">
        <f t="array" ref="D866">IF(ROWS($D$7:D866)&gt;COUNTIF('[1]U$S'!$H$5:$H$1008,$L$5),"",INDEX(CuentaUS,_xlfn.AGGREGATE(15,6,ROW('[1]U$S'!$H$5:$H$1008)-ROW('[1]U$S'!$O$5)+1/--('[1]U$S'!$H$5:$H$1008=$L$5),ROWS($D$7:D866)),1))</f>
        <v/>
      </c>
      <c r="E866" s="22" t="str" cm="1">
        <f t="array" ref="E866">IF(ROWS($E$7:E866)&gt;COUNTIF('[1]U$S'!$H$5:$H$1008,$L$5),"",INDEX(CuentaUS,_xlfn.AGGREGATE(15,6,ROW('[1]U$S'!$H$5:$H$1008)-ROW('[1]U$S'!$O$5)+1/--('[1]U$S'!$H$5:$H$1008=$L$5),ROWS($E$7:E866)),6))</f>
        <v/>
      </c>
      <c r="F866" s="22" t="str">
        <f>IF(E866="","",IF(E866&gt;0,SUMIFS('[1]UY$'!$L$5:$L$993,'[1]UY$'!$O$5:$O$993,"Cambio",'[1]UY$'!$E$5:$E$993,'Efecto TC'!D866),""))</f>
        <v/>
      </c>
      <c r="G866" s="23" t="str">
        <f t="shared" ref="G866:G929" si="106">IF(F866="","",F866/E866)</f>
        <v/>
      </c>
      <c r="H866" s="22" t="str">
        <f t="shared" ref="H866:H929" si="107">IF(E866="","",F866/$F$2-F866/G866)</f>
        <v/>
      </c>
      <c r="I866" s="54" t="str">
        <f t="shared" si="104"/>
        <v/>
      </c>
      <c r="R866" s="24" t="e">
        <f t="shared" ref="R866:R929" si="108">E866/$E$1001</f>
        <v>#VALUE!</v>
      </c>
      <c r="S866" s="25" t="e">
        <f t="shared" si="105"/>
        <v>#VALUE!</v>
      </c>
    </row>
    <row r="867" spans="1:19" x14ac:dyDescent="0.25">
      <c r="A867" t="e">
        <f t="shared" si="102"/>
        <v>#VALUE!</v>
      </c>
      <c r="B867" t="e">
        <f t="shared" si="103"/>
        <v>#VALUE!</v>
      </c>
      <c r="D867" s="21" t="str" cm="1">
        <f t="array" ref="D867">IF(ROWS($D$7:D867)&gt;COUNTIF('[1]U$S'!$H$5:$H$1008,$L$5),"",INDEX(CuentaUS,_xlfn.AGGREGATE(15,6,ROW('[1]U$S'!$H$5:$H$1008)-ROW('[1]U$S'!$O$5)+1/--('[1]U$S'!$H$5:$H$1008=$L$5),ROWS($D$7:D867)),1))</f>
        <v/>
      </c>
      <c r="E867" s="22" t="str" cm="1">
        <f t="array" ref="E867">IF(ROWS($E$7:E867)&gt;COUNTIF('[1]U$S'!$H$5:$H$1008,$L$5),"",INDEX(CuentaUS,_xlfn.AGGREGATE(15,6,ROW('[1]U$S'!$H$5:$H$1008)-ROW('[1]U$S'!$O$5)+1/--('[1]U$S'!$H$5:$H$1008=$L$5),ROWS($E$7:E867)),6))</f>
        <v/>
      </c>
      <c r="F867" s="22" t="str">
        <f>IF(E867="","",IF(E867&gt;0,SUMIFS('[1]UY$'!$L$5:$L$993,'[1]UY$'!$O$5:$O$993,"Cambio",'[1]UY$'!$E$5:$E$993,'Efecto TC'!D867),""))</f>
        <v/>
      </c>
      <c r="G867" s="23" t="str">
        <f t="shared" si="106"/>
        <v/>
      </c>
      <c r="H867" s="22" t="str">
        <f t="shared" si="107"/>
        <v/>
      </c>
      <c r="I867" s="54" t="str">
        <f t="shared" si="104"/>
        <v/>
      </c>
      <c r="R867" s="24" t="e">
        <f t="shared" si="108"/>
        <v>#VALUE!</v>
      </c>
      <c r="S867" s="25" t="e">
        <f t="shared" si="105"/>
        <v>#VALUE!</v>
      </c>
    </row>
    <row r="868" spans="1:19" x14ac:dyDescent="0.25">
      <c r="A868" t="e">
        <f t="shared" si="102"/>
        <v>#VALUE!</v>
      </c>
      <c r="B868" t="e">
        <f t="shared" si="103"/>
        <v>#VALUE!</v>
      </c>
      <c r="D868" s="21" t="str" cm="1">
        <f t="array" ref="D868">IF(ROWS($D$7:D868)&gt;COUNTIF('[1]U$S'!$H$5:$H$1008,$L$5),"",INDEX(CuentaUS,_xlfn.AGGREGATE(15,6,ROW('[1]U$S'!$H$5:$H$1008)-ROW('[1]U$S'!$O$5)+1/--('[1]U$S'!$H$5:$H$1008=$L$5),ROWS($D$7:D868)),1))</f>
        <v/>
      </c>
      <c r="E868" s="22" t="str" cm="1">
        <f t="array" ref="E868">IF(ROWS($E$7:E868)&gt;COUNTIF('[1]U$S'!$H$5:$H$1008,$L$5),"",INDEX(CuentaUS,_xlfn.AGGREGATE(15,6,ROW('[1]U$S'!$H$5:$H$1008)-ROW('[1]U$S'!$O$5)+1/--('[1]U$S'!$H$5:$H$1008=$L$5),ROWS($E$7:E868)),6))</f>
        <v/>
      </c>
      <c r="F868" s="22" t="str">
        <f>IF(E868="","",IF(E868&gt;0,SUMIFS('[1]UY$'!$L$5:$L$993,'[1]UY$'!$O$5:$O$993,"Cambio",'[1]UY$'!$E$5:$E$993,'Efecto TC'!D868),""))</f>
        <v/>
      </c>
      <c r="G868" s="23" t="str">
        <f t="shared" si="106"/>
        <v/>
      </c>
      <c r="H868" s="22" t="str">
        <f t="shared" si="107"/>
        <v/>
      </c>
      <c r="I868" s="54" t="str">
        <f t="shared" si="104"/>
        <v/>
      </c>
      <c r="R868" s="24" t="e">
        <f t="shared" si="108"/>
        <v>#VALUE!</v>
      </c>
      <c r="S868" s="25" t="e">
        <f t="shared" si="105"/>
        <v>#VALUE!</v>
      </c>
    </row>
    <row r="869" spans="1:19" x14ac:dyDescent="0.25">
      <c r="A869" t="e">
        <f t="shared" si="102"/>
        <v>#VALUE!</v>
      </c>
      <c r="B869" t="e">
        <f t="shared" si="103"/>
        <v>#VALUE!</v>
      </c>
      <c r="D869" s="21" t="str" cm="1">
        <f t="array" ref="D869">IF(ROWS($D$7:D869)&gt;COUNTIF('[1]U$S'!$H$5:$H$1008,$L$5),"",INDEX(CuentaUS,_xlfn.AGGREGATE(15,6,ROW('[1]U$S'!$H$5:$H$1008)-ROW('[1]U$S'!$O$5)+1/--('[1]U$S'!$H$5:$H$1008=$L$5),ROWS($D$7:D869)),1))</f>
        <v/>
      </c>
      <c r="E869" s="22" t="str" cm="1">
        <f t="array" ref="E869">IF(ROWS($E$7:E869)&gt;COUNTIF('[1]U$S'!$H$5:$H$1008,$L$5),"",INDEX(CuentaUS,_xlfn.AGGREGATE(15,6,ROW('[1]U$S'!$H$5:$H$1008)-ROW('[1]U$S'!$O$5)+1/--('[1]U$S'!$H$5:$H$1008=$L$5),ROWS($E$7:E869)),6))</f>
        <v/>
      </c>
      <c r="F869" s="22" t="str">
        <f>IF(E869="","",IF(E869&gt;0,SUMIFS('[1]UY$'!$L$5:$L$993,'[1]UY$'!$O$5:$O$993,"Cambio",'[1]UY$'!$E$5:$E$993,'Efecto TC'!D869),""))</f>
        <v/>
      </c>
      <c r="G869" s="23" t="str">
        <f t="shared" si="106"/>
        <v/>
      </c>
      <c r="H869" s="22" t="str">
        <f t="shared" si="107"/>
        <v/>
      </c>
      <c r="I869" s="54" t="str">
        <f t="shared" si="104"/>
        <v/>
      </c>
      <c r="R869" s="24" t="e">
        <f t="shared" si="108"/>
        <v>#VALUE!</v>
      </c>
      <c r="S869" s="25" t="e">
        <f t="shared" si="105"/>
        <v>#VALUE!</v>
      </c>
    </row>
    <row r="870" spans="1:19" x14ac:dyDescent="0.25">
      <c r="A870" t="e">
        <f t="shared" si="102"/>
        <v>#VALUE!</v>
      </c>
      <c r="B870" t="e">
        <f t="shared" si="103"/>
        <v>#VALUE!</v>
      </c>
      <c r="D870" s="21" t="str" cm="1">
        <f t="array" ref="D870">IF(ROWS($D$7:D870)&gt;COUNTIF('[1]U$S'!$H$5:$H$1008,$L$5),"",INDEX(CuentaUS,_xlfn.AGGREGATE(15,6,ROW('[1]U$S'!$H$5:$H$1008)-ROW('[1]U$S'!$O$5)+1/--('[1]U$S'!$H$5:$H$1008=$L$5),ROWS($D$7:D870)),1))</f>
        <v/>
      </c>
      <c r="E870" s="22" t="str" cm="1">
        <f t="array" ref="E870">IF(ROWS($E$7:E870)&gt;COUNTIF('[1]U$S'!$H$5:$H$1008,$L$5),"",INDEX(CuentaUS,_xlfn.AGGREGATE(15,6,ROW('[1]U$S'!$H$5:$H$1008)-ROW('[1]U$S'!$O$5)+1/--('[1]U$S'!$H$5:$H$1008=$L$5),ROWS($E$7:E870)),6))</f>
        <v/>
      </c>
      <c r="F870" s="22" t="str">
        <f>IF(E870="","",IF(E870&gt;0,SUMIFS('[1]UY$'!$L$5:$L$993,'[1]UY$'!$O$5:$O$993,"Cambio",'[1]UY$'!$E$5:$E$993,'Efecto TC'!D870),""))</f>
        <v/>
      </c>
      <c r="G870" s="23" t="str">
        <f t="shared" si="106"/>
        <v/>
      </c>
      <c r="H870" s="22" t="str">
        <f t="shared" si="107"/>
        <v/>
      </c>
      <c r="I870" s="54" t="str">
        <f t="shared" si="104"/>
        <v/>
      </c>
      <c r="R870" s="24" t="e">
        <f t="shared" si="108"/>
        <v>#VALUE!</v>
      </c>
      <c r="S870" s="25" t="e">
        <f t="shared" si="105"/>
        <v>#VALUE!</v>
      </c>
    </row>
    <row r="871" spans="1:19" x14ac:dyDescent="0.25">
      <c r="A871" t="e">
        <f t="shared" si="102"/>
        <v>#VALUE!</v>
      </c>
      <c r="B871" t="e">
        <f t="shared" si="103"/>
        <v>#VALUE!</v>
      </c>
      <c r="D871" s="21" t="str" cm="1">
        <f t="array" ref="D871">IF(ROWS($D$7:D871)&gt;COUNTIF('[1]U$S'!$H$5:$H$1008,$L$5),"",INDEX(CuentaUS,_xlfn.AGGREGATE(15,6,ROW('[1]U$S'!$H$5:$H$1008)-ROW('[1]U$S'!$O$5)+1/--('[1]U$S'!$H$5:$H$1008=$L$5),ROWS($D$7:D871)),1))</f>
        <v/>
      </c>
      <c r="E871" s="22" t="str" cm="1">
        <f t="array" ref="E871">IF(ROWS($E$7:E871)&gt;COUNTIF('[1]U$S'!$H$5:$H$1008,$L$5),"",INDEX(CuentaUS,_xlfn.AGGREGATE(15,6,ROW('[1]U$S'!$H$5:$H$1008)-ROW('[1]U$S'!$O$5)+1/--('[1]U$S'!$H$5:$H$1008=$L$5),ROWS($E$7:E871)),6))</f>
        <v/>
      </c>
      <c r="F871" s="22" t="str">
        <f>IF(E871="","",IF(E871&gt;0,SUMIFS('[1]UY$'!$L$5:$L$993,'[1]UY$'!$O$5:$O$993,"Cambio",'[1]UY$'!$E$5:$E$993,'Efecto TC'!D871),""))</f>
        <v/>
      </c>
      <c r="G871" s="23" t="str">
        <f t="shared" si="106"/>
        <v/>
      </c>
      <c r="H871" s="22" t="str">
        <f t="shared" si="107"/>
        <v/>
      </c>
      <c r="I871" s="54" t="str">
        <f t="shared" si="104"/>
        <v/>
      </c>
      <c r="R871" s="24" t="e">
        <f t="shared" si="108"/>
        <v>#VALUE!</v>
      </c>
      <c r="S871" s="25" t="e">
        <f t="shared" si="105"/>
        <v>#VALUE!</v>
      </c>
    </row>
    <row r="872" spans="1:19" x14ac:dyDescent="0.25">
      <c r="A872" t="e">
        <f t="shared" si="102"/>
        <v>#VALUE!</v>
      </c>
      <c r="B872" t="e">
        <f t="shared" si="103"/>
        <v>#VALUE!</v>
      </c>
      <c r="D872" s="21" t="str" cm="1">
        <f t="array" ref="D872">IF(ROWS($D$7:D872)&gt;COUNTIF('[1]U$S'!$H$5:$H$1008,$L$5),"",INDEX(CuentaUS,_xlfn.AGGREGATE(15,6,ROW('[1]U$S'!$H$5:$H$1008)-ROW('[1]U$S'!$O$5)+1/--('[1]U$S'!$H$5:$H$1008=$L$5),ROWS($D$7:D872)),1))</f>
        <v/>
      </c>
      <c r="E872" s="22" t="str" cm="1">
        <f t="array" ref="E872">IF(ROWS($E$7:E872)&gt;COUNTIF('[1]U$S'!$H$5:$H$1008,$L$5),"",INDEX(CuentaUS,_xlfn.AGGREGATE(15,6,ROW('[1]U$S'!$H$5:$H$1008)-ROW('[1]U$S'!$O$5)+1/--('[1]U$S'!$H$5:$H$1008=$L$5),ROWS($E$7:E872)),6))</f>
        <v/>
      </c>
      <c r="F872" s="22" t="str">
        <f>IF(E872="","",IF(E872&gt;0,SUMIFS('[1]UY$'!$L$5:$L$993,'[1]UY$'!$O$5:$O$993,"Cambio",'[1]UY$'!$E$5:$E$993,'Efecto TC'!D872),""))</f>
        <v/>
      </c>
      <c r="G872" s="23" t="str">
        <f t="shared" si="106"/>
        <v/>
      </c>
      <c r="H872" s="22" t="str">
        <f t="shared" si="107"/>
        <v/>
      </c>
      <c r="I872" s="54" t="str">
        <f t="shared" si="104"/>
        <v/>
      </c>
      <c r="R872" s="24" t="e">
        <f t="shared" si="108"/>
        <v>#VALUE!</v>
      </c>
      <c r="S872" s="25" t="e">
        <f t="shared" si="105"/>
        <v>#VALUE!</v>
      </c>
    </row>
    <row r="873" spans="1:19" x14ac:dyDescent="0.25">
      <c r="A873" t="e">
        <f t="shared" si="102"/>
        <v>#VALUE!</v>
      </c>
      <c r="B873" t="e">
        <f t="shared" si="103"/>
        <v>#VALUE!</v>
      </c>
      <c r="D873" s="21" t="str" cm="1">
        <f t="array" ref="D873">IF(ROWS($D$7:D873)&gt;COUNTIF('[1]U$S'!$H$5:$H$1008,$L$5),"",INDEX(CuentaUS,_xlfn.AGGREGATE(15,6,ROW('[1]U$S'!$H$5:$H$1008)-ROW('[1]U$S'!$O$5)+1/--('[1]U$S'!$H$5:$H$1008=$L$5),ROWS($D$7:D873)),1))</f>
        <v/>
      </c>
      <c r="E873" s="22" t="str" cm="1">
        <f t="array" ref="E873">IF(ROWS($E$7:E873)&gt;COUNTIF('[1]U$S'!$H$5:$H$1008,$L$5),"",INDEX(CuentaUS,_xlfn.AGGREGATE(15,6,ROW('[1]U$S'!$H$5:$H$1008)-ROW('[1]U$S'!$O$5)+1/--('[1]U$S'!$H$5:$H$1008=$L$5),ROWS($E$7:E873)),6))</f>
        <v/>
      </c>
      <c r="F873" s="22" t="str">
        <f>IF(E873="","",IF(E873&gt;0,SUMIFS('[1]UY$'!$L$5:$L$993,'[1]UY$'!$O$5:$O$993,"Cambio",'[1]UY$'!$E$5:$E$993,'Efecto TC'!D873),""))</f>
        <v/>
      </c>
      <c r="G873" s="23" t="str">
        <f t="shared" si="106"/>
        <v/>
      </c>
      <c r="H873" s="22" t="str">
        <f t="shared" si="107"/>
        <v/>
      </c>
      <c r="I873" s="54" t="str">
        <f t="shared" si="104"/>
        <v/>
      </c>
      <c r="R873" s="24" t="e">
        <f t="shared" si="108"/>
        <v>#VALUE!</v>
      </c>
      <c r="S873" s="25" t="e">
        <f t="shared" si="105"/>
        <v>#VALUE!</v>
      </c>
    </row>
    <row r="874" spans="1:19" x14ac:dyDescent="0.25">
      <c r="A874" t="e">
        <f t="shared" si="102"/>
        <v>#VALUE!</v>
      </c>
      <c r="B874" t="e">
        <f t="shared" si="103"/>
        <v>#VALUE!</v>
      </c>
      <c r="D874" s="21" t="str" cm="1">
        <f t="array" ref="D874">IF(ROWS($D$7:D874)&gt;COUNTIF('[1]U$S'!$H$5:$H$1008,$L$5),"",INDEX(CuentaUS,_xlfn.AGGREGATE(15,6,ROW('[1]U$S'!$H$5:$H$1008)-ROW('[1]U$S'!$O$5)+1/--('[1]U$S'!$H$5:$H$1008=$L$5),ROWS($D$7:D874)),1))</f>
        <v/>
      </c>
      <c r="E874" s="22" t="str" cm="1">
        <f t="array" ref="E874">IF(ROWS($E$7:E874)&gt;COUNTIF('[1]U$S'!$H$5:$H$1008,$L$5),"",INDEX(CuentaUS,_xlfn.AGGREGATE(15,6,ROW('[1]U$S'!$H$5:$H$1008)-ROW('[1]U$S'!$O$5)+1/--('[1]U$S'!$H$5:$H$1008=$L$5),ROWS($E$7:E874)),6))</f>
        <v/>
      </c>
      <c r="F874" s="22" t="str">
        <f>IF(E874="","",IF(E874&gt;0,SUMIFS('[1]UY$'!$L$5:$L$993,'[1]UY$'!$O$5:$O$993,"Cambio",'[1]UY$'!$E$5:$E$993,'Efecto TC'!D874),""))</f>
        <v/>
      </c>
      <c r="G874" s="23" t="str">
        <f t="shared" si="106"/>
        <v/>
      </c>
      <c r="H874" s="22" t="str">
        <f t="shared" si="107"/>
        <v/>
      </c>
      <c r="I874" s="54" t="str">
        <f t="shared" si="104"/>
        <v/>
      </c>
      <c r="R874" s="24" t="e">
        <f t="shared" si="108"/>
        <v>#VALUE!</v>
      </c>
      <c r="S874" s="25" t="e">
        <f t="shared" si="105"/>
        <v>#VALUE!</v>
      </c>
    </row>
    <row r="875" spans="1:19" x14ac:dyDescent="0.25">
      <c r="A875" t="e">
        <f t="shared" si="102"/>
        <v>#VALUE!</v>
      </c>
      <c r="B875" t="e">
        <f t="shared" si="103"/>
        <v>#VALUE!</v>
      </c>
      <c r="D875" s="21" t="str" cm="1">
        <f t="array" ref="D875">IF(ROWS($D$7:D875)&gt;COUNTIF('[1]U$S'!$H$5:$H$1008,$L$5),"",INDEX(CuentaUS,_xlfn.AGGREGATE(15,6,ROW('[1]U$S'!$H$5:$H$1008)-ROW('[1]U$S'!$O$5)+1/--('[1]U$S'!$H$5:$H$1008=$L$5),ROWS($D$7:D875)),1))</f>
        <v/>
      </c>
      <c r="E875" s="22" t="str" cm="1">
        <f t="array" ref="E875">IF(ROWS($E$7:E875)&gt;COUNTIF('[1]U$S'!$H$5:$H$1008,$L$5),"",INDEX(CuentaUS,_xlfn.AGGREGATE(15,6,ROW('[1]U$S'!$H$5:$H$1008)-ROW('[1]U$S'!$O$5)+1/--('[1]U$S'!$H$5:$H$1008=$L$5),ROWS($E$7:E875)),6))</f>
        <v/>
      </c>
      <c r="F875" s="22" t="str">
        <f>IF(E875="","",IF(E875&gt;0,SUMIFS('[1]UY$'!$L$5:$L$993,'[1]UY$'!$O$5:$O$993,"Cambio",'[1]UY$'!$E$5:$E$993,'Efecto TC'!D875),""))</f>
        <v/>
      </c>
      <c r="G875" s="23" t="str">
        <f t="shared" si="106"/>
        <v/>
      </c>
      <c r="H875" s="22" t="str">
        <f t="shared" si="107"/>
        <v/>
      </c>
      <c r="I875" s="54" t="str">
        <f t="shared" si="104"/>
        <v/>
      </c>
      <c r="R875" s="24" t="e">
        <f t="shared" si="108"/>
        <v>#VALUE!</v>
      </c>
      <c r="S875" s="25" t="e">
        <f t="shared" si="105"/>
        <v>#VALUE!</v>
      </c>
    </row>
    <row r="876" spans="1:19" x14ac:dyDescent="0.25">
      <c r="A876" t="e">
        <f t="shared" si="102"/>
        <v>#VALUE!</v>
      </c>
      <c r="B876" t="e">
        <f t="shared" si="103"/>
        <v>#VALUE!</v>
      </c>
      <c r="D876" s="21" t="str" cm="1">
        <f t="array" ref="D876">IF(ROWS($D$7:D876)&gt;COUNTIF('[1]U$S'!$H$5:$H$1008,$L$5),"",INDEX(CuentaUS,_xlfn.AGGREGATE(15,6,ROW('[1]U$S'!$H$5:$H$1008)-ROW('[1]U$S'!$O$5)+1/--('[1]U$S'!$H$5:$H$1008=$L$5),ROWS($D$7:D876)),1))</f>
        <v/>
      </c>
      <c r="E876" s="22" t="str" cm="1">
        <f t="array" ref="E876">IF(ROWS($E$7:E876)&gt;COUNTIF('[1]U$S'!$H$5:$H$1008,$L$5),"",INDEX(CuentaUS,_xlfn.AGGREGATE(15,6,ROW('[1]U$S'!$H$5:$H$1008)-ROW('[1]U$S'!$O$5)+1/--('[1]U$S'!$H$5:$H$1008=$L$5),ROWS($E$7:E876)),6))</f>
        <v/>
      </c>
      <c r="F876" s="22" t="str">
        <f>IF(E876="","",IF(E876&gt;0,SUMIFS('[1]UY$'!$L$5:$L$993,'[1]UY$'!$O$5:$O$993,"Cambio",'[1]UY$'!$E$5:$E$993,'Efecto TC'!D876),""))</f>
        <v/>
      </c>
      <c r="G876" s="23" t="str">
        <f t="shared" si="106"/>
        <v/>
      </c>
      <c r="H876" s="22" t="str">
        <f t="shared" si="107"/>
        <v/>
      </c>
      <c r="I876" s="54" t="str">
        <f t="shared" si="104"/>
        <v/>
      </c>
      <c r="R876" s="24" t="e">
        <f t="shared" si="108"/>
        <v>#VALUE!</v>
      </c>
      <c r="S876" s="25" t="e">
        <f t="shared" si="105"/>
        <v>#VALUE!</v>
      </c>
    </row>
    <row r="877" spans="1:19" x14ac:dyDescent="0.25">
      <c r="A877" t="e">
        <f t="shared" si="102"/>
        <v>#VALUE!</v>
      </c>
      <c r="B877" t="e">
        <f t="shared" si="103"/>
        <v>#VALUE!</v>
      </c>
      <c r="D877" s="21" t="str" cm="1">
        <f t="array" ref="D877">IF(ROWS($D$7:D877)&gt;COUNTIF('[1]U$S'!$H$5:$H$1008,$L$5),"",INDEX(CuentaUS,_xlfn.AGGREGATE(15,6,ROW('[1]U$S'!$H$5:$H$1008)-ROW('[1]U$S'!$O$5)+1/--('[1]U$S'!$H$5:$H$1008=$L$5),ROWS($D$7:D877)),1))</f>
        <v/>
      </c>
      <c r="E877" s="22" t="str" cm="1">
        <f t="array" ref="E877">IF(ROWS($E$7:E877)&gt;COUNTIF('[1]U$S'!$H$5:$H$1008,$L$5),"",INDEX(CuentaUS,_xlfn.AGGREGATE(15,6,ROW('[1]U$S'!$H$5:$H$1008)-ROW('[1]U$S'!$O$5)+1/--('[1]U$S'!$H$5:$H$1008=$L$5),ROWS($E$7:E877)),6))</f>
        <v/>
      </c>
      <c r="F877" s="22" t="str">
        <f>IF(E877="","",IF(E877&gt;0,SUMIFS('[1]UY$'!$L$5:$L$993,'[1]UY$'!$O$5:$O$993,"Cambio",'[1]UY$'!$E$5:$E$993,'Efecto TC'!D877),""))</f>
        <v/>
      </c>
      <c r="G877" s="23" t="str">
        <f t="shared" si="106"/>
        <v/>
      </c>
      <c r="H877" s="22" t="str">
        <f t="shared" si="107"/>
        <v/>
      </c>
      <c r="I877" s="54" t="str">
        <f t="shared" si="104"/>
        <v/>
      </c>
      <c r="R877" s="24" t="e">
        <f t="shared" si="108"/>
        <v>#VALUE!</v>
      </c>
      <c r="S877" s="25" t="e">
        <f t="shared" si="105"/>
        <v>#VALUE!</v>
      </c>
    </row>
    <row r="878" spans="1:19" x14ac:dyDescent="0.25">
      <c r="A878" t="e">
        <f t="shared" si="102"/>
        <v>#VALUE!</v>
      </c>
      <c r="B878" t="e">
        <f t="shared" si="103"/>
        <v>#VALUE!</v>
      </c>
      <c r="D878" s="21" t="str" cm="1">
        <f t="array" ref="D878">IF(ROWS($D$7:D878)&gt;COUNTIF('[1]U$S'!$H$5:$H$1008,$L$5),"",INDEX(CuentaUS,_xlfn.AGGREGATE(15,6,ROW('[1]U$S'!$H$5:$H$1008)-ROW('[1]U$S'!$O$5)+1/--('[1]U$S'!$H$5:$H$1008=$L$5),ROWS($D$7:D878)),1))</f>
        <v/>
      </c>
      <c r="E878" s="22" t="str" cm="1">
        <f t="array" ref="E878">IF(ROWS($E$7:E878)&gt;COUNTIF('[1]U$S'!$H$5:$H$1008,$L$5),"",INDEX(CuentaUS,_xlfn.AGGREGATE(15,6,ROW('[1]U$S'!$H$5:$H$1008)-ROW('[1]U$S'!$O$5)+1/--('[1]U$S'!$H$5:$H$1008=$L$5),ROWS($E$7:E878)),6))</f>
        <v/>
      </c>
      <c r="F878" s="22" t="str">
        <f>IF(E878="","",IF(E878&gt;0,SUMIFS('[1]UY$'!$L$5:$L$993,'[1]UY$'!$O$5:$O$993,"Cambio",'[1]UY$'!$E$5:$E$993,'Efecto TC'!D878),""))</f>
        <v/>
      </c>
      <c r="G878" s="23" t="str">
        <f t="shared" si="106"/>
        <v/>
      </c>
      <c r="H878" s="22" t="str">
        <f t="shared" si="107"/>
        <v/>
      </c>
      <c r="I878" s="54" t="str">
        <f t="shared" si="104"/>
        <v/>
      </c>
      <c r="R878" s="24" t="e">
        <f t="shared" si="108"/>
        <v>#VALUE!</v>
      </c>
      <c r="S878" s="25" t="e">
        <f t="shared" si="105"/>
        <v>#VALUE!</v>
      </c>
    </row>
    <row r="879" spans="1:19" x14ac:dyDescent="0.25">
      <c r="A879" t="e">
        <f t="shared" si="102"/>
        <v>#VALUE!</v>
      </c>
      <c r="B879" t="e">
        <f t="shared" si="103"/>
        <v>#VALUE!</v>
      </c>
      <c r="D879" s="21" t="str" cm="1">
        <f t="array" ref="D879">IF(ROWS($D$7:D879)&gt;COUNTIF('[1]U$S'!$H$5:$H$1008,$L$5),"",INDEX(CuentaUS,_xlfn.AGGREGATE(15,6,ROW('[1]U$S'!$H$5:$H$1008)-ROW('[1]U$S'!$O$5)+1/--('[1]U$S'!$H$5:$H$1008=$L$5),ROWS($D$7:D879)),1))</f>
        <v/>
      </c>
      <c r="E879" s="22" t="str" cm="1">
        <f t="array" ref="E879">IF(ROWS($E$7:E879)&gt;COUNTIF('[1]U$S'!$H$5:$H$1008,$L$5),"",INDEX(CuentaUS,_xlfn.AGGREGATE(15,6,ROW('[1]U$S'!$H$5:$H$1008)-ROW('[1]U$S'!$O$5)+1/--('[1]U$S'!$H$5:$H$1008=$L$5),ROWS($E$7:E879)),6))</f>
        <v/>
      </c>
      <c r="F879" s="22" t="str">
        <f>IF(E879="","",IF(E879&gt;0,SUMIFS('[1]UY$'!$L$5:$L$993,'[1]UY$'!$O$5:$O$993,"Cambio",'[1]UY$'!$E$5:$E$993,'Efecto TC'!D879),""))</f>
        <v/>
      </c>
      <c r="G879" s="23" t="str">
        <f t="shared" si="106"/>
        <v/>
      </c>
      <c r="H879" s="22" t="str">
        <f t="shared" si="107"/>
        <v/>
      </c>
      <c r="I879" s="54" t="str">
        <f t="shared" si="104"/>
        <v/>
      </c>
      <c r="R879" s="24" t="e">
        <f t="shared" si="108"/>
        <v>#VALUE!</v>
      </c>
      <c r="S879" s="25" t="e">
        <f t="shared" si="105"/>
        <v>#VALUE!</v>
      </c>
    </row>
    <row r="880" spans="1:19" x14ac:dyDescent="0.25">
      <c r="A880" t="e">
        <f t="shared" si="102"/>
        <v>#VALUE!</v>
      </c>
      <c r="B880" t="e">
        <f t="shared" si="103"/>
        <v>#VALUE!</v>
      </c>
      <c r="D880" s="21" t="str" cm="1">
        <f t="array" ref="D880">IF(ROWS($D$7:D880)&gt;COUNTIF('[1]U$S'!$H$5:$H$1008,$L$5),"",INDEX(CuentaUS,_xlfn.AGGREGATE(15,6,ROW('[1]U$S'!$H$5:$H$1008)-ROW('[1]U$S'!$O$5)+1/--('[1]U$S'!$H$5:$H$1008=$L$5),ROWS($D$7:D880)),1))</f>
        <v/>
      </c>
      <c r="E880" s="22" t="str" cm="1">
        <f t="array" ref="E880">IF(ROWS($E$7:E880)&gt;COUNTIF('[1]U$S'!$H$5:$H$1008,$L$5),"",INDEX(CuentaUS,_xlfn.AGGREGATE(15,6,ROW('[1]U$S'!$H$5:$H$1008)-ROW('[1]U$S'!$O$5)+1/--('[1]U$S'!$H$5:$H$1008=$L$5),ROWS($E$7:E880)),6))</f>
        <v/>
      </c>
      <c r="F880" s="22" t="str">
        <f>IF(E880="","",IF(E880&gt;0,SUMIFS('[1]UY$'!$L$5:$L$993,'[1]UY$'!$O$5:$O$993,"Cambio",'[1]UY$'!$E$5:$E$993,'Efecto TC'!D880),""))</f>
        <v/>
      </c>
      <c r="G880" s="23" t="str">
        <f t="shared" si="106"/>
        <v/>
      </c>
      <c r="H880" s="22" t="str">
        <f t="shared" si="107"/>
        <v/>
      </c>
      <c r="I880" s="54" t="str">
        <f t="shared" si="104"/>
        <v/>
      </c>
      <c r="R880" s="24" t="e">
        <f t="shared" si="108"/>
        <v>#VALUE!</v>
      </c>
      <c r="S880" s="25" t="e">
        <f t="shared" si="105"/>
        <v>#VALUE!</v>
      </c>
    </row>
    <row r="881" spans="1:19" x14ac:dyDescent="0.25">
      <c r="A881" t="e">
        <f t="shared" si="102"/>
        <v>#VALUE!</v>
      </c>
      <c r="B881" t="e">
        <f t="shared" si="103"/>
        <v>#VALUE!</v>
      </c>
      <c r="D881" s="21" t="str" cm="1">
        <f t="array" ref="D881">IF(ROWS($D$7:D881)&gt;COUNTIF('[1]U$S'!$H$5:$H$1008,$L$5),"",INDEX(CuentaUS,_xlfn.AGGREGATE(15,6,ROW('[1]U$S'!$H$5:$H$1008)-ROW('[1]U$S'!$O$5)+1/--('[1]U$S'!$H$5:$H$1008=$L$5),ROWS($D$7:D881)),1))</f>
        <v/>
      </c>
      <c r="E881" s="22" t="str" cm="1">
        <f t="array" ref="E881">IF(ROWS($E$7:E881)&gt;COUNTIF('[1]U$S'!$H$5:$H$1008,$L$5),"",INDEX(CuentaUS,_xlfn.AGGREGATE(15,6,ROW('[1]U$S'!$H$5:$H$1008)-ROW('[1]U$S'!$O$5)+1/--('[1]U$S'!$H$5:$H$1008=$L$5),ROWS($E$7:E881)),6))</f>
        <v/>
      </c>
      <c r="F881" s="22" t="str">
        <f>IF(E881="","",IF(E881&gt;0,SUMIFS('[1]UY$'!$L$5:$L$993,'[1]UY$'!$O$5:$O$993,"Cambio",'[1]UY$'!$E$5:$E$993,'Efecto TC'!D881),""))</f>
        <v/>
      </c>
      <c r="G881" s="23" t="str">
        <f t="shared" si="106"/>
        <v/>
      </c>
      <c r="H881" s="22" t="str">
        <f t="shared" si="107"/>
        <v/>
      </c>
      <c r="I881" s="54" t="str">
        <f t="shared" si="104"/>
        <v/>
      </c>
      <c r="R881" s="24" t="e">
        <f t="shared" si="108"/>
        <v>#VALUE!</v>
      </c>
      <c r="S881" s="25" t="e">
        <f t="shared" si="105"/>
        <v>#VALUE!</v>
      </c>
    </row>
    <row r="882" spans="1:19" x14ac:dyDescent="0.25">
      <c r="A882" t="e">
        <f t="shared" si="102"/>
        <v>#VALUE!</v>
      </c>
      <c r="B882" t="e">
        <f t="shared" si="103"/>
        <v>#VALUE!</v>
      </c>
      <c r="D882" s="21" t="str" cm="1">
        <f t="array" ref="D882">IF(ROWS($D$7:D882)&gt;COUNTIF('[1]U$S'!$H$5:$H$1008,$L$5),"",INDEX(CuentaUS,_xlfn.AGGREGATE(15,6,ROW('[1]U$S'!$H$5:$H$1008)-ROW('[1]U$S'!$O$5)+1/--('[1]U$S'!$H$5:$H$1008=$L$5),ROWS($D$7:D882)),1))</f>
        <v/>
      </c>
      <c r="E882" s="22" t="str" cm="1">
        <f t="array" ref="E882">IF(ROWS($E$7:E882)&gt;COUNTIF('[1]U$S'!$H$5:$H$1008,$L$5),"",INDEX(CuentaUS,_xlfn.AGGREGATE(15,6,ROW('[1]U$S'!$H$5:$H$1008)-ROW('[1]U$S'!$O$5)+1/--('[1]U$S'!$H$5:$H$1008=$L$5),ROWS($E$7:E882)),6))</f>
        <v/>
      </c>
      <c r="F882" s="22" t="str">
        <f>IF(E882="","",IF(E882&gt;0,SUMIFS('[1]UY$'!$L$5:$L$993,'[1]UY$'!$O$5:$O$993,"Cambio",'[1]UY$'!$E$5:$E$993,'Efecto TC'!D882),""))</f>
        <v/>
      </c>
      <c r="G882" s="23" t="str">
        <f t="shared" si="106"/>
        <v/>
      </c>
      <c r="H882" s="22" t="str">
        <f t="shared" si="107"/>
        <v/>
      </c>
      <c r="I882" s="54" t="str">
        <f t="shared" si="104"/>
        <v/>
      </c>
      <c r="R882" s="24" t="e">
        <f t="shared" si="108"/>
        <v>#VALUE!</v>
      </c>
      <c r="S882" s="25" t="e">
        <f t="shared" si="105"/>
        <v>#VALUE!</v>
      </c>
    </row>
    <row r="883" spans="1:19" x14ac:dyDescent="0.25">
      <c r="A883" t="e">
        <f t="shared" si="102"/>
        <v>#VALUE!</v>
      </c>
      <c r="B883" t="e">
        <f t="shared" si="103"/>
        <v>#VALUE!</v>
      </c>
      <c r="D883" s="21" t="str" cm="1">
        <f t="array" ref="D883">IF(ROWS($D$7:D883)&gt;COUNTIF('[1]U$S'!$H$5:$H$1008,$L$5),"",INDEX(CuentaUS,_xlfn.AGGREGATE(15,6,ROW('[1]U$S'!$H$5:$H$1008)-ROW('[1]U$S'!$O$5)+1/--('[1]U$S'!$H$5:$H$1008=$L$5),ROWS($D$7:D883)),1))</f>
        <v/>
      </c>
      <c r="E883" s="22" t="str" cm="1">
        <f t="array" ref="E883">IF(ROWS($E$7:E883)&gt;COUNTIF('[1]U$S'!$H$5:$H$1008,$L$5),"",INDEX(CuentaUS,_xlfn.AGGREGATE(15,6,ROW('[1]U$S'!$H$5:$H$1008)-ROW('[1]U$S'!$O$5)+1/--('[1]U$S'!$H$5:$H$1008=$L$5),ROWS($E$7:E883)),6))</f>
        <v/>
      </c>
      <c r="F883" s="22" t="str">
        <f>IF(E883="","",IF(E883&gt;0,SUMIFS('[1]UY$'!$L$5:$L$993,'[1]UY$'!$O$5:$O$993,"Cambio",'[1]UY$'!$E$5:$E$993,'Efecto TC'!D883),""))</f>
        <v/>
      </c>
      <c r="G883" s="23" t="str">
        <f t="shared" si="106"/>
        <v/>
      </c>
      <c r="H883" s="22" t="str">
        <f t="shared" si="107"/>
        <v/>
      </c>
      <c r="I883" s="54" t="str">
        <f t="shared" si="104"/>
        <v/>
      </c>
      <c r="R883" s="24" t="e">
        <f t="shared" si="108"/>
        <v>#VALUE!</v>
      </c>
      <c r="S883" s="25" t="e">
        <f t="shared" si="105"/>
        <v>#VALUE!</v>
      </c>
    </row>
    <row r="884" spans="1:19" x14ac:dyDescent="0.25">
      <c r="A884" t="e">
        <f t="shared" si="102"/>
        <v>#VALUE!</v>
      </c>
      <c r="B884" t="e">
        <f t="shared" si="103"/>
        <v>#VALUE!</v>
      </c>
      <c r="D884" s="21" t="str" cm="1">
        <f t="array" ref="D884">IF(ROWS($D$7:D884)&gt;COUNTIF('[1]U$S'!$H$5:$H$1008,$L$5),"",INDEX(CuentaUS,_xlfn.AGGREGATE(15,6,ROW('[1]U$S'!$H$5:$H$1008)-ROW('[1]U$S'!$O$5)+1/--('[1]U$S'!$H$5:$H$1008=$L$5),ROWS($D$7:D884)),1))</f>
        <v/>
      </c>
      <c r="E884" s="22" t="str" cm="1">
        <f t="array" ref="E884">IF(ROWS($E$7:E884)&gt;COUNTIF('[1]U$S'!$H$5:$H$1008,$L$5),"",INDEX(CuentaUS,_xlfn.AGGREGATE(15,6,ROW('[1]U$S'!$H$5:$H$1008)-ROW('[1]U$S'!$O$5)+1/--('[1]U$S'!$H$5:$H$1008=$L$5),ROWS($E$7:E884)),6))</f>
        <v/>
      </c>
      <c r="F884" s="22" t="str">
        <f>IF(E884="","",IF(E884&gt;0,SUMIFS('[1]UY$'!$L$5:$L$993,'[1]UY$'!$O$5:$O$993,"Cambio",'[1]UY$'!$E$5:$E$993,'Efecto TC'!D884),""))</f>
        <v/>
      </c>
      <c r="G884" s="23" t="str">
        <f t="shared" si="106"/>
        <v/>
      </c>
      <c r="H884" s="22" t="str">
        <f t="shared" si="107"/>
        <v/>
      </c>
      <c r="I884" s="54" t="str">
        <f t="shared" si="104"/>
        <v/>
      </c>
      <c r="R884" s="24" t="e">
        <f t="shared" si="108"/>
        <v>#VALUE!</v>
      </c>
      <c r="S884" s="25" t="e">
        <f t="shared" si="105"/>
        <v>#VALUE!</v>
      </c>
    </row>
    <row r="885" spans="1:19" x14ac:dyDescent="0.25">
      <c r="A885" t="e">
        <f t="shared" si="102"/>
        <v>#VALUE!</v>
      </c>
      <c r="B885" t="e">
        <f t="shared" si="103"/>
        <v>#VALUE!</v>
      </c>
      <c r="D885" s="21" t="str" cm="1">
        <f t="array" ref="D885">IF(ROWS($D$7:D885)&gt;COUNTIF('[1]U$S'!$H$5:$H$1008,$L$5),"",INDEX(CuentaUS,_xlfn.AGGREGATE(15,6,ROW('[1]U$S'!$H$5:$H$1008)-ROW('[1]U$S'!$O$5)+1/--('[1]U$S'!$H$5:$H$1008=$L$5),ROWS($D$7:D885)),1))</f>
        <v/>
      </c>
      <c r="E885" s="22" t="str" cm="1">
        <f t="array" ref="E885">IF(ROWS($E$7:E885)&gt;COUNTIF('[1]U$S'!$H$5:$H$1008,$L$5),"",INDEX(CuentaUS,_xlfn.AGGREGATE(15,6,ROW('[1]U$S'!$H$5:$H$1008)-ROW('[1]U$S'!$O$5)+1/--('[1]U$S'!$H$5:$H$1008=$L$5),ROWS($E$7:E885)),6))</f>
        <v/>
      </c>
      <c r="F885" s="22" t="str">
        <f>IF(E885="","",IF(E885&gt;0,SUMIFS('[1]UY$'!$L$5:$L$993,'[1]UY$'!$O$5:$O$993,"Cambio",'[1]UY$'!$E$5:$E$993,'Efecto TC'!D885),""))</f>
        <v/>
      </c>
      <c r="G885" s="23" t="str">
        <f t="shared" si="106"/>
        <v/>
      </c>
      <c r="H885" s="22" t="str">
        <f t="shared" si="107"/>
        <v/>
      </c>
      <c r="I885" s="54" t="str">
        <f t="shared" si="104"/>
        <v/>
      </c>
      <c r="R885" s="24" t="e">
        <f t="shared" si="108"/>
        <v>#VALUE!</v>
      </c>
      <c r="S885" s="25" t="e">
        <f t="shared" si="105"/>
        <v>#VALUE!</v>
      </c>
    </row>
    <row r="886" spans="1:19" x14ac:dyDescent="0.25">
      <c r="A886" t="e">
        <f t="shared" si="102"/>
        <v>#VALUE!</v>
      </c>
      <c r="B886" t="e">
        <f t="shared" si="103"/>
        <v>#VALUE!</v>
      </c>
      <c r="D886" s="21" t="str" cm="1">
        <f t="array" ref="D886">IF(ROWS($D$7:D886)&gt;COUNTIF('[1]U$S'!$H$5:$H$1008,$L$5),"",INDEX(CuentaUS,_xlfn.AGGREGATE(15,6,ROW('[1]U$S'!$H$5:$H$1008)-ROW('[1]U$S'!$O$5)+1/--('[1]U$S'!$H$5:$H$1008=$L$5),ROWS($D$7:D886)),1))</f>
        <v/>
      </c>
      <c r="E886" s="22" t="str" cm="1">
        <f t="array" ref="E886">IF(ROWS($E$7:E886)&gt;COUNTIF('[1]U$S'!$H$5:$H$1008,$L$5),"",INDEX(CuentaUS,_xlfn.AGGREGATE(15,6,ROW('[1]U$S'!$H$5:$H$1008)-ROW('[1]U$S'!$O$5)+1/--('[1]U$S'!$H$5:$H$1008=$L$5),ROWS($E$7:E886)),6))</f>
        <v/>
      </c>
      <c r="F886" s="22" t="str">
        <f>IF(E886="","",IF(E886&gt;0,SUMIFS('[1]UY$'!$L$5:$L$993,'[1]UY$'!$O$5:$O$993,"Cambio",'[1]UY$'!$E$5:$E$993,'Efecto TC'!D886),""))</f>
        <v/>
      </c>
      <c r="G886" s="23" t="str">
        <f t="shared" si="106"/>
        <v/>
      </c>
      <c r="H886" s="22" t="str">
        <f t="shared" si="107"/>
        <v/>
      </c>
      <c r="I886" s="54" t="str">
        <f t="shared" si="104"/>
        <v/>
      </c>
      <c r="R886" s="24" t="e">
        <f t="shared" si="108"/>
        <v>#VALUE!</v>
      </c>
      <c r="S886" s="25" t="e">
        <f t="shared" si="105"/>
        <v>#VALUE!</v>
      </c>
    </row>
    <row r="887" spans="1:19" x14ac:dyDescent="0.25">
      <c r="A887" t="e">
        <f t="shared" si="102"/>
        <v>#VALUE!</v>
      </c>
      <c r="B887" t="e">
        <f t="shared" si="103"/>
        <v>#VALUE!</v>
      </c>
      <c r="D887" s="21" t="str" cm="1">
        <f t="array" ref="D887">IF(ROWS($D$7:D887)&gt;COUNTIF('[1]U$S'!$H$5:$H$1008,$L$5),"",INDEX(CuentaUS,_xlfn.AGGREGATE(15,6,ROW('[1]U$S'!$H$5:$H$1008)-ROW('[1]U$S'!$O$5)+1/--('[1]U$S'!$H$5:$H$1008=$L$5),ROWS($D$7:D887)),1))</f>
        <v/>
      </c>
      <c r="E887" s="22" t="str" cm="1">
        <f t="array" ref="E887">IF(ROWS($E$7:E887)&gt;COUNTIF('[1]U$S'!$H$5:$H$1008,$L$5),"",INDEX(CuentaUS,_xlfn.AGGREGATE(15,6,ROW('[1]U$S'!$H$5:$H$1008)-ROW('[1]U$S'!$O$5)+1/--('[1]U$S'!$H$5:$H$1008=$L$5),ROWS($E$7:E887)),6))</f>
        <v/>
      </c>
      <c r="F887" s="22" t="str">
        <f>IF(E887="","",IF(E887&gt;0,SUMIFS('[1]UY$'!$L$5:$L$993,'[1]UY$'!$O$5:$O$993,"Cambio",'[1]UY$'!$E$5:$E$993,'Efecto TC'!D887),""))</f>
        <v/>
      </c>
      <c r="G887" s="23" t="str">
        <f t="shared" si="106"/>
        <v/>
      </c>
      <c r="H887" s="22" t="str">
        <f t="shared" si="107"/>
        <v/>
      </c>
      <c r="I887" s="54" t="str">
        <f t="shared" si="104"/>
        <v/>
      </c>
      <c r="R887" s="24" t="e">
        <f t="shared" si="108"/>
        <v>#VALUE!</v>
      </c>
      <c r="S887" s="25" t="e">
        <f t="shared" si="105"/>
        <v>#VALUE!</v>
      </c>
    </row>
    <row r="888" spans="1:19" x14ac:dyDescent="0.25">
      <c r="A888" t="e">
        <f t="shared" si="102"/>
        <v>#VALUE!</v>
      </c>
      <c r="B888" t="e">
        <f t="shared" si="103"/>
        <v>#VALUE!</v>
      </c>
      <c r="D888" s="21" t="str" cm="1">
        <f t="array" ref="D888">IF(ROWS($D$7:D888)&gt;COUNTIF('[1]U$S'!$H$5:$H$1008,$L$5),"",INDEX(CuentaUS,_xlfn.AGGREGATE(15,6,ROW('[1]U$S'!$H$5:$H$1008)-ROW('[1]U$S'!$O$5)+1/--('[1]U$S'!$H$5:$H$1008=$L$5),ROWS($D$7:D888)),1))</f>
        <v/>
      </c>
      <c r="E888" s="22" t="str" cm="1">
        <f t="array" ref="E888">IF(ROWS($E$7:E888)&gt;COUNTIF('[1]U$S'!$H$5:$H$1008,$L$5),"",INDEX(CuentaUS,_xlfn.AGGREGATE(15,6,ROW('[1]U$S'!$H$5:$H$1008)-ROW('[1]U$S'!$O$5)+1/--('[1]U$S'!$H$5:$H$1008=$L$5),ROWS($E$7:E888)),6))</f>
        <v/>
      </c>
      <c r="F888" s="22" t="str">
        <f>IF(E888="","",IF(E888&gt;0,SUMIFS('[1]UY$'!$L$5:$L$993,'[1]UY$'!$O$5:$O$993,"Cambio",'[1]UY$'!$E$5:$E$993,'Efecto TC'!D888),""))</f>
        <v/>
      </c>
      <c r="G888" s="23" t="str">
        <f t="shared" si="106"/>
        <v/>
      </c>
      <c r="H888" s="22" t="str">
        <f t="shared" si="107"/>
        <v/>
      </c>
      <c r="I888" s="54" t="str">
        <f t="shared" si="104"/>
        <v/>
      </c>
      <c r="R888" s="24" t="e">
        <f t="shared" si="108"/>
        <v>#VALUE!</v>
      </c>
      <c r="S888" s="25" t="e">
        <f t="shared" si="105"/>
        <v>#VALUE!</v>
      </c>
    </row>
    <row r="889" spans="1:19" x14ac:dyDescent="0.25">
      <c r="A889" t="e">
        <f t="shared" si="102"/>
        <v>#VALUE!</v>
      </c>
      <c r="B889" t="e">
        <f t="shared" si="103"/>
        <v>#VALUE!</v>
      </c>
      <c r="D889" s="21" t="str" cm="1">
        <f t="array" ref="D889">IF(ROWS($D$7:D889)&gt;COUNTIF('[1]U$S'!$H$5:$H$1008,$L$5),"",INDEX(CuentaUS,_xlfn.AGGREGATE(15,6,ROW('[1]U$S'!$H$5:$H$1008)-ROW('[1]U$S'!$O$5)+1/--('[1]U$S'!$H$5:$H$1008=$L$5),ROWS($D$7:D889)),1))</f>
        <v/>
      </c>
      <c r="E889" s="22" t="str" cm="1">
        <f t="array" ref="E889">IF(ROWS($E$7:E889)&gt;COUNTIF('[1]U$S'!$H$5:$H$1008,$L$5),"",INDEX(CuentaUS,_xlfn.AGGREGATE(15,6,ROW('[1]U$S'!$H$5:$H$1008)-ROW('[1]U$S'!$O$5)+1/--('[1]U$S'!$H$5:$H$1008=$L$5),ROWS($E$7:E889)),6))</f>
        <v/>
      </c>
      <c r="F889" s="22" t="str">
        <f>IF(E889="","",IF(E889&gt;0,SUMIFS('[1]UY$'!$L$5:$L$993,'[1]UY$'!$O$5:$O$993,"Cambio",'[1]UY$'!$E$5:$E$993,'Efecto TC'!D889),""))</f>
        <v/>
      </c>
      <c r="G889" s="23" t="str">
        <f t="shared" si="106"/>
        <v/>
      </c>
      <c r="H889" s="22" t="str">
        <f t="shared" si="107"/>
        <v/>
      </c>
      <c r="I889" s="54" t="str">
        <f t="shared" si="104"/>
        <v/>
      </c>
      <c r="R889" s="24" t="e">
        <f t="shared" si="108"/>
        <v>#VALUE!</v>
      </c>
      <c r="S889" s="25" t="e">
        <f t="shared" si="105"/>
        <v>#VALUE!</v>
      </c>
    </row>
    <row r="890" spans="1:19" x14ac:dyDescent="0.25">
      <c r="A890" t="e">
        <f t="shared" si="102"/>
        <v>#VALUE!</v>
      </c>
      <c r="B890" t="e">
        <f t="shared" si="103"/>
        <v>#VALUE!</v>
      </c>
      <c r="D890" s="21" t="str" cm="1">
        <f t="array" ref="D890">IF(ROWS($D$7:D890)&gt;COUNTIF('[1]U$S'!$H$5:$H$1008,$L$5),"",INDEX(CuentaUS,_xlfn.AGGREGATE(15,6,ROW('[1]U$S'!$H$5:$H$1008)-ROW('[1]U$S'!$O$5)+1/--('[1]U$S'!$H$5:$H$1008=$L$5),ROWS($D$7:D890)),1))</f>
        <v/>
      </c>
      <c r="E890" s="22" t="str" cm="1">
        <f t="array" ref="E890">IF(ROWS($E$7:E890)&gt;COUNTIF('[1]U$S'!$H$5:$H$1008,$L$5),"",INDEX(CuentaUS,_xlfn.AGGREGATE(15,6,ROW('[1]U$S'!$H$5:$H$1008)-ROW('[1]U$S'!$O$5)+1/--('[1]U$S'!$H$5:$H$1008=$L$5),ROWS($E$7:E890)),6))</f>
        <v/>
      </c>
      <c r="F890" s="22" t="str">
        <f>IF(E890="","",IF(E890&gt;0,SUMIFS('[1]UY$'!$L$5:$L$993,'[1]UY$'!$O$5:$O$993,"Cambio",'[1]UY$'!$E$5:$E$993,'Efecto TC'!D890),""))</f>
        <v/>
      </c>
      <c r="G890" s="23" t="str">
        <f t="shared" si="106"/>
        <v/>
      </c>
      <c r="H890" s="22" t="str">
        <f t="shared" si="107"/>
        <v/>
      </c>
      <c r="I890" s="54" t="str">
        <f t="shared" si="104"/>
        <v/>
      </c>
      <c r="R890" s="24" t="e">
        <f t="shared" si="108"/>
        <v>#VALUE!</v>
      </c>
      <c r="S890" s="25" t="e">
        <f t="shared" si="105"/>
        <v>#VALUE!</v>
      </c>
    </row>
    <row r="891" spans="1:19" x14ac:dyDescent="0.25">
      <c r="A891" t="e">
        <f t="shared" si="102"/>
        <v>#VALUE!</v>
      </c>
      <c r="B891" t="e">
        <f t="shared" si="103"/>
        <v>#VALUE!</v>
      </c>
      <c r="D891" s="21" t="str" cm="1">
        <f t="array" ref="D891">IF(ROWS($D$7:D891)&gt;COUNTIF('[1]U$S'!$H$5:$H$1008,$L$5),"",INDEX(CuentaUS,_xlfn.AGGREGATE(15,6,ROW('[1]U$S'!$H$5:$H$1008)-ROW('[1]U$S'!$O$5)+1/--('[1]U$S'!$H$5:$H$1008=$L$5),ROWS($D$7:D891)),1))</f>
        <v/>
      </c>
      <c r="E891" s="22" t="str" cm="1">
        <f t="array" ref="E891">IF(ROWS($E$7:E891)&gt;COUNTIF('[1]U$S'!$H$5:$H$1008,$L$5),"",INDEX(CuentaUS,_xlfn.AGGREGATE(15,6,ROW('[1]U$S'!$H$5:$H$1008)-ROW('[1]U$S'!$O$5)+1/--('[1]U$S'!$H$5:$H$1008=$L$5),ROWS($E$7:E891)),6))</f>
        <v/>
      </c>
      <c r="F891" s="22" t="str">
        <f>IF(E891="","",IF(E891&gt;0,SUMIFS('[1]UY$'!$L$5:$L$993,'[1]UY$'!$O$5:$O$993,"Cambio",'[1]UY$'!$E$5:$E$993,'Efecto TC'!D891),""))</f>
        <v/>
      </c>
      <c r="G891" s="23" t="str">
        <f t="shared" si="106"/>
        <v/>
      </c>
      <c r="H891" s="22" t="str">
        <f t="shared" si="107"/>
        <v/>
      </c>
      <c r="I891" s="54" t="str">
        <f t="shared" si="104"/>
        <v/>
      </c>
      <c r="R891" s="24" t="e">
        <f t="shared" si="108"/>
        <v>#VALUE!</v>
      </c>
      <c r="S891" s="25" t="e">
        <f t="shared" si="105"/>
        <v>#VALUE!</v>
      </c>
    </row>
    <row r="892" spans="1:19" x14ac:dyDescent="0.25">
      <c r="A892" t="e">
        <f t="shared" si="102"/>
        <v>#VALUE!</v>
      </c>
      <c r="B892" t="e">
        <f t="shared" si="103"/>
        <v>#VALUE!</v>
      </c>
      <c r="D892" s="21" t="str" cm="1">
        <f t="array" ref="D892">IF(ROWS($D$7:D892)&gt;COUNTIF('[1]U$S'!$H$5:$H$1008,$L$5),"",INDEX(CuentaUS,_xlfn.AGGREGATE(15,6,ROW('[1]U$S'!$H$5:$H$1008)-ROW('[1]U$S'!$O$5)+1/--('[1]U$S'!$H$5:$H$1008=$L$5),ROWS($D$7:D892)),1))</f>
        <v/>
      </c>
      <c r="E892" s="22" t="str" cm="1">
        <f t="array" ref="E892">IF(ROWS($E$7:E892)&gt;COUNTIF('[1]U$S'!$H$5:$H$1008,$L$5),"",INDEX(CuentaUS,_xlfn.AGGREGATE(15,6,ROW('[1]U$S'!$H$5:$H$1008)-ROW('[1]U$S'!$O$5)+1/--('[1]U$S'!$H$5:$H$1008=$L$5),ROWS($E$7:E892)),6))</f>
        <v/>
      </c>
      <c r="F892" s="22" t="str">
        <f>IF(E892="","",IF(E892&gt;0,SUMIFS('[1]UY$'!$L$5:$L$993,'[1]UY$'!$O$5:$O$993,"Cambio",'[1]UY$'!$E$5:$E$993,'Efecto TC'!D892),""))</f>
        <v/>
      </c>
      <c r="G892" s="23" t="str">
        <f t="shared" si="106"/>
        <v/>
      </c>
      <c r="H892" s="22" t="str">
        <f t="shared" si="107"/>
        <v/>
      </c>
      <c r="I892" s="54" t="str">
        <f t="shared" si="104"/>
        <v/>
      </c>
      <c r="R892" s="24" t="e">
        <f t="shared" si="108"/>
        <v>#VALUE!</v>
      </c>
      <c r="S892" s="25" t="e">
        <f t="shared" si="105"/>
        <v>#VALUE!</v>
      </c>
    </row>
    <row r="893" spans="1:19" x14ac:dyDescent="0.25">
      <c r="A893" t="e">
        <f t="shared" si="102"/>
        <v>#VALUE!</v>
      </c>
      <c r="B893" t="e">
        <f t="shared" si="103"/>
        <v>#VALUE!</v>
      </c>
      <c r="D893" s="21" t="str" cm="1">
        <f t="array" ref="D893">IF(ROWS($D$7:D893)&gt;COUNTIF('[1]U$S'!$H$5:$H$1008,$L$5),"",INDEX(CuentaUS,_xlfn.AGGREGATE(15,6,ROW('[1]U$S'!$H$5:$H$1008)-ROW('[1]U$S'!$O$5)+1/--('[1]U$S'!$H$5:$H$1008=$L$5),ROWS($D$7:D893)),1))</f>
        <v/>
      </c>
      <c r="E893" s="22" t="str" cm="1">
        <f t="array" ref="E893">IF(ROWS($E$7:E893)&gt;COUNTIF('[1]U$S'!$H$5:$H$1008,$L$5),"",INDEX(CuentaUS,_xlfn.AGGREGATE(15,6,ROW('[1]U$S'!$H$5:$H$1008)-ROW('[1]U$S'!$O$5)+1/--('[1]U$S'!$H$5:$H$1008=$L$5),ROWS($E$7:E893)),6))</f>
        <v/>
      </c>
      <c r="F893" s="22" t="str">
        <f>IF(E893="","",IF(E893&gt;0,SUMIFS('[1]UY$'!$L$5:$L$993,'[1]UY$'!$O$5:$O$993,"Cambio",'[1]UY$'!$E$5:$E$993,'Efecto TC'!D893),""))</f>
        <v/>
      </c>
      <c r="G893" s="23" t="str">
        <f t="shared" si="106"/>
        <v/>
      </c>
      <c r="H893" s="22" t="str">
        <f t="shared" si="107"/>
        <v/>
      </c>
      <c r="I893" s="54" t="str">
        <f t="shared" si="104"/>
        <v/>
      </c>
      <c r="R893" s="24" t="e">
        <f t="shared" si="108"/>
        <v>#VALUE!</v>
      </c>
      <c r="S893" s="25" t="e">
        <f t="shared" si="105"/>
        <v>#VALUE!</v>
      </c>
    </row>
    <row r="894" spans="1:19" x14ac:dyDescent="0.25">
      <c r="A894" t="e">
        <f t="shared" si="102"/>
        <v>#VALUE!</v>
      </c>
      <c r="B894" t="e">
        <f t="shared" si="103"/>
        <v>#VALUE!</v>
      </c>
      <c r="D894" s="21" t="str" cm="1">
        <f t="array" ref="D894">IF(ROWS($D$7:D894)&gt;COUNTIF('[1]U$S'!$H$5:$H$1008,$L$5),"",INDEX(CuentaUS,_xlfn.AGGREGATE(15,6,ROW('[1]U$S'!$H$5:$H$1008)-ROW('[1]U$S'!$O$5)+1/--('[1]U$S'!$H$5:$H$1008=$L$5),ROWS($D$7:D894)),1))</f>
        <v/>
      </c>
      <c r="E894" s="22" t="str" cm="1">
        <f t="array" ref="E894">IF(ROWS($E$7:E894)&gt;COUNTIF('[1]U$S'!$H$5:$H$1008,$L$5),"",INDEX(CuentaUS,_xlfn.AGGREGATE(15,6,ROW('[1]U$S'!$H$5:$H$1008)-ROW('[1]U$S'!$O$5)+1/--('[1]U$S'!$H$5:$H$1008=$L$5),ROWS($E$7:E894)),6))</f>
        <v/>
      </c>
      <c r="F894" s="22" t="str">
        <f>IF(E894="","",IF(E894&gt;0,SUMIFS('[1]UY$'!$L$5:$L$993,'[1]UY$'!$O$5:$O$993,"Cambio",'[1]UY$'!$E$5:$E$993,'Efecto TC'!D894),""))</f>
        <v/>
      </c>
      <c r="G894" s="23" t="str">
        <f t="shared" si="106"/>
        <v/>
      </c>
      <c r="H894" s="22" t="str">
        <f t="shared" si="107"/>
        <v/>
      </c>
      <c r="I894" s="54" t="str">
        <f t="shared" si="104"/>
        <v/>
      </c>
      <c r="R894" s="24" t="e">
        <f t="shared" si="108"/>
        <v>#VALUE!</v>
      </c>
      <c r="S894" s="25" t="e">
        <f t="shared" si="105"/>
        <v>#VALUE!</v>
      </c>
    </row>
    <row r="895" spans="1:19" x14ac:dyDescent="0.25">
      <c r="A895" t="e">
        <f t="shared" si="102"/>
        <v>#VALUE!</v>
      </c>
      <c r="B895" t="e">
        <f t="shared" si="103"/>
        <v>#VALUE!</v>
      </c>
      <c r="D895" s="21" t="str" cm="1">
        <f t="array" ref="D895">IF(ROWS($D$7:D895)&gt;COUNTIF('[1]U$S'!$H$5:$H$1008,$L$5),"",INDEX(CuentaUS,_xlfn.AGGREGATE(15,6,ROW('[1]U$S'!$H$5:$H$1008)-ROW('[1]U$S'!$O$5)+1/--('[1]U$S'!$H$5:$H$1008=$L$5),ROWS($D$7:D895)),1))</f>
        <v/>
      </c>
      <c r="E895" s="22" t="str" cm="1">
        <f t="array" ref="E895">IF(ROWS($E$7:E895)&gt;COUNTIF('[1]U$S'!$H$5:$H$1008,$L$5),"",INDEX(CuentaUS,_xlfn.AGGREGATE(15,6,ROW('[1]U$S'!$H$5:$H$1008)-ROW('[1]U$S'!$O$5)+1/--('[1]U$S'!$H$5:$H$1008=$L$5),ROWS($E$7:E895)),6))</f>
        <v/>
      </c>
      <c r="F895" s="22" t="str">
        <f>IF(E895="","",IF(E895&gt;0,SUMIFS('[1]UY$'!$L$5:$L$993,'[1]UY$'!$O$5:$O$993,"Cambio",'[1]UY$'!$E$5:$E$993,'Efecto TC'!D895),""))</f>
        <v/>
      </c>
      <c r="G895" s="23" t="str">
        <f t="shared" si="106"/>
        <v/>
      </c>
      <c r="H895" s="22" t="str">
        <f t="shared" si="107"/>
        <v/>
      </c>
      <c r="I895" s="54" t="str">
        <f t="shared" si="104"/>
        <v/>
      </c>
      <c r="R895" s="24" t="e">
        <f t="shared" si="108"/>
        <v>#VALUE!</v>
      </c>
      <c r="S895" s="25" t="e">
        <f t="shared" si="105"/>
        <v>#VALUE!</v>
      </c>
    </row>
    <row r="896" spans="1:19" x14ac:dyDescent="0.25">
      <c r="A896" t="e">
        <f t="shared" si="102"/>
        <v>#VALUE!</v>
      </c>
      <c r="B896" t="e">
        <f t="shared" si="103"/>
        <v>#VALUE!</v>
      </c>
      <c r="D896" s="21" t="str" cm="1">
        <f t="array" ref="D896">IF(ROWS($D$7:D896)&gt;COUNTIF('[1]U$S'!$H$5:$H$1008,$L$5),"",INDEX(CuentaUS,_xlfn.AGGREGATE(15,6,ROW('[1]U$S'!$H$5:$H$1008)-ROW('[1]U$S'!$O$5)+1/--('[1]U$S'!$H$5:$H$1008=$L$5),ROWS($D$7:D896)),1))</f>
        <v/>
      </c>
      <c r="E896" s="22" t="str" cm="1">
        <f t="array" ref="E896">IF(ROWS($E$7:E896)&gt;COUNTIF('[1]U$S'!$H$5:$H$1008,$L$5),"",INDEX(CuentaUS,_xlfn.AGGREGATE(15,6,ROW('[1]U$S'!$H$5:$H$1008)-ROW('[1]U$S'!$O$5)+1/--('[1]U$S'!$H$5:$H$1008=$L$5),ROWS($E$7:E896)),6))</f>
        <v/>
      </c>
      <c r="F896" s="22" t="str">
        <f>IF(E896="","",IF(E896&gt;0,SUMIFS('[1]UY$'!$L$5:$L$993,'[1]UY$'!$O$5:$O$993,"Cambio",'[1]UY$'!$E$5:$E$993,'Efecto TC'!D896),""))</f>
        <v/>
      </c>
      <c r="G896" s="23" t="str">
        <f t="shared" si="106"/>
        <v/>
      </c>
      <c r="H896" s="22" t="str">
        <f t="shared" si="107"/>
        <v/>
      </c>
      <c r="I896" s="54" t="str">
        <f t="shared" si="104"/>
        <v/>
      </c>
      <c r="R896" s="24" t="e">
        <f t="shared" si="108"/>
        <v>#VALUE!</v>
      </c>
      <c r="S896" s="25" t="e">
        <f t="shared" si="105"/>
        <v>#VALUE!</v>
      </c>
    </row>
    <row r="897" spans="1:19" x14ac:dyDescent="0.25">
      <c r="A897" t="e">
        <f t="shared" si="102"/>
        <v>#VALUE!</v>
      </c>
      <c r="B897" t="e">
        <f t="shared" si="103"/>
        <v>#VALUE!</v>
      </c>
      <c r="D897" s="21" t="str" cm="1">
        <f t="array" ref="D897">IF(ROWS($D$7:D897)&gt;COUNTIF('[1]U$S'!$H$5:$H$1008,$L$5),"",INDEX(CuentaUS,_xlfn.AGGREGATE(15,6,ROW('[1]U$S'!$H$5:$H$1008)-ROW('[1]U$S'!$O$5)+1/--('[1]U$S'!$H$5:$H$1008=$L$5),ROWS($D$7:D897)),1))</f>
        <v/>
      </c>
      <c r="E897" s="22" t="str" cm="1">
        <f t="array" ref="E897">IF(ROWS($E$7:E897)&gt;COUNTIF('[1]U$S'!$H$5:$H$1008,$L$5),"",INDEX(CuentaUS,_xlfn.AGGREGATE(15,6,ROW('[1]U$S'!$H$5:$H$1008)-ROW('[1]U$S'!$O$5)+1/--('[1]U$S'!$H$5:$H$1008=$L$5),ROWS($E$7:E897)),6))</f>
        <v/>
      </c>
      <c r="F897" s="22" t="str">
        <f>IF(E897="","",IF(E897&gt;0,SUMIFS('[1]UY$'!$L$5:$L$993,'[1]UY$'!$O$5:$O$993,"Cambio",'[1]UY$'!$E$5:$E$993,'Efecto TC'!D897),""))</f>
        <v/>
      </c>
      <c r="G897" s="23" t="str">
        <f t="shared" si="106"/>
        <v/>
      </c>
      <c r="H897" s="22" t="str">
        <f t="shared" si="107"/>
        <v/>
      </c>
      <c r="I897" s="54" t="str">
        <f t="shared" si="104"/>
        <v/>
      </c>
      <c r="R897" s="24" t="e">
        <f t="shared" si="108"/>
        <v>#VALUE!</v>
      </c>
      <c r="S897" s="25" t="e">
        <f t="shared" si="105"/>
        <v>#VALUE!</v>
      </c>
    </row>
    <row r="898" spans="1:19" x14ac:dyDescent="0.25">
      <c r="A898" t="e">
        <f t="shared" si="102"/>
        <v>#VALUE!</v>
      </c>
      <c r="B898" t="e">
        <f t="shared" si="103"/>
        <v>#VALUE!</v>
      </c>
      <c r="D898" s="21" t="str" cm="1">
        <f t="array" ref="D898">IF(ROWS($D$7:D898)&gt;COUNTIF('[1]U$S'!$H$5:$H$1008,$L$5),"",INDEX(CuentaUS,_xlfn.AGGREGATE(15,6,ROW('[1]U$S'!$H$5:$H$1008)-ROW('[1]U$S'!$O$5)+1/--('[1]U$S'!$H$5:$H$1008=$L$5),ROWS($D$7:D898)),1))</f>
        <v/>
      </c>
      <c r="E898" s="22" t="str" cm="1">
        <f t="array" ref="E898">IF(ROWS($E$7:E898)&gt;COUNTIF('[1]U$S'!$H$5:$H$1008,$L$5),"",INDEX(CuentaUS,_xlfn.AGGREGATE(15,6,ROW('[1]U$S'!$H$5:$H$1008)-ROW('[1]U$S'!$O$5)+1/--('[1]U$S'!$H$5:$H$1008=$L$5),ROWS($E$7:E898)),6))</f>
        <v/>
      </c>
      <c r="F898" s="22" t="str">
        <f>IF(E898="","",IF(E898&gt;0,SUMIFS('[1]UY$'!$L$5:$L$993,'[1]UY$'!$O$5:$O$993,"Cambio",'[1]UY$'!$E$5:$E$993,'Efecto TC'!D898),""))</f>
        <v/>
      </c>
      <c r="G898" s="23" t="str">
        <f t="shared" si="106"/>
        <v/>
      </c>
      <c r="H898" s="22" t="str">
        <f t="shared" si="107"/>
        <v/>
      </c>
      <c r="I898" s="54" t="str">
        <f t="shared" si="104"/>
        <v/>
      </c>
      <c r="R898" s="24" t="e">
        <f t="shared" si="108"/>
        <v>#VALUE!</v>
      </c>
      <c r="S898" s="25" t="e">
        <f t="shared" si="105"/>
        <v>#VALUE!</v>
      </c>
    </row>
    <row r="899" spans="1:19" x14ac:dyDescent="0.25">
      <c r="A899" t="e">
        <f t="shared" si="102"/>
        <v>#VALUE!</v>
      </c>
      <c r="B899" t="e">
        <f t="shared" si="103"/>
        <v>#VALUE!</v>
      </c>
      <c r="D899" s="21" t="str" cm="1">
        <f t="array" ref="D899">IF(ROWS($D$7:D899)&gt;COUNTIF('[1]U$S'!$H$5:$H$1008,$L$5),"",INDEX(CuentaUS,_xlfn.AGGREGATE(15,6,ROW('[1]U$S'!$H$5:$H$1008)-ROW('[1]U$S'!$O$5)+1/--('[1]U$S'!$H$5:$H$1008=$L$5),ROWS($D$7:D899)),1))</f>
        <v/>
      </c>
      <c r="E899" s="22" t="str" cm="1">
        <f t="array" ref="E899">IF(ROWS($E$7:E899)&gt;COUNTIF('[1]U$S'!$H$5:$H$1008,$L$5),"",INDEX(CuentaUS,_xlfn.AGGREGATE(15,6,ROW('[1]U$S'!$H$5:$H$1008)-ROW('[1]U$S'!$O$5)+1/--('[1]U$S'!$H$5:$H$1008=$L$5),ROWS($E$7:E899)),6))</f>
        <v/>
      </c>
      <c r="F899" s="22" t="str">
        <f>IF(E899="","",IF(E899&gt;0,SUMIFS('[1]UY$'!$L$5:$L$993,'[1]UY$'!$O$5:$O$993,"Cambio",'[1]UY$'!$E$5:$E$993,'Efecto TC'!D899),""))</f>
        <v/>
      </c>
      <c r="G899" s="23" t="str">
        <f t="shared" si="106"/>
        <v/>
      </c>
      <c r="H899" s="22" t="str">
        <f t="shared" si="107"/>
        <v/>
      </c>
      <c r="I899" s="54" t="str">
        <f t="shared" si="104"/>
        <v/>
      </c>
      <c r="R899" s="24" t="e">
        <f t="shared" si="108"/>
        <v>#VALUE!</v>
      </c>
      <c r="S899" s="25" t="e">
        <f t="shared" si="105"/>
        <v>#VALUE!</v>
      </c>
    </row>
    <row r="900" spans="1:19" x14ac:dyDescent="0.25">
      <c r="A900" t="e">
        <f t="shared" si="102"/>
        <v>#VALUE!</v>
      </c>
      <c r="B900" t="e">
        <f t="shared" si="103"/>
        <v>#VALUE!</v>
      </c>
      <c r="D900" s="21" t="str" cm="1">
        <f t="array" ref="D900">IF(ROWS($D$7:D900)&gt;COUNTIF('[1]U$S'!$H$5:$H$1008,$L$5),"",INDEX(CuentaUS,_xlfn.AGGREGATE(15,6,ROW('[1]U$S'!$H$5:$H$1008)-ROW('[1]U$S'!$O$5)+1/--('[1]U$S'!$H$5:$H$1008=$L$5),ROWS($D$7:D900)),1))</f>
        <v/>
      </c>
      <c r="E900" s="22" t="str" cm="1">
        <f t="array" ref="E900">IF(ROWS($E$7:E900)&gt;COUNTIF('[1]U$S'!$H$5:$H$1008,$L$5),"",INDEX(CuentaUS,_xlfn.AGGREGATE(15,6,ROW('[1]U$S'!$H$5:$H$1008)-ROW('[1]U$S'!$O$5)+1/--('[1]U$S'!$H$5:$H$1008=$L$5),ROWS($E$7:E900)),6))</f>
        <v/>
      </c>
      <c r="F900" s="22" t="str">
        <f>IF(E900="","",IF(E900&gt;0,SUMIFS('[1]UY$'!$L$5:$L$993,'[1]UY$'!$O$5:$O$993,"Cambio",'[1]UY$'!$E$5:$E$993,'Efecto TC'!D900),""))</f>
        <v/>
      </c>
      <c r="G900" s="23" t="str">
        <f t="shared" si="106"/>
        <v/>
      </c>
      <c r="H900" s="22" t="str">
        <f t="shared" si="107"/>
        <v/>
      </c>
      <c r="I900" s="54" t="str">
        <f t="shared" si="104"/>
        <v/>
      </c>
      <c r="R900" s="24" t="e">
        <f t="shared" si="108"/>
        <v>#VALUE!</v>
      </c>
      <c r="S900" s="25" t="e">
        <f t="shared" si="105"/>
        <v>#VALUE!</v>
      </c>
    </row>
    <row r="901" spans="1:19" x14ac:dyDescent="0.25">
      <c r="A901" t="e">
        <f t="shared" si="102"/>
        <v>#VALUE!</v>
      </c>
      <c r="B901" t="e">
        <f t="shared" si="103"/>
        <v>#VALUE!</v>
      </c>
      <c r="D901" s="21" t="str" cm="1">
        <f t="array" ref="D901">IF(ROWS($D$7:D901)&gt;COUNTIF('[1]U$S'!$H$5:$H$1008,$L$5),"",INDEX(CuentaUS,_xlfn.AGGREGATE(15,6,ROW('[1]U$S'!$H$5:$H$1008)-ROW('[1]U$S'!$O$5)+1/--('[1]U$S'!$H$5:$H$1008=$L$5),ROWS($D$7:D901)),1))</f>
        <v/>
      </c>
      <c r="E901" s="22" t="str" cm="1">
        <f t="array" ref="E901">IF(ROWS($E$7:E901)&gt;COUNTIF('[1]U$S'!$H$5:$H$1008,$L$5),"",INDEX(CuentaUS,_xlfn.AGGREGATE(15,6,ROW('[1]U$S'!$H$5:$H$1008)-ROW('[1]U$S'!$O$5)+1/--('[1]U$S'!$H$5:$H$1008=$L$5),ROWS($E$7:E901)),6))</f>
        <v/>
      </c>
      <c r="F901" s="22" t="str">
        <f>IF(E901="","",IF(E901&gt;0,SUMIFS('[1]UY$'!$L$5:$L$993,'[1]UY$'!$O$5:$O$993,"Cambio",'[1]UY$'!$E$5:$E$993,'Efecto TC'!D901),""))</f>
        <v/>
      </c>
      <c r="G901" s="23" t="str">
        <f t="shared" si="106"/>
        <v/>
      </c>
      <c r="H901" s="22" t="str">
        <f t="shared" si="107"/>
        <v/>
      </c>
      <c r="I901" s="54" t="str">
        <f t="shared" si="104"/>
        <v/>
      </c>
      <c r="R901" s="24" t="e">
        <f t="shared" si="108"/>
        <v>#VALUE!</v>
      </c>
      <c r="S901" s="25" t="e">
        <f t="shared" si="105"/>
        <v>#VALUE!</v>
      </c>
    </row>
    <row r="902" spans="1:19" x14ac:dyDescent="0.25">
      <c r="A902" t="e">
        <f t="shared" si="102"/>
        <v>#VALUE!</v>
      </c>
      <c r="B902" t="e">
        <f t="shared" si="103"/>
        <v>#VALUE!</v>
      </c>
      <c r="D902" s="21" t="str" cm="1">
        <f t="array" ref="D902">IF(ROWS($D$7:D902)&gt;COUNTIF('[1]U$S'!$H$5:$H$1008,$L$5),"",INDEX(CuentaUS,_xlfn.AGGREGATE(15,6,ROW('[1]U$S'!$H$5:$H$1008)-ROW('[1]U$S'!$O$5)+1/--('[1]U$S'!$H$5:$H$1008=$L$5),ROWS($D$7:D902)),1))</f>
        <v/>
      </c>
      <c r="E902" s="22" t="str" cm="1">
        <f t="array" ref="E902">IF(ROWS($E$7:E902)&gt;COUNTIF('[1]U$S'!$H$5:$H$1008,$L$5),"",INDEX(CuentaUS,_xlfn.AGGREGATE(15,6,ROW('[1]U$S'!$H$5:$H$1008)-ROW('[1]U$S'!$O$5)+1/--('[1]U$S'!$H$5:$H$1008=$L$5),ROWS($E$7:E902)),6))</f>
        <v/>
      </c>
      <c r="F902" s="22" t="str">
        <f>IF(E902="","",IF(E902&gt;0,SUMIFS('[1]UY$'!$L$5:$L$993,'[1]UY$'!$O$5:$O$993,"Cambio",'[1]UY$'!$E$5:$E$993,'Efecto TC'!D902),""))</f>
        <v/>
      </c>
      <c r="G902" s="23" t="str">
        <f t="shared" si="106"/>
        <v/>
      </c>
      <c r="H902" s="22" t="str">
        <f t="shared" si="107"/>
        <v/>
      </c>
      <c r="I902" s="54" t="str">
        <f t="shared" si="104"/>
        <v/>
      </c>
      <c r="R902" s="24" t="e">
        <f t="shared" si="108"/>
        <v>#VALUE!</v>
      </c>
      <c r="S902" s="25" t="e">
        <f t="shared" si="105"/>
        <v>#VALUE!</v>
      </c>
    </row>
    <row r="903" spans="1:19" x14ac:dyDescent="0.25">
      <c r="A903" t="e">
        <f t="shared" ref="A903:A966" si="109">MONTH(D903)</f>
        <v>#VALUE!</v>
      </c>
      <c r="B903" t="e">
        <f t="shared" ref="B903:B966" si="110">YEAR(D903)</f>
        <v>#VALUE!</v>
      </c>
      <c r="D903" s="21" t="str" cm="1">
        <f t="array" ref="D903">IF(ROWS($D$7:D903)&gt;COUNTIF('[1]U$S'!$H$5:$H$1008,$L$5),"",INDEX(CuentaUS,_xlfn.AGGREGATE(15,6,ROW('[1]U$S'!$H$5:$H$1008)-ROW('[1]U$S'!$O$5)+1/--('[1]U$S'!$H$5:$H$1008=$L$5),ROWS($D$7:D903)),1))</f>
        <v/>
      </c>
      <c r="E903" s="22" t="str" cm="1">
        <f t="array" ref="E903">IF(ROWS($E$7:E903)&gt;COUNTIF('[1]U$S'!$H$5:$H$1008,$L$5),"",INDEX(CuentaUS,_xlfn.AGGREGATE(15,6,ROW('[1]U$S'!$H$5:$H$1008)-ROW('[1]U$S'!$O$5)+1/--('[1]U$S'!$H$5:$H$1008=$L$5),ROWS($E$7:E903)),6))</f>
        <v/>
      </c>
      <c r="F903" s="22" t="str">
        <f>IF(E903="","",IF(E903&gt;0,SUMIFS('[1]UY$'!$L$5:$L$993,'[1]UY$'!$O$5:$O$993,"Cambio",'[1]UY$'!$E$5:$E$993,'Efecto TC'!D903),""))</f>
        <v/>
      </c>
      <c r="G903" s="23" t="str">
        <f t="shared" si="106"/>
        <v/>
      </c>
      <c r="H903" s="22" t="str">
        <f t="shared" si="107"/>
        <v/>
      </c>
      <c r="I903" s="54" t="str">
        <f t="shared" si="104"/>
        <v/>
      </c>
      <c r="R903" s="24" t="e">
        <f t="shared" si="108"/>
        <v>#VALUE!</v>
      </c>
      <c r="S903" s="25" t="e">
        <f t="shared" si="105"/>
        <v>#VALUE!</v>
      </c>
    </row>
    <row r="904" spans="1:19" x14ac:dyDescent="0.25">
      <c r="A904" t="e">
        <f t="shared" si="109"/>
        <v>#VALUE!</v>
      </c>
      <c r="B904" t="e">
        <f t="shared" si="110"/>
        <v>#VALUE!</v>
      </c>
      <c r="D904" s="21" t="str" cm="1">
        <f t="array" ref="D904">IF(ROWS($D$7:D904)&gt;COUNTIF('[1]U$S'!$H$5:$H$1008,$L$5),"",INDEX(CuentaUS,_xlfn.AGGREGATE(15,6,ROW('[1]U$S'!$H$5:$H$1008)-ROW('[1]U$S'!$O$5)+1/--('[1]U$S'!$H$5:$H$1008=$L$5),ROWS($D$7:D904)),1))</f>
        <v/>
      </c>
      <c r="E904" s="22" t="str" cm="1">
        <f t="array" ref="E904">IF(ROWS($E$7:E904)&gt;COUNTIF('[1]U$S'!$H$5:$H$1008,$L$5),"",INDEX(CuentaUS,_xlfn.AGGREGATE(15,6,ROW('[1]U$S'!$H$5:$H$1008)-ROW('[1]U$S'!$O$5)+1/--('[1]U$S'!$H$5:$H$1008=$L$5),ROWS($E$7:E904)),6))</f>
        <v/>
      </c>
      <c r="F904" s="22" t="str">
        <f>IF(E904="","",IF(E904&gt;0,SUMIFS('[1]UY$'!$L$5:$L$993,'[1]UY$'!$O$5:$O$993,"Cambio",'[1]UY$'!$E$5:$E$993,'Efecto TC'!D904),""))</f>
        <v/>
      </c>
      <c r="G904" s="23" t="str">
        <f t="shared" si="106"/>
        <v/>
      </c>
      <c r="H904" s="22" t="str">
        <f t="shared" si="107"/>
        <v/>
      </c>
      <c r="I904" s="54" t="str">
        <f t="shared" si="104"/>
        <v/>
      </c>
      <c r="R904" s="24" t="e">
        <f t="shared" si="108"/>
        <v>#VALUE!</v>
      </c>
      <c r="S904" s="25" t="e">
        <f t="shared" si="105"/>
        <v>#VALUE!</v>
      </c>
    </row>
    <row r="905" spans="1:19" x14ac:dyDescent="0.25">
      <c r="A905" t="e">
        <f t="shared" si="109"/>
        <v>#VALUE!</v>
      </c>
      <c r="B905" t="e">
        <f t="shared" si="110"/>
        <v>#VALUE!</v>
      </c>
      <c r="D905" s="21" t="str" cm="1">
        <f t="array" ref="D905">IF(ROWS($D$7:D905)&gt;COUNTIF('[1]U$S'!$H$5:$H$1008,$L$5),"",INDEX(CuentaUS,_xlfn.AGGREGATE(15,6,ROW('[1]U$S'!$H$5:$H$1008)-ROW('[1]U$S'!$O$5)+1/--('[1]U$S'!$H$5:$H$1008=$L$5),ROWS($D$7:D905)),1))</f>
        <v/>
      </c>
      <c r="E905" s="22" t="str" cm="1">
        <f t="array" ref="E905">IF(ROWS($E$7:E905)&gt;COUNTIF('[1]U$S'!$H$5:$H$1008,$L$5),"",INDEX(CuentaUS,_xlfn.AGGREGATE(15,6,ROW('[1]U$S'!$H$5:$H$1008)-ROW('[1]U$S'!$O$5)+1/--('[1]U$S'!$H$5:$H$1008=$L$5),ROWS($E$7:E905)),6))</f>
        <v/>
      </c>
      <c r="F905" s="22" t="str">
        <f>IF(E905="","",IF(E905&gt;0,SUMIFS('[1]UY$'!$L$5:$L$993,'[1]UY$'!$O$5:$O$993,"Cambio",'[1]UY$'!$E$5:$E$993,'Efecto TC'!D905),""))</f>
        <v/>
      </c>
      <c r="G905" s="23" t="str">
        <f t="shared" si="106"/>
        <v/>
      </c>
      <c r="H905" s="22" t="str">
        <f t="shared" si="107"/>
        <v/>
      </c>
      <c r="I905" s="54" t="str">
        <f t="shared" si="104"/>
        <v/>
      </c>
      <c r="R905" s="24" t="e">
        <f t="shared" si="108"/>
        <v>#VALUE!</v>
      </c>
      <c r="S905" s="25" t="e">
        <f t="shared" si="105"/>
        <v>#VALUE!</v>
      </c>
    </row>
    <row r="906" spans="1:19" x14ac:dyDescent="0.25">
      <c r="A906" t="e">
        <f t="shared" si="109"/>
        <v>#VALUE!</v>
      </c>
      <c r="B906" t="e">
        <f t="shared" si="110"/>
        <v>#VALUE!</v>
      </c>
      <c r="D906" s="21" t="str" cm="1">
        <f t="array" ref="D906">IF(ROWS($D$7:D906)&gt;COUNTIF('[1]U$S'!$H$5:$H$1008,$L$5),"",INDEX(CuentaUS,_xlfn.AGGREGATE(15,6,ROW('[1]U$S'!$H$5:$H$1008)-ROW('[1]U$S'!$O$5)+1/--('[1]U$S'!$H$5:$H$1008=$L$5),ROWS($D$7:D906)),1))</f>
        <v/>
      </c>
      <c r="E906" s="22" t="str" cm="1">
        <f t="array" ref="E906">IF(ROWS($E$7:E906)&gt;COUNTIF('[1]U$S'!$H$5:$H$1008,$L$5),"",INDEX(CuentaUS,_xlfn.AGGREGATE(15,6,ROW('[1]U$S'!$H$5:$H$1008)-ROW('[1]U$S'!$O$5)+1/--('[1]U$S'!$H$5:$H$1008=$L$5),ROWS($E$7:E906)),6))</f>
        <v/>
      </c>
      <c r="F906" s="22" t="str">
        <f>IF(E906="","",IF(E906&gt;0,SUMIFS('[1]UY$'!$L$5:$L$993,'[1]UY$'!$O$5:$O$993,"Cambio",'[1]UY$'!$E$5:$E$993,'Efecto TC'!D906),""))</f>
        <v/>
      </c>
      <c r="G906" s="23" t="str">
        <f t="shared" si="106"/>
        <v/>
      </c>
      <c r="H906" s="22" t="str">
        <f t="shared" si="107"/>
        <v/>
      </c>
      <c r="I906" s="54" t="str">
        <f t="shared" ref="I906:I969" si="111">IF(H906="","",+H906+I905)</f>
        <v/>
      </c>
      <c r="R906" s="24" t="e">
        <f t="shared" si="108"/>
        <v>#VALUE!</v>
      </c>
      <c r="S906" s="25" t="e">
        <f t="shared" si="105"/>
        <v>#VALUE!</v>
      </c>
    </row>
    <row r="907" spans="1:19" x14ac:dyDescent="0.25">
      <c r="A907" t="e">
        <f t="shared" si="109"/>
        <v>#VALUE!</v>
      </c>
      <c r="B907" t="e">
        <f t="shared" si="110"/>
        <v>#VALUE!</v>
      </c>
      <c r="D907" s="21" t="str" cm="1">
        <f t="array" ref="D907">IF(ROWS($D$7:D907)&gt;COUNTIF('[1]U$S'!$H$5:$H$1008,$L$5),"",INDEX(CuentaUS,_xlfn.AGGREGATE(15,6,ROW('[1]U$S'!$H$5:$H$1008)-ROW('[1]U$S'!$O$5)+1/--('[1]U$S'!$H$5:$H$1008=$L$5),ROWS($D$7:D907)),1))</f>
        <v/>
      </c>
      <c r="E907" s="22" t="str" cm="1">
        <f t="array" ref="E907">IF(ROWS($E$7:E907)&gt;COUNTIF('[1]U$S'!$H$5:$H$1008,$L$5),"",INDEX(CuentaUS,_xlfn.AGGREGATE(15,6,ROW('[1]U$S'!$H$5:$H$1008)-ROW('[1]U$S'!$O$5)+1/--('[1]U$S'!$H$5:$H$1008=$L$5),ROWS($E$7:E907)),6))</f>
        <v/>
      </c>
      <c r="F907" s="22" t="str">
        <f>IF(E907="","",IF(E907&gt;0,SUMIFS('[1]UY$'!$L$5:$L$993,'[1]UY$'!$O$5:$O$993,"Cambio",'[1]UY$'!$E$5:$E$993,'Efecto TC'!D907),""))</f>
        <v/>
      </c>
      <c r="G907" s="23" t="str">
        <f t="shared" si="106"/>
        <v/>
      </c>
      <c r="H907" s="22" t="str">
        <f t="shared" si="107"/>
        <v/>
      </c>
      <c r="I907" s="54" t="str">
        <f t="shared" si="111"/>
        <v/>
      </c>
      <c r="R907" s="24" t="e">
        <f t="shared" si="108"/>
        <v>#VALUE!</v>
      </c>
      <c r="S907" s="25" t="e">
        <f t="shared" si="105"/>
        <v>#VALUE!</v>
      </c>
    </row>
    <row r="908" spans="1:19" x14ac:dyDescent="0.25">
      <c r="A908" t="e">
        <f t="shared" si="109"/>
        <v>#VALUE!</v>
      </c>
      <c r="B908" t="e">
        <f t="shared" si="110"/>
        <v>#VALUE!</v>
      </c>
      <c r="D908" s="21" t="str" cm="1">
        <f t="array" ref="D908">IF(ROWS($D$7:D908)&gt;COUNTIF('[1]U$S'!$H$5:$H$1008,$L$5),"",INDEX(CuentaUS,_xlfn.AGGREGATE(15,6,ROW('[1]U$S'!$H$5:$H$1008)-ROW('[1]U$S'!$O$5)+1/--('[1]U$S'!$H$5:$H$1008=$L$5),ROWS($D$7:D908)),1))</f>
        <v/>
      </c>
      <c r="E908" s="22" t="str" cm="1">
        <f t="array" ref="E908">IF(ROWS($E$7:E908)&gt;COUNTIF('[1]U$S'!$H$5:$H$1008,$L$5),"",INDEX(CuentaUS,_xlfn.AGGREGATE(15,6,ROW('[1]U$S'!$H$5:$H$1008)-ROW('[1]U$S'!$O$5)+1/--('[1]U$S'!$H$5:$H$1008=$L$5),ROWS($E$7:E908)),6))</f>
        <v/>
      </c>
      <c r="F908" s="22" t="str">
        <f>IF(E908="","",IF(E908&gt;0,SUMIFS('[1]UY$'!$L$5:$L$993,'[1]UY$'!$O$5:$O$993,"Cambio",'[1]UY$'!$E$5:$E$993,'Efecto TC'!D908),""))</f>
        <v/>
      </c>
      <c r="G908" s="23" t="str">
        <f t="shared" si="106"/>
        <v/>
      </c>
      <c r="H908" s="22" t="str">
        <f t="shared" si="107"/>
        <v/>
      </c>
      <c r="I908" s="54" t="str">
        <f t="shared" si="111"/>
        <v/>
      </c>
      <c r="R908" s="24" t="e">
        <f t="shared" si="108"/>
        <v>#VALUE!</v>
      </c>
      <c r="S908" s="25" t="e">
        <f t="shared" si="105"/>
        <v>#VALUE!</v>
      </c>
    </row>
    <row r="909" spans="1:19" x14ac:dyDescent="0.25">
      <c r="A909" t="e">
        <f t="shared" si="109"/>
        <v>#VALUE!</v>
      </c>
      <c r="B909" t="e">
        <f t="shared" si="110"/>
        <v>#VALUE!</v>
      </c>
      <c r="D909" s="21" t="str" cm="1">
        <f t="array" ref="D909">IF(ROWS($D$7:D909)&gt;COUNTIF('[1]U$S'!$H$5:$H$1008,$L$5),"",INDEX(CuentaUS,_xlfn.AGGREGATE(15,6,ROW('[1]U$S'!$H$5:$H$1008)-ROW('[1]U$S'!$O$5)+1/--('[1]U$S'!$H$5:$H$1008=$L$5),ROWS($D$7:D909)),1))</f>
        <v/>
      </c>
      <c r="E909" s="22" t="str" cm="1">
        <f t="array" ref="E909">IF(ROWS($E$7:E909)&gt;COUNTIF('[1]U$S'!$H$5:$H$1008,$L$5),"",INDEX(CuentaUS,_xlfn.AGGREGATE(15,6,ROW('[1]U$S'!$H$5:$H$1008)-ROW('[1]U$S'!$O$5)+1/--('[1]U$S'!$H$5:$H$1008=$L$5),ROWS($E$7:E909)),6))</f>
        <v/>
      </c>
      <c r="F909" s="22" t="str">
        <f>IF(E909="","",IF(E909&gt;0,SUMIFS('[1]UY$'!$L$5:$L$993,'[1]UY$'!$O$5:$O$993,"Cambio",'[1]UY$'!$E$5:$E$993,'Efecto TC'!D909),""))</f>
        <v/>
      </c>
      <c r="G909" s="23" t="str">
        <f t="shared" si="106"/>
        <v/>
      </c>
      <c r="H909" s="22" t="str">
        <f t="shared" si="107"/>
        <v/>
      </c>
      <c r="I909" s="54" t="str">
        <f t="shared" si="111"/>
        <v/>
      </c>
      <c r="R909" s="24" t="e">
        <f t="shared" si="108"/>
        <v>#VALUE!</v>
      </c>
      <c r="S909" s="25" t="e">
        <f t="shared" si="105"/>
        <v>#VALUE!</v>
      </c>
    </row>
    <row r="910" spans="1:19" x14ac:dyDescent="0.25">
      <c r="A910" t="e">
        <f t="shared" si="109"/>
        <v>#VALUE!</v>
      </c>
      <c r="B910" t="e">
        <f t="shared" si="110"/>
        <v>#VALUE!</v>
      </c>
      <c r="D910" s="21" t="str" cm="1">
        <f t="array" ref="D910">IF(ROWS($D$7:D910)&gt;COUNTIF('[1]U$S'!$H$5:$H$1008,$L$5),"",INDEX(CuentaUS,_xlfn.AGGREGATE(15,6,ROW('[1]U$S'!$H$5:$H$1008)-ROW('[1]U$S'!$O$5)+1/--('[1]U$S'!$H$5:$H$1008=$L$5),ROWS($D$7:D910)),1))</f>
        <v/>
      </c>
      <c r="E910" s="22" t="str" cm="1">
        <f t="array" ref="E910">IF(ROWS($E$7:E910)&gt;COUNTIF('[1]U$S'!$H$5:$H$1008,$L$5),"",INDEX(CuentaUS,_xlfn.AGGREGATE(15,6,ROW('[1]U$S'!$H$5:$H$1008)-ROW('[1]U$S'!$O$5)+1/--('[1]U$S'!$H$5:$H$1008=$L$5),ROWS($E$7:E910)),6))</f>
        <v/>
      </c>
      <c r="F910" s="22" t="str">
        <f>IF(E910="","",IF(E910&gt;0,SUMIFS('[1]UY$'!$L$5:$L$993,'[1]UY$'!$O$5:$O$993,"Cambio",'[1]UY$'!$E$5:$E$993,'Efecto TC'!D910),""))</f>
        <v/>
      </c>
      <c r="G910" s="23" t="str">
        <f t="shared" si="106"/>
        <v/>
      </c>
      <c r="H910" s="22" t="str">
        <f t="shared" si="107"/>
        <v/>
      </c>
      <c r="I910" s="54" t="str">
        <f t="shared" si="111"/>
        <v/>
      </c>
      <c r="R910" s="24" t="e">
        <f t="shared" si="108"/>
        <v>#VALUE!</v>
      </c>
      <c r="S910" s="25" t="e">
        <f t="shared" si="105"/>
        <v>#VALUE!</v>
      </c>
    </row>
    <row r="911" spans="1:19" x14ac:dyDescent="0.25">
      <c r="A911" t="e">
        <f t="shared" si="109"/>
        <v>#VALUE!</v>
      </c>
      <c r="B911" t="e">
        <f t="shared" si="110"/>
        <v>#VALUE!</v>
      </c>
      <c r="D911" s="21" t="str" cm="1">
        <f t="array" ref="D911">IF(ROWS($D$7:D911)&gt;COUNTIF('[1]U$S'!$H$5:$H$1008,$L$5),"",INDEX(CuentaUS,_xlfn.AGGREGATE(15,6,ROW('[1]U$S'!$H$5:$H$1008)-ROW('[1]U$S'!$O$5)+1/--('[1]U$S'!$H$5:$H$1008=$L$5),ROWS($D$7:D911)),1))</f>
        <v/>
      </c>
      <c r="E911" s="22" t="str" cm="1">
        <f t="array" ref="E911">IF(ROWS($E$7:E911)&gt;COUNTIF('[1]U$S'!$H$5:$H$1008,$L$5),"",INDEX(CuentaUS,_xlfn.AGGREGATE(15,6,ROW('[1]U$S'!$H$5:$H$1008)-ROW('[1]U$S'!$O$5)+1/--('[1]U$S'!$H$5:$H$1008=$L$5),ROWS($E$7:E911)),6))</f>
        <v/>
      </c>
      <c r="F911" s="22" t="str">
        <f>IF(E911="","",IF(E911&gt;0,SUMIFS('[1]UY$'!$L$5:$L$993,'[1]UY$'!$O$5:$O$993,"Cambio",'[1]UY$'!$E$5:$E$993,'Efecto TC'!D911),""))</f>
        <v/>
      </c>
      <c r="G911" s="23" t="str">
        <f t="shared" si="106"/>
        <v/>
      </c>
      <c r="H911" s="22" t="str">
        <f t="shared" si="107"/>
        <v/>
      </c>
      <c r="I911" s="54" t="str">
        <f t="shared" si="111"/>
        <v/>
      </c>
      <c r="R911" s="24" t="e">
        <f t="shared" si="108"/>
        <v>#VALUE!</v>
      </c>
      <c r="S911" s="25" t="e">
        <f t="shared" si="105"/>
        <v>#VALUE!</v>
      </c>
    </row>
    <row r="912" spans="1:19" x14ac:dyDescent="0.25">
      <c r="A912" t="e">
        <f t="shared" si="109"/>
        <v>#VALUE!</v>
      </c>
      <c r="B912" t="e">
        <f t="shared" si="110"/>
        <v>#VALUE!</v>
      </c>
      <c r="D912" s="21" t="str" cm="1">
        <f t="array" ref="D912">IF(ROWS($D$7:D912)&gt;COUNTIF('[1]U$S'!$H$5:$H$1008,$L$5),"",INDEX(CuentaUS,_xlfn.AGGREGATE(15,6,ROW('[1]U$S'!$H$5:$H$1008)-ROW('[1]U$S'!$O$5)+1/--('[1]U$S'!$H$5:$H$1008=$L$5),ROWS($D$7:D912)),1))</f>
        <v/>
      </c>
      <c r="E912" s="22" t="str" cm="1">
        <f t="array" ref="E912">IF(ROWS($E$7:E912)&gt;COUNTIF('[1]U$S'!$H$5:$H$1008,$L$5),"",INDEX(CuentaUS,_xlfn.AGGREGATE(15,6,ROW('[1]U$S'!$H$5:$H$1008)-ROW('[1]U$S'!$O$5)+1/--('[1]U$S'!$H$5:$H$1008=$L$5),ROWS($E$7:E912)),6))</f>
        <v/>
      </c>
      <c r="F912" s="22" t="str">
        <f>IF(E912="","",IF(E912&gt;0,SUMIFS('[1]UY$'!$L$5:$L$993,'[1]UY$'!$O$5:$O$993,"Cambio",'[1]UY$'!$E$5:$E$993,'Efecto TC'!D912),""))</f>
        <v/>
      </c>
      <c r="G912" s="23" t="str">
        <f t="shared" si="106"/>
        <v/>
      </c>
      <c r="H912" s="22" t="str">
        <f t="shared" si="107"/>
        <v/>
      </c>
      <c r="I912" s="54" t="str">
        <f t="shared" si="111"/>
        <v/>
      </c>
      <c r="R912" s="24" t="e">
        <f t="shared" si="108"/>
        <v>#VALUE!</v>
      </c>
      <c r="S912" s="25" t="e">
        <f t="shared" si="105"/>
        <v>#VALUE!</v>
      </c>
    </row>
    <row r="913" spans="1:19" x14ac:dyDescent="0.25">
      <c r="A913" t="e">
        <f t="shared" si="109"/>
        <v>#VALUE!</v>
      </c>
      <c r="B913" t="e">
        <f t="shared" si="110"/>
        <v>#VALUE!</v>
      </c>
      <c r="D913" s="21" t="str" cm="1">
        <f t="array" ref="D913">IF(ROWS($D$7:D913)&gt;COUNTIF('[1]U$S'!$H$5:$H$1008,$L$5),"",INDEX(CuentaUS,_xlfn.AGGREGATE(15,6,ROW('[1]U$S'!$H$5:$H$1008)-ROW('[1]U$S'!$O$5)+1/--('[1]U$S'!$H$5:$H$1008=$L$5),ROWS($D$7:D913)),1))</f>
        <v/>
      </c>
      <c r="E913" s="22" t="str" cm="1">
        <f t="array" ref="E913">IF(ROWS($E$7:E913)&gt;COUNTIF('[1]U$S'!$H$5:$H$1008,$L$5),"",INDEX(CuentaUS,_xlfn.AGGREGATE(15,6,ROW('[1]U$S'!$H$5:$H$1008)-ROW('[1]U$S'!$O$5)+1/--('[1]U$S'!$H$5:$H$1008=$L$5),ROWS($E$7:E913)),6))</f>
        <v/>
      </c>
      <c r="F913" s="22" t="str">
        <f>IF(E913="","",IF(E913&gt;0,SUMIFS('[1]UY$'!$L$5:$L$993,'[1]UY$'!$O$5:$O$993,"Cambio",'[1]UY$'!$E$5:$E$993,'Efecto TC'!D913),""))</f>
        <v/>
      </c>
      <c r="G913" s="23" t="str">
        <f t="shared" si="106"/>
        <v/>
      </c>
      <c r="H913" s="22" t="str">
        <f t="shared" si="107"/>
        <v/>
      </c>
      <c r="I913" s="54" t="str">
        <f t="shared" si="111"/>
        <v/>
      </c>
      <c r="R913" s="24" t="e">
        <f t="shared" si="108"/>
        <v>#VALUE!</v>
      </c>
      <c r="S913" s="25" t="e">
        <f t="shared" si="105"/>
        <v>#VALUE!</v>
      </c>
    </row>
    <row r="914" spans="1:19" x14ac:dyDescent="0.25">
      <c r="A914" t="e">
        <f t="shared" si="109"/>
        <v>#VALUE!</v>
      </c>
      <c r="B914" t="e">
        <f t="shared" si="110"/>
        <v>#VALUE!</v>
      </c>
      <c r="D914" s="21" t="str" cm="1">
        <f t="array" ref="D914">IF(ROWS($D$7:D914)&gt;COUNTIF('[1]U$S'!$H$5:$H$1008,$L$5),"",INDEX(CuentaUS,_xlfn.AGGREGATE(15,6,ROW('[1]U$S'!$H$5:$H$1008)-ROW('[1]U$S'!$O$5)+1/--('[1]U$S'!$H$5:$H$1008=$L$5),ROWS($D$7:D914)),1))</f>
        <v/>
      </c>
      <c r="E914" s="22" t="str" cm="1">
        <f t="array" ref="E914">IF(ROWS($E$7:E914)&gt;COUNTIF('[1]U$S'!$H$5:$H$1008,$L$5),"",INDEX(CuentaUS,_xlfn.AGGREGATE(15,6,ROW('[1]U$S'!$H$5:$H$1008)-ROW('[1]U$S'!$O$5)+1/--('[1]U$S'!$H$5:$H$1008=$L$5),ROWS($E$7:E914)),6))</f>
        <v/>
      </c>
      <c r="F914" s="22" t="str">
        <f>IF(E914="","",IF(E914&gt;0,SUMIFS('[1]UY$'!$L$5:$L$993,'[1]UY$'!$O$5:$O$993,"Cambio",'[1]UY$'!$E$5:$E$993,'Efecto TC'!D914),""))</f>
        <v/>
      </c>
      <c r="G914" s="23" t="str">
        <f t="shared" si="106"/>
        <v/>
      </c>
      <c r="H914" s="22" t="str">
        <f t="shared" si="107"/>
        <v/>
      </c>
      <c r="I914" s="54" t="str">
        <f t="shared" si="111"/>
        <v/>
      </c>
      <c r="R914" s="24" t="e">
        <f t="shared" si="108"/>
        <v>#VALUE!</v>
      </c>
      <c r="S914" s="25" t="e">
        <f t="shared" si="105"/>
        <v>#VALUE!</v>
      </c>
    </row>
    <row r="915" spans="1:19" x14ac:dyDescent="0.25">
      <c r="A915" t="e">
        <f t="shared" si="109"/>
        <v>#VALUE!</v>
      </c>
      <c r="B915" t="e">
        <f t="shared" si="110"/>
        <v>#VALUE!</v>
      </c>
      <c r="D915" s="21" t="str" cm="1">
        <f t="array" ref="D915">IF(ROWS($D$7:D915)&gt;COUNTIF('[1]U$S'!$H$5:$H$1008,$L$5),"",INDEX(CuentaUS,_xlfn.AGGREGATE(15,6,ROW('[1]U$S'!$H$5:$H$1008)-ROW('[1]U$S'!$O$5)+1/--('[1]U$S'!$H$5:$H$1008=$L$5),ROWS($D$7:D915)),1))</f>
        <v/>
      </c>
      <c r="E915" s="22" t="str" cm="1">
        <f t="array" ref="E915">IF(ROWS($E$7:E915)&gt;COUNTIF('[1]U$S'!$H$5:$H$1008,$L$5),"",INDEX(CuentaUS,_xlfn.AGGREGATE(15,6,ROW('[1]U$S'!$H$5:$H$1008)-ROW('[1]U$S'!$O$5)+1/--('[1]U$S'!$H$5:$H$1008=$L$5),ROWS($E$7:E915)),6))</f>
        <v/>
      </c>
      <c r="F915" s="22" t="str">
        <f>IF(E915="","",IF(E915&gt;0,SUMIFS('[1]UY$'!$L$5:$L$993,'[1]UY$'!$O$5:$O$993,"Cambio",'[1]UY$'!$E$5:$E$993,'Efecto TC'!D915),""))</f>
        <v/>
      </c>
      <c r="G915" s="23" t="str">
        <f t="shared" si="106"/>
        <v/>
      </c>
      <c r="H915" s="22" t="str">
        <f t="shared" si="107"/>
        <v/>
      </c>
      <c r="I915" s="54" t="str">
        <f t="shared" si="111"/>
        <v/>
      </c>
      <c r="R915" s="24" t="e">
        <f t="shared" si="108"/>
        <v>#VALUE!</v>
      </c>
      <c r="S915" s="25" t="e">
        <f t="shared" si="105"/>
        <v>#VALUE!</v>
      </c>
    </row>
    <row r="916" spans="1:19" x14ac:dyDescent="0.25">
      <c r="A916" t="e">
        <f t="shared" si="109"/>
        <v>#VALUE!</v>
      </c>
      <c r="B916" t="e">
        <f t="shared" si="110"/>
        <v>#VALUE!</v>
      </c>
      <c r="D916" s="21" t="str" cm="1">
        <f t="array" ref="D916">IF(ROWS($D$7:D916)&gt;COUNTIF('[1]U$S'!$H$5:$H$1008,$L$5),"",INDEX(CuentaUS,_xlfn.AGGREGATE(15,6,ROW('[1]U$S'!$H$5:$H$1008)-ROW('[1]U$S'!$O$5)+1/--('[1]U$S'!$H$5:$H$1008=$L$5),ROWS($D$7:D916)),1))</f>
        <v/>
      </c>
      <c r="E916" s="22" t="str" cm="1">
        <f t="array" ref="E916">IF(ROWS($E$7:E916)&gt;COUNTIF('[1]U$S'!$H$5:$H$1008,$L$5),"",INDEX(CuentaUS,_xlfn.AGGREGATE(15,6,ROW('[1]U$S'!$H$5:$H$1008)-ROW('[1]U$S'!$O$5)+1/--('[1]U$S'!$H$5:$H$1008=$L$5),ROWS($E$7:E916)),6))</f>
        <v/>
      </c>
      <c r="F916" s="22" t="str">
        <f>IF(E916="","",IF(E916&gt;0,SUMIFS('[1]UY$'!$L$5:$L$993,'[1]UY$'!$O$5:$O$993,"Cambio",'[1]UY$'!$E$5:$E$993,'Efecto TC'!D916),""))</f>
        <v/>
      </c>
      <c r="G916" s="23" t="str">
        <f t="shared" si="106"/>
        <v/>
      </c>
      <c r="H916" s="22" t="str">
        <f t="shared" si="107"/>
        <v/>
      </c>
      <c r="I916" s="54" t="str">
        <f t="shared" si="111"/>
        <v/>
      </c>
      <c r="R916" s="24" t="e">
        <f t="shared" si="108"/>
        <v>#VALUE!</v>
      </c>
      <c r="S916" s="25" t="e">
        <f t="shared" si="105"/>
        <v>#VALUE!</v>
      </c>
    </row>
    <row r="917" spans="1:19" x14ac:dyDescent="0.25">
      <c r="A917" t="e">
        <f t="shared" si="109"/>
        <v>#VALUE!</v>
      </c>
      <c r="B917" t="e">
        <f t="shared" si="110"/>
        <v>#VALUE!</v>
      </c>
      <c r="D917" s="21" t="str" cm="1">
        <f t="array" ref="D917">IF(ROWS($D$7:D917)&gt;COUNTIF('[1]U$S'!$H$5:$H$1008,$L$5),"",INDEX(CuentaUS,_xlfn.AGGREGATE(15,6,ROW('[1]U$S'!$H$5:$H$1008)-ROW('[1]U$S'!$O$5)+1/--('[1]U$S'!$H$5:$H$1008=$L$5),ROWS($D$7:D917)),1))</f>
        <v/>
      </c>
      <c r="E917" s="22" t="str" cm="1">
        <f t="array" ref="E917">IF(ROWS($E$7:E917)&gt;COUNTIF('[1]U$S'!$H$5:$H$1008,$L$5),"",INDEX(CuentaUS,_xlfn.AGGREGATE(15,6,ROW('[1]U$S'!$H$5:$H$1008)-ROW('[1]U$S'!$O$5)+1/--('[1]U$S'!$H$5:$H$1008=$L$5),ROWS($E$7:E917)),6))</f>
        <v/>
      </c>
      <c r="F917" s="22" t="str">
        <f>IF(E917="","",IF(E917&gt;0,SUMIFS('[1]UY$'!$L$5:$L$993,'[1]UY$'!$O$5:$O$993,"Cambio",'[1]UY$'!$E$5:$E$993,'Efecto TC'!D917),""))</f>
        <v/>
      </c>
      <c r="G917" s="23" t="str">
        <f t="shared" si="106"/>
        <v/>
      </c>
      <c r="H917" s="22" t="str">
        <f t="shared" si="107"/>
        <v/>
      </c>
      <c r="I917" s="54" t="str">
        <f t="shared" si="111"/>
        <v/>
      </c>
      <c r="R917" s="24" t="e">
        <f t="shared" si="108"/>
        <v>#VALUE!</v>
      </c>
      <c r="S917" s="25" t="e">
        <f t="shared" si="105"/>
        <v>#VALUE!</v>
      </c>
    </row>
    <row r="918" spans="1:19" x14ac:dyDescent="0.25">
      <c r="A918" t="e">
        <f t="shared" si="109"/>
        <v>#VALUE!</v>
      </c>
      <c r="B918" t="e">
        <f t="shared" si="110"/>
        <v>#VALUE!</v>
      </c>
      <c r="D918" s="21" t="str" cm="1">
        <f t="array" ref="D918">IF(ROWS($D$7:D918)&gt;COUNTIF('[1]U$S'!$H$5:$H$1008,$L$5),"",INDEX(CuentaUS,_xlfn.AGGREGATE(15,6,ROW('[1]U$S'!$H$5:$H$1008)-ROW('[1]U$S'!$O$5)+1/--('[1]U$S'!$H$5:$H$1008=$L$5),ROWS($D$7:D918)),1))</f>
        <v/>
      </c>
      <c r="E918" s="22" t="str" cm="1">
        <f t="array" ref="E918">IF(ROWS($E$7:E918)&gt;COUNTIF('[1]U$S'!$H$5:$H$1008,$L$5),"",INDEX(CuentaUS,_xlfn.AGGREGATE(15,6,ROW('[1]U$S'!$H$5:$H$1008)-ROW('[1]U$S'!$O$5)+1/--('[1]U$S'!$H$5:$H$1008=$L$5),ROWS($E$7:E918)),6))</f>
        <v/>
      </c>
      <c r="F918" s="22" t="str">
        <f>IF(E918="","",IF(E918&gt;0,SUMIFS('[1]UY$'!$L$5:$L$993,'[1]UY$'!$O$5:$O$993,"Cambio",'[1]UY$'!$E$5:$E$993,'Efecto TC'!D918),""))</f>
        <v/>
      </c>
      <c r="G918" s="23" t="str">
        <f t="shared" si="106"/>
        <v/>
      </c>
      <c r="H918" s="22" t="str">
        <f t="shared" si="107"/>
        <v/>
      </c>
      <c r="I918" s="54" t="str">
        <f t="shared" si="111"/>
        <v/>
      </c>
      <c r="R918" s="24" t="e">
        <f t="shared" si="108"/>
        <v>#VALUE!</v>
      </c>
      <c r="S918" s="25" t="e">
        <f t="shared" si="105"/>
        <v>#VALUE!</v>
      </c>
    </row>
    <row r="919" spans="1:19" x14ac:dyDescent="0.25">
      <c r="A919" t="e">
        <f t="shared" si="109"/>
        <v>#VALUE!</v>
      </c>
      <c r="B919" t="e">
        <f t="shared" si="110"/>
        <v>#VALUE!</v>
      </c>
      <c r="D919" s="21" t="str" cm="1">
        <f t="array" ref="D919">IF(ROWS($D$7:D919)&gt;COUNTIF('[1]U$S'!$H$5:$H$1008,$L$5),"",INDEX(CuentaUS,_xlfn.AGGREGATE(15,6,ROW('[1]U$S'!$H$5:$H$1008)-ROW('[1]U$S'!$O$5)+1/--('[1]U$S'!$H$5:$H$1008=$L$5),ROWS($D$7:D919)),1))</f>
        <v/>
      </c>
      <c r="E919" s="22" t="str" cm="1">
        <f t="array" ref="E919">IF(ROWS($E$7:E919)&gt;COUNTIF('[1]U$S'!$H$5:$H$1008,$L$5),"",INDEX(CuentaUS,_xlfn.AGGREGATE(15,6,ROW('[1]U$S'!$H$5:$H$1008)-ROW('[1]U$S'!$O$5)+1/--('[1]U$S'!$H$5:$H$1008=$L$5),ROWS($E$7:E919)),6))</f>
        <v/>
      </c>
      <c r="F919" s="22" t="str">
        <f>IF(E919="","",IF(E919&gt;0,SUMIFS('[1]UY$'!$L$5:$L$993,'[1]UY$'!$O$5:$O$993,"Cambio",'[1]UY$'!$E$5:$E$993,'Efecto TC'!D919),""))</f>
        <v/>
      </c>
      <c r="G919" s="23" t="str">
        <f t="shared" si="106"/>
        <v/>
      </c>
      <c r="H919" s="22" t="str">
        <f t="shared" si="107"/>
        <v/>
      </c>
      <c r="I919" s="54" t="str">
        <f t="shared" si="111"/>
        <v/>
      </c>
      <c r="R919" s="24" t="e">
        <f t="shared" si="108"/>
        <v>#VALUE!</v>
      </c>
      <c r="S919" s="25" t="e">
        <f t="shared" si="105"/>
        <v>#VALUE!</v>
      </c>
    </row>
    <row r="920" spans="1:19" x14ac:dyDescent="0.25">
      <c r="A920" t="e">
        <f t="shared" si="109"/>
        <v>#VALUE!</v>
      </c>
      <c r="B920" t="e">
        <f t="shared" si="110"/>
        <v>#VALUE!</v>
      </c>
      <c r="D920" s="21" t="str" cm="1">
        <f t="array" ref="D920">IF(ROWS($D$7:D920)&gt;COUNTIF('[1]U$S'!$H$5:$H$1008,$L$5),"",INDEX(CuentaUS,_xlfn.AGGREGATE(15,6,ROW('[1]U$S'!$H$5:$H$1008)-ROW('[1]U$S'!$O$5)+1/--('[1]U$S'!$H$5:$H$1008=$L$5),ROWS($D$7:D920)),1))</f>
        <v/>
      </c>
      <c r="E920" s="22" t="str" cm="1">
        <f t="array" ref="E920">IF(ROWS($E$7:E920)&gt;COUNTIF('[1]U$S'!$H$5:$H$1008,$L$5),"",INDEX(CuentaUS,_xlfn.AGGREGATE(15,6,ROW('[1]U$S'!$H$5:$H$1008)-ROW('[1]U$S'!$O$5)+1/--('[1]U$S'!$H$5:$H$1008=$L$5),ROWS($E$7:E920)),6))</f>
        <v/>
      </c>
      <c r="F920" s="22" t="str">
        <f>IF(E920="","",IF(E920&gt;0,SUMIFS('[1]UY$'!$L$5:$L$993,'[1]UY$'!$O$5:$O$993,"Cambio",'[1]UY$'!$E$5:$E$993,'Efecto TC'!D920),""))</f>
        <v/>
      </c>
      <c r="G920" s="23" t="str">
        <f t="shared" si="106"/>
        <v/>
      </c>
      <c r="H920" s="22" t="str">
        <f t="shared" si="107"/>
        <v/>
      </c>
      <c r="I920" s="54" t="str">
        <f t="shared" si="111"/>
        <v/>
      </c>
      <c r="R920" s="24" t="e">
        <f t="shared" si="108"/>
        <v>#VALUE!</v>
      </c>
      <c r="S920" s="25" t="e">
        <f t="shared" si="105"/>
        <v>#VALUE!</v>
      </c>
    </row>
    <row r="921" spans="1:19" x14ac:dyDescent="0.25">
      <c r="A921" t="e">
        <f t="shared" si="109"/>
        <v>#VALUE!</v>
      </c>
      <c r="B921" t="e">
        <f t="shared" si="110"/>
        <v>#VALUE!</v>
      </c>
      <c r="D921" s="21" t="str" cm="1">
        <f t="array" ref="D921">IF(ROWS($D$7:D921)&gt;COUNTIF('[1]U$S'!$H$5:$H$1008,$L$5),"",INDEX(CuentaUS,_xlfn.AGGREGATE(15,6,ROW('[1]U$S'!$H$5:$H$1008)-ROW('[1]U$S'!$O$5)+1/--('[1]U$S'!$H$5:$H$1008=$L$5),ROWS($D$7:D921)),1))</f>
        <v/>
      </c>
      <c r="E921" s="22" t="str" cm="1">
        <f t="array" ref="E921">IF(ROWS($E$7:E921)&gt;COUNTIF('[1]U$S'!$H$5:$H$1008,$L$5),"",INDEX(CuentaUS,_xlfn.AGGREGATE(15,6,ROW('[1]U$S'!$H$5:$H$1008)-ROW('[1]U$S'!$O$5)+1/--('[1]U$S'!$H$5:$H$1008=$L$5),ROWS($E$7:E921)),6))</f>
        <v/>
      </c>
      <c r="F921" s="22" t="str">
        <f>IF(E921="","",IF(E921&gt;0,SUMIFS('[1]UY$'!$L$5:$L$993,'[1]UY$'!$O$5:$O$993,"Cambio",'[1]UY$'!$E$5:$E$993,'Efecto TC'!D921),""))</f>
        <v/>
      </c>
      <c r="G921" s="23" t="str">
        <f t="shared" si="106"/>
        <v/>
      </c>
      <c r="H921" s="22" t="str">
        <f t="shared" si="107"/>
        <v/>
      </c>
      <c r="I921" s="54" t="str">
        <f t="shared" si="111"/>
        <v/>
      </c>
      <c r="R921" s="24" t="e">
        <f t="shared" si="108"/>
        <v>#VALUE!</v>
      </c>
      <c r="S921" s="25" t="e">
        <f t="shared" si="105"/>
        <v>#VALUE!</v>
      </c>
    </row>
    <row r="922" spans="1:19" x14ac:dyDescent="0.25">
      <c r="A922" t="e">
        <f t="shared" si="109"/>
        <v>#VALUE!</v>
      </c>
      <c r="B922" t="e">
        <f t="shared" si="110"/>
        <v>#VALUE!</v>
      </c>
      <c r="D922" s="21" t="str" cm="1">
        <f t="array" ref="D922">IF(ROWS($D$7:D922)&gt;COUNTIF('[1]U$S'!$H$5:$H$1008,$L$5),"",INDEX(CuentaUS,_xlfn.AGGREGATE(15,6,ROW('[1]U$S'!$H$5:$H$1008)-ROW('[1]U$S'!$O$5)+1/--('[1]U$S'!$H$5:$H$1008=$L$5),ROWS($D$7:D922)),1))</f>
        <v/>
      </c>
      <c r="E922" s="22" t="str" cm="1">
        <f t="array" ref="E922">IF(ROWS($E$7:E922)&gt;COUNTIF('[1]U$S'!$H$5:$H$1008,$L$5),"",INDEX(CuentaUS,_xlfn.AGGREGATE(15,6,ROW('[1]U$S'!$H$5:$H$1008)-ROW('[1]U$S'!$O$5)+1/--('[1]U$S'!$H$5:$H$1008=$L$5),ROWS($E$7:E922)),6))</f>
        <v/>
      </c>
      <c r="F922" s="22" t="str">
        <f>IF(E922="","",IF(E922&gt;0,SUMIFS('[1]UY$'!$L$5:$L$993,'[1]UY$'!$O$5:$O$993,"Cambio",'[1]UY$'!$E$5:$E$993,'Efecto TC'!D922),""))</f>
        <v/>
      </c>
      <c r="G922" s="23" t="str">
        <f t="shared" si="106"/>
        <v/>
      </c>
      <c r="H922" s="22" t="str">
        <f t="shared" si="107"/>
        <v/>
      </c>
      <c r="I922" s="54" t="str">
        <f t="shared" si="111"/>
        <v/>
      </c>
      <c r="R922" s="24" t="e">
        <f t="shared" si="108"/>
        <v>#VALUE!</v>
      </c>
      <c r="S922" s="25" t="e">
        <f t="shared" si="105"/>
        <v>#VALUE!</v>
      </c>
    </row>
    <row r="923" spans="1:19" x14ac:dyDescent="0.25">
      <c r="A923" t="e">
        <f t="shared" si="109"/>
        <v>#VALUE!</v>
      </c>
      <c r="B923" t="e">
        <f t="shared" si="110"/>
        <v>#VALUE!</v>
      </c>
      <c r="D923" s="21" t="str" cm="1">
        <f t="array" ref="D923">IF(ROWS($D$7:D923)&gt;COUNTIF('[1]U$S'!$H$5:$H$1008,$L$5),"",INDEX(CuentaUS,_xlfn.AGGREGATE(15,6,ROW('[1]U$S'!$H$5:$H$1008)-ROW('[1]U$S'!$O$5)+1/--('[1]U$S'!$H$5:$H$1008=$L$5),ROWS($D$7:D923)),1))</f>
        <v/>
      </c>
      <c r="E923" s="22" t="str" cm="1">
        <f t="array" ref="E923">IF(ROWS($E$7:E923)&gt;COUNTIF('[1]U$S'!$H$5:$H$1008,$L$5),"",INDEX(CuentaUS,_xlfn.AGGREGATE(15,6,ROW('[1]U$S'!$H$5:$H$1008)-ROW('[1]U$S'!$O$5)+1/--('[1]U$S'!$H$5:$H$1008=$L$5),ROWS($E$7:E923)),6))</f>
        <v/>
      </c>
      <c r="F923" s="22" t="str">
        <f>IF(E923="","",IF(E923&gt;0,SUMIFS('[1]UY$'!$L$5:$L$993,'[1]UY$'!$O$5:$O$993,"Cambio",'[1]UY$'!$E$5:$E$993,'Efecto TC'!D923),""))</f>
        <v/>
      </c>
      <c r="G923" s="23" t="str">
        <f t="shared" si="106"/>
        <v/>
      </c>
      <c r="H923" s="22" t="str">
        <f t="shared" si="107"/>
        <v/>
      </c>
      <c r="I923" s="54" t="str">
        <f t="shared" si="111"/>
        <v/>
      </c>
      <c r="R923" s="24" t="e">
        <f t="shared" si="108"/>
        <v>#VALUE!</v>
      </c>
      <c r="S923" s="25" t="e">
        <f t="shared" ref="S923:S986" si="112">R923*G917</f>
        <v>#VALUE!</v>
      </c>
    </row>
    <row r="924" spans="1:19" x14ac:dyDescent="0.25">
      <c r="A924" t="e">
        <f t="shared" si="109"/>
        <v>#VALUE!</v>
      </c>
      <c r="B924" t="e">
        <f t="shared" si="110"/>
        <v>#VALUE!</v>
      </c>
      <c r="D924" s="21" t="str" cm="1">
        <f t="array" ref="D924">IF(ROWS($D$7:D924)&gt;COUNTIF('[1]U$S'!$H$5:$H$1008,$L$5),"",INDEX(CuentaUS,_xlfn.AGGREGATE(15,6,ROW('[1]U$S'!$H$5:$H$1008)-ROW('[1]U$S'!$O$5)+1/--('[1]U$S'!$H$5:$H$1008=$L$5),ROWS($D$7:D924)),1))</f>
        <v/>
      </c>
      <c r="E924" s="22" t="str" cm="1">
        <f t="array" ref="E924">IF(ROWS($E$7:E924)&gt;COUNTIF('[1]U$S'!$H$5:$H$1008,$L$5),"",INDEX(CuentaUS,_xlfn.AGGREGATE(15,6,ROW('[1]U$S'!$H$5:$H$1008)-ROW('[1]U$S'!$O$5)+1/--('[1]U$S'!$H$5:$H$1008=$L$5),ROWS($E$7:E924)),6))</f>
        <v/>
      </c>
      <c r="F924" s="22" t="str">
        <f>IF(E924="","",IF(E924&gt;0,SUMIFS('[1]UY$'!$L$5:$L$993,'[1]UY$'!$O$5:$O$993,"Cambio",'[1]UY$'!$E$5:$E$993,'Efecto TC'!D924),""))</f>
        <v/>
      </c>
      <c r="G924" s="23" t="str">
        <f t="shared" si="106"/>
        <v/>
      </c>
      <c r="H924" s="22" t="str">
        <f t="shared" si="107"/>
        <v/>
      </c>
      <c r="I924" s="54" t="str">
        <f t="shared" si="111"/>
        <v/>
      </c>
      <c r="R924" s="24" t="e">
        <f t="shared" si="108"/>
        <v>#VALUE!</v>
      </c>
      <c r="S924" s="25" t="e">
        <f t="shared" si="112"/>
        <v>#VALUE!</v>
      </c>
    </row>
    <row r="925" spans="1:19" x14ac:dyDescent="0.25">
      <c r="A925" t="e">
        <f t="shared" si="109"/>
        <v>#VALUE!</v>
      </c>
      <c r="B925" t="e">
        <f t="shared" si="110"/>
        <v>#VALUE!</v>
      </c>
      <c r="D925" s="21" t="str" cm="1">
        <f t="array" ref="D925">IF(ROWS($D$7:D925)&gt;COUNTIF('[1]U$S'!$H$5:$H$1008,$L$5),"",INDEX(CuentaUS,_xlfn.AGGREGATE(15,6,ROW('[1]U$S'!$H$5:$H$1008)-ROW('[1]U$S'!$O$5)+1/--('[1]U$S'!$H$5:$H$1008=$L$5),ROWS($D$7:D925)),1))</f>
        <v/>
      </c>
      <c r="E925" s="22" t="str" cm="1">
        <f t="array" ref="E925">IF(ROWS($E$7:E925)&gt;COUNTIF('[1]U$S'!$H$5:$H$1008,$L$5),"",INDEX(CuentaUS,_xlfn.AGGREGATE(15,6,ROW('[1]U$S'!$H$5:$H$1008)-ROW('[1]U$S'!$O$5)+1/--('[1]U$S'!$H$5:$H$1008=$L$5),ROWS($E$7:E925)),6))</f>
        <v/>
      </c>
      <c r="F925" s="22" t="str">
        <f>IF(E925="","",IF(E925&gt;0,SUMIFS('[1]UY$'!$L$5:$L$993,'[1]UY$'!$O$5:$O$993,"Cambio",'[1]UY$'!$E$5:$E$993,'Efecto TC'!D925),""))</f>
        <v/>
      </c>
      <c r="G925" s="23" t="str">
        <f t="shared" si="106"/>
        <v/>
      </c>
      <c r="H925" s="22" t="str">
        <f t="shared" si="107"/>
        <v/>
      </c>
      <c r="I925" s="54" t="str">
        <f t="shared" si="111"/>
        <v/>
      </c>
      <c r="R925" s="24" t="e">
        <f t="shared" si="108"/>
        <v>#VALUE!</v>
      </c>
      <c r="S925" s="25" t="e">
        <f t="shared" si="112"/>
        <v>#VALUE!</v>
      </c>
    </row>
    <row r="926" spans="1:19" x14ac:dyDescent="0.25">
      <c r="A926" t="e">
        <f t="shared" si="109"/>
        <v>#VALUE!</v>
      </c>
      <c r="B926" t="e">
        <f t="shared" si="110"/>
        <v>#VALUE!</v>
      </c>
      <c r="D926" s="21" t="str" cm="1">
        <f t="array" ref="D926">IF(ROWS($D$7:D926)&gt;COUNTIF('[1]U$S'!$H$5:$H$1008,$L$5),"",INDEX(CuentaUS,_xlfn.AGGREGATE(15,6,ROW('[1]U$S'!$H$5:$H$1008)-ROW('[1]U$S'!$O$5)+1/--('[1]U$S'!$H$5:$H$1008=$L$5),ROWS($D$7:D926)),1))</f>
        <v/>
      </c>
      <c r="E926" s="22" t="str" cm="1">
        <f t="array" ref="E926">IF(ROWS($E$7:E926)&gt;COUNTIF('[1]U$S'!$H$5:$H$1008,$L$5),"",INDEX(CuentaUS,_xlfn.AGGREGATE(15,6,ROW('[1]U$S'!$H$5:$H$1008)-ROW('[1]U$S'!$O$5)+1/--('[1]U$S'!$H$5:$H$1008=$L$5),ROWS($E$7:E926)),6))</f>
        <v/>
      </c>
      <c r="F926" s="22" t="str">
        <f>IF(E926="","",IF(E926&gt;0,SUMIFS('[1]UY$'!$L$5:$L$993,'[1]UY$'!$O$5:$O$993,"Cambio",'[1]UY$'!$E$5:$E$993,'Efecto TC'!D926),""))</f>
        <v/>
      </c>
      <c r="G926" s="23" t="str">
        <f t="shared" si="106"/>
        <v/>
      </c>
      <c r="H926" s="22" t="str">
        <f t="shared" si="107"/>
        <v/>
      </c>
      <c r="I926" s="54" t="str">
        <f t="shared" si="111"/>
        <v/>
      </c>
      <c r="R926" s="24" t="e">
        <f t="shared" si="108"/>
        <v>#VALUE!</v>
      </c>
      <c r="S926" s="25" t="e">
        <f t="shared" si="112"/>
        <v>#VALUE!</v>
      </c>
    </row>
    <row r="927" spans="1:19" x14ac:dyDescent="0.25">
      <c r="A927" t="e">
        <f t="shared" si="109"/>
        <v>#VALUE!</v>
      </c>
      <c r="B927" t="e">
        <f t="shared" si="110"/>
        <v>#VALUE!</v>
      </c>
      <c r="D927" s="21" t="str" cm="1">
        <f t="array" ref="D927">IF(ROWS($D$7:D927)&gt;COUNTIF('[1]U$S'!$H$5:$H$1008,$L$5),"",INDEX(CuentaUS,_xlfn.AGGREGATE(15,6,ROW('[1]U$S'!$H$5:$H$1008)-ROW('[1]U$S'!$O$5)+1/--('[1]U$S'!$H$5:$H$1008=$L$5),ROWS($D$7:D927)),1))</f>
        <v/>
      </c>
      <c r="E927" s="22" t="str" cm="1">
        <f t="array" ref="E927">IF(ROWS($E$7:E927)&gt;COUNTIF('[1]U$S'!$H$5:$H$1008,$L$5),"",INDEX(CuentaUS,_xlfn.AGGREGATE(15,6,ROW('[1]U$S'!$H$5:$H$1008)-ROW('[1]U$S'!$O$5)+1/--('[1]U$S'!$H$5:$H$1008=$L$5),ROWS($E$7:E927)),6))</f>
        <v/>
      </c>
      <c r="F927" s="22" t="str">
        <f>IF(E927="","",IF(E927&gt;0,SUMIFS('[1]UY$'!$L$5:$L$993,'[1]UY$'!$O$5:$O$993,"Cambio",'[1]UY$'!$E$5:$E$993,'Efecto TC'!D927),""))</f>
        <v/>
      </c>
      <c r="G927" s="23" t="str">
        <f t="shared" si="106"/>
        <v/>
      </c>
      <c r="H927" s="22" t="str">
        <f t="shared" si="107"/>
        <v/>
      </c>
      <c r="I927" s="54" t="str">
        <f t="shared" si="111"/>
        <v/>
      </c>
      <c r="R927" s="24" t="e">
        <f t="shared" si="108"/>
        <v>#VALUE!</v>
      </c>
      <c r="S927" s="25" t="e">
        <f t="shared" si="112"/>
        <v>#VALUE!</v>
      </c>
    </row>
    <row r="928" spans="1:19" x14ac:dyDescent="0.25">
      <c r="A928" t="e">
        <f t="shared" si="109"/>
        <v>#VALUE!</v>
      </c>
      <c r="B928" t="e">
        <f t="shared" si="110"/>
        <v>#VALUE!</v>
      </c>
      <c r="D928" s="21" t="str" cm="1">
        <f t="array" ref="D928">IF(ROWS($D$7:D928)&gt;COUNTIF('[1]U$S'!$H$5:$H$1008,$L$5),"",INDEX(CuentaUS,_xlfn.AGGREGATE(15,6,ROW('[1]U$S'!$H$5:$H$1008)-ROW('[1]U$S'!$O$5)+1/--('[1]U$S'!$H$5:$H$1008=$L$5),ROWS($D$7:D928)),1))</f>
        <v/>
      </c>
      <c r="E928" s="22" t="str" cm="1">
        <f t="array" ref="E928">IF(ROWS($E$7:E928)&gt;COUNTIF('[1]U$S'!$H$5:$H$1008,$L$5),"",INDEX(CuentaUS,_xlfn.AGGREGATE(15,6,ROW('[1]U$S'!$H$5:$H$1008)-ROW('[1]U$S'!$O$5)+1/--('[1]U$S'!$H$5:$H$1008=$L$5),ROWS($E$7:E928)),6))</f>
        <v/>
      </c>
      <c r="F928" s="22" t="str">
        <f>IF(E928="","",IF(E928&gt;0,SUMIFS('[1]UY$'!$L$5:$L$993,'[1]UY$'!$O$5:$O$993,"Cambio",'[1]UY$'!$E$5:$E$993,'Efecto TC'!D928),""))</f>
        <v/>
      </c>
      <c r="G928" s="23" t="str">
        <f t="shared" si="106"/>
        <v/>
      </c>
      <c r="H928" s="22" t="str">
        <f t="shared" si="107"/>
        <v/>
      </c>
      <c r="I928" s="54" t="str">
        <f t="shared" si="111"/>
        <v/>
      </c>
      <c r="R928" s="24" t="e">
        <f t="shared" si="108"/>
        <v>#VALUE!</v>
      </c>
      <c r="S928" s="25" t="e">
        <f t="shared" si="112"/>
        <v>#VALUE!</v>
      </c>
    </row>
    <row r="929" spans="1:19" x14ac:dyDescent="0.25">
      <c r="A929" t="e">
        <f t="shared" si="109"/>
        <v>#VALUE!</v>
      </c>
      <c r="B929" t="e">
        <f t="shared" si="110"/>
        <v>#VALUE!</v>
      </c>
      <c r="D929" s="21" t="str" cm="1">
        <f t="array" ref="D929">IF(ROWS($D$7:D929)&gt;COUNTIF('[1]U$S'!$H$5:$H$1008,$L$5),"",INDEX(CuentaUS,_xlfn.AGGREGATE(15,6,ROW('[1]U$S'!$H$5:$H$1008)-ROW('[1]U$S'!$O$5)+1/--('[1]U$S'!$H$5:$H$1008=$L$5),ROWS($D$7:D929)),1))</f>
        <v/>
      </c>
      <c r="E929" s="22" t="str" cm="1">
        <f t="array" ref="E929">IF(ROWS($E$7:E929)&gt;COUNTIF('[1]U$S'!$H$5:$H$1008,$L$5),"",INDEX(CuentaUS,_xlfn.AGGREGATE(15,6,ROW('[1]U$S'!$H$5:$H$1008)-ROW('[1]U$S'!$O$5)+1/--('[1]U$S'!$H$5:$H$1008=$L$5),ROWS($E$7:E929)),6))</f>
        <v/>
      </c>
      <c r="F929" s="22" t="str">
        <f>IF(E929="","",IF(E929&gt;0,SUMIFS('[1]UY$'!$L$5:$L$993,'[1]UY$'!$O$5:$O$993,"Cambio",'[1]UY$'!$E$5:$E$993,'Efecto TC'!D929),""))</f>
        <v/>
      </c>
      <c r="G929" s="23" t="str">
        <f t="shared" si="106"/>
        <v/>
      </c>
      <c r="H929" s="22" t="str">
        <f t="shared" si="107"/>
        <v/>
      </c>
      <c r="I929" s="54" t="str">
        <f t="shared" si="111"/>
        <v/>
      </c>
      <c r="R929" s="24" t="e">
        <f t="shared" si="108"/>
        <v>#VALUE!</v>
      </c>
      <c r="S929" s="25" t="e">
        <f t="shared" si="112"/>
        <v>#VALUE!</v>
      </c>
    </row>
    <row r="930" spans="1:19" x14ac:dyDescent="0.25">
      <c r="A930" t="e">
        <f t="shared" si="109"/>
        <v>#VALUE!</v>
      </c>
      <c r="B930" t="e">
        <f t="shared" si="110"/>
        <v>#VALUE!</v>
      </c>
      <c r="D930" s="21" t="str" cm="1">
        <f t="array" ref="D930">IF(ROWS($D$7:D930)&gt;COUNTIF('[1]U$S'!$H$5:$H$1008,$L$5),"",INDEX(CuentaUS,_xlfn.AGGREGATE(15,6,ROW('[1]U$S'!$H$5:$H$1008)-ROW('[1]U$S'!$O$5)+1/--('[1]U$S'!$H$5:$H$1008=$L$5),ROWS($D$7:D930)),1))</f>
        <v/>
      </c>
      <c r="E930" s="22" t="str" cm="1">
        <f t="array" ref="E930">IF(ROWS($E$7:E930)&gt;COUNTIF('[1]U$S'!$H$5:$H$1008,$L$5),"",INDEX(CuentaUS,_xlfn.AGGREGATE(15,6,ROW('[1]U$S'!$H$5:$H$1008)-ROW('[1]U$S'!$O$5)+1/--('[1]U$S'!$H$5:$H$1008=$L$5),ROWS($E$7:E930)),6))</f>
        <v/>
      </c>
      <c r="F930" s="22" t="str">
        <f>IF(E930="","",IF(E930&gt;0,SUMIFS('[1]UY$'!$L$5:$L$993,'[1]UY$'!$O$5:$O$993,"Cambio",'[1]UY$'!$E$5:$E$993,'Efecto TC'!D930),""))</f>
        <v/>
      </c>
      <c r="G930" s="23" t="str">
        <f t="shared" ref="G930:G993" si="113">IF(F930="","",F930/E930)</f>
        <v/>
      </c>
      <c r="H930" s="22" t="str">
        <f t="shared" ref="H930:H993" si="114">IF(E930="","",F930/$F$2-F930/G930)</f>
        <v/>
      </c>
      <c r="I930" s="54" t="str">
        <f t="shared" si="111"/>
        <v/>
      </c>
      <c r="R930" s="24" t="e">
        <f t="shared" ref="R930:R993" si="115">E930/$E$1001</f>
        <v>#VALUE!</v>
      </c>
      <c r="S930" s="25" t="e">
        <f t="shared" si="112"/>
        <v>#VALUE!</v>
      </c>
    </row>
    <row r="931" spans="1:19" x14ac:dyDescent="0.25">
      <c r="A931" t="e">
        <f t="shared" si="109"/>
        <v>#VALUE!</v>
      </c>
      <c r="B931" t="e">
        <f t="shared" si="110"/>
        <v>#VALUE!</v>
      </c>
      <c r="D931" s="21" t="str" cm="1">
        <f t="array" ref="D931">IF(ROWS($D$7:D931)&gt;COUNTIF('[1]U$S'!$H$5:$H$1008,$L$5),"",INDEX(CuentaUS,_xlfn.AGGREGATE(15,6,ROW('[1]U$S'!$H$5:$H$1008)-ROW('[1]U$S'!$O$5)+1/--('[1]U$S'!$H$5:$H$1008=$L$5),ROWS($D$7:D931)),1))</f>
        <v/>
      </c>
      <c r="E931" s="22" t="str" cm="1">
        <f t="array" ref="E931">IF(ROWS($E$7:E931)&gt;COUNTIF('[1]U$S'!$H$5:$H$1008,$L$5),"",INDEX(CuentaUS,_xlfn.AGGREGATE(15,6,ROW('[1]U$S'!$H$5:$H$1008)-ROW('[1]U$S'!$O$5)+1/--('[1]U$S'!$H$5:$H$1008=$L$5),ROWS($E$7:E931)),6))</f>
        <v/>
      </c>
      <c r="F931" s="22" t="str">
        <f>IF(E931="","",IF(E931&gt;0,SUMIFS('[1]UY$'!$L$5:$L$993,'[1]UY$'!$O$5:$O$993,"Cambio",'[1]UY$'!$E$5:$E$993,'Efecto TC'!D931),""))</f>
        <v/>
      </c>
      <c r="G931" s="23" t="str">
        <f t="shared" si="113"/>
        <v/>
      </c>
      <c r="H931" s="22" t="str">
        <f t="shared" si="114"/>
        <v/>
      </c>
      <c r="I931" s="54" t="str">
        <f t="shared" si="111"/>
        <v/>
      </c>
      <c r="R931" s="24" t="e">
        <f t="shared" si="115"/>
        <v>#VALUE!</v>
      </c>
      <c r="S931" s="25" t="e">
        <f t="shared" si="112"/>
        <v>#VALUE!</v>
      </c>
    </row>
    <row r="932" spans="1:19" x14ac:dyDescent="0.25">
      <c r="A932" t="e">
        <f t="shared" si="109"/>
        <v>#VALUE!</v>
      </c>
      <c r="B932" t="e">
        <f t="shared" si="110"/>
        <v>#VALUE!</v>
      </c>
      <c r="D932" s="21" t="str" cm="1">
        <f t="array" ref="D932">IF(ROWS($D$7:D932)&gt;COUNTIF('[1]U$S'!$H$5:$H$1008,$L$5),"",INDEX(CuentaUS,_xlfn.AGGREGATE(15,6,ROW('[1]U$S'!$H$5:$H$1008)-ROW('[1]U$S'!$O$5)+1/--('[1]U$S'!$H$5:$H$1008=$L$5),ROWS($D$7:D932)),1))</f>
        <v/>
      </c>
      <c r="E932" s="22" t="str" cm="1">
        <f t="array" ref="E932">IF(ROWS($E$7:E932)&gt;COUNTIF('[1]U$S'!$H$5:$H$1008,$L$5),"",INDEX(CuentaUS,_xlfn.AGGREGATE(15,6,ROW('[1]U$S'!$H$5:$H$1008)-ROW('[1]U$S'!$O$5)+1/--('[1]U$S'!$H$5:$H$1008=$L$5),ROWS($E$7:E932)),6))</f>
        <v/>
      </c>
      <c r="F932" s="22" t="str">
        <f>IF(E932="","",IF(E932&gt;0,SUMIFS('[1]UY$'!$L$5:$L$993,'[1]UY$'!$O$5:$O$993,"Cambio",'[1]UY$'!$E$5:$E$993,'Efecto TC'!D932),""))</f>
        <v/>
      </c>
      <c r="G932" s="23" t="str">
        <f t="shared" si="113"/>
        <v/>
      </c>
      <c r="H932" s="22" t="str">
        <f t="shared" si="114"/>
        <v/>
      </c>
      <c r="I932" s="54" t="str">
        <f t="shared" si="111"/>
        <v/>
      </c>
      <c r="R932" s="24" t="e">
        <f t="shared" si="115"/>
        <v>#VALUE!</v>
      </c>
      <c r="S932" s="25" t="e">
        <f t="shared" si="112"/>
        <v>#VALUE!</v>
      </c>
    </row>
    <row r="933" spans="1:19" x14ac:dyDescent="0.25">
      <c r="A933" t="e">
        <f t="shared" si="109"/>
        <v>#VALUE!</v>
      </c>
      <c r="B933" t="e">
        <f t="shared" si="110"/>
        <v>#VALUE!</v>
      </c>
      <c r="D933" s="21" t="str" cm="1">
        <f t="array" ref="D933">IF(ROWS($D$7:D933)&gt;COUNTIF('[1]U$S'!$H$5:$H$1008,$L$5),"",INDEX(CuentaUS,_xlfn.AGGREGATE(15,6,ROW('[1]U$S'!$H$5:$H$1008)-ROW('[1]U$S'!$O$5)+1/--('[1]U$S'!$H$5:$H$1008=$L$5),ROWS($D$7:D933)),1))</f>
        <v/>
      </c>
      <c r="E933" s="22" t="str" cm="1">
        <f t="array" ref="E933">IF(ROWS($E$7:E933)&gt;COUNTIF('[1]U$S'!$H$5:$H$1008,$L$5),"",INDEX(CuentaUS,_xlfn.AGGREGATE(15,6,ROW('[1]U$S'!$H$5:$H$1008)-ROW('[1]U$S'!$O$5)+1/--('[1]U$S'!$H$5:$H$1008=$L$5),ROWS($E$7:E933)),6))</f>
        <v/>
      </c>
      <c r="F933" s="22" t="str">
        <f>IF(E933="","",IF(E933&gt;0,SUMIFS('[1]UY$'!$L$5:$L$993,'[1]UY$'!$O$5:$O$993,"Cambio",'[1]UY$'!$E$5:$E$993,'Efecto TC'!D933),""))</f>
        <v/>
      </c>
      <c r="G933" s="23" t="str">
        <f t="shared" si="113"/>
        <v/>
      </c>
      <c r="H933" s="22" t="str">
        <f t="shared" si="114"/>
        <v/>
      </c>
      <c r="I933" s="54" t="str">
        <f t="shared" si="111"/>
        <v/>
      </c>
      <c r="R933" s="24" t="e">
        <f t="shared" si="115"/>
        <v>#VALUE!</v>
      </c>
      <c r="S933" s="25" t="e">
        <f t="shared" si="112"/>
        <v>#VALUE!</v>
      </c>
    </row>
    <row r="934" spans="1:19" x14ac:dyDescent="0.25">
      <c r="A934" t="e">
        <f t="shared" si="109"/>
        <v>#VALUE!</v>
      </c>
      <c r="B934" t="e">
        <f t="shared" si="110"/>
        <v>#VALUE!</v>
      </c>
      <c r="D934" s="21" t="str" cm="1">
        <f t="array" ref="D934">IF(ROWS($D$7:D934)&gt;COUNTIF('[1]U$S'!$H$5:$H$1008,$L$5),"",INDEX(CuentaUS,_xlfn.AGGREGATE(15,6,ROW('[1]U$S'!$H$5:$H$1008)-ROW('[1]U$S'!$O$5)+1/--('[1]U$S'!$H$5:$H$1008=$L$5),ROWS($D$7:D934)),1))</f>
        <v/>
      </c>
      <c r="E934" s="22" t="str" cm="1">
        <f t="array" ref="E934">IF(ROWS($E$7:E934)&gt;COUNTIF('[1]U$S'!$H$5:$H$1008,$L$5),"",INDEX(CuentaUS,_xlfn.AGGREGATE(15,6,ROW('[1]U$S'!$H$5:$H$1008)-ROW('[1]U$S'!$O$5)+1/--('[1]U$S'!$H$5:$H$1008=$L$5),ROWS($E$7:E934)),6))</f>
        <v/>
      </c>
      <c r="F934" s="22" t="str">
        <f>IF(E934="","",IF(E934&gt;0,SUMIFS('[1]UY$'!$L$5:$L$993,'[1]UY$'!$O$5:$O$993,"Cambio",'[1]UY$'!$E$5:$E$993,'Efecto TC'!D934),""))</f>
        <v/>
      </c>
      <c r="G934" s="23" t="str">
        <f t="shared" si="113"/>
        <v/>
      </c>
      <c r="H934" s="22" t="str">
        <f t="shared" si="114"/>
        <v/>
      </c>
      <c r="I934" s="54" t="str">
        <f t="shared" si="111"/>
        <v/>
      </c>
      <c r="R934" s="24" t="e">
        <f t="shared" si="115"/>
        <v>#VALUE!</v>
      </c>
      <c r="S934" s="25" t="e">
        <f t="shared" si="112"/>
        <v>#VALUE!</v>
      </c>
    </row>
    <row r="935" spans="1:19" x14ac:dyDescent="0.25">
      <c r="A935" t="e">
        <f t="shared" si="109"/>
        <v>#VALUE!</v>
      </c>
      <c r="B935" t="e">
        <f t="shared" si="110"/>
        <v>#VALUE!</v>
      </c>
      <c r="D935" s="21" t="str" cm="1">
        <f t="array" ref="D935">IF(ROWS($D$7:D935)&gt;COUNTIF('[1]U$S'!$H$5:$H$1008,$L$5),"",INDEX(CuentaUS,_xlfn.AGGREGATE(15,6,ROW('[1]U$S'!$H$5:$H$1008)-ROW('[1]U$S'!$O$5)+1/--('[1]U$S'!$H$5:$H$1008=$L$5),ROWS($D$7:D935)),1))</f>
        <v/>
      </c>
      <c r="E935" s="22" t="str" cm="1">
        <f t="array" ref="E935">IF(ROWS($E$7:E935)&gt;COUNTIF('[1]U$S'!$H$5:$H$1008,$L$5),"",INDEX(CuentaUS,_xlfn.AGGREGATE(15,6,ROW('[1]U$S'!$H$5:$H$1008)-ROW('[1]U$S'!$O$5)+1/--('[1]U$S'!$H$5:$H$1008=$L$5),ROWS($E$7:E935)),6))</f>
        <v/>
      </c>
      <c r="F935" s="22" t="str">
        <f>IF(E935="","",IF(E935&gt;0,SUMIFS('[1]UY$'!$L$5:$L$993,'[1]UY$'!$O$5:$O$993,"Cambio",'[1]UY$'!$E$5:$E$993,'Efecto TC'!D935),""))</f>
        <v/>
      </c>
      <c r="G935" s="23" t="str">
        <f t="shared" si="113"/>
        <v/>
      </c>
      <c r="H935" s="22" t="str">
        <f t="shared" si="114"/>
        <v/>
      </c>
      <c r="I935" s="54" t="str">
        <f t="shared" si="111"/>
        <v/>
      </c>
      <c r="R935" s="24" t="e">
        <f t="shared" si="115"/>
        <v>#VALUE!</v>
      </c>
      <c r="S935" s="25" t="e">
        <f t="shared" si="112"/>
        <v>#VALUE!</v>
      </c>
    </row>
    <row r="936" spans="1:19" x14ac:dyDescent="0.25">
      <c r="A936" t="e">
        <f t="shared" si="109"/>
        <v>#VALUE!</v>
      </c>
      <c r="B936" t="e">
        <f t="shared" si="110"/>
        <v>#VALUE!</v>
      </c>
      <c r="D936" s="21" t="str" cm="1">
        <f t="array" ref="D936">IF(ROWS($D$7:D936)&gt;COUNTIF('[1]U$S'!$H$5:$H$1008,$L$5),"",INDEX(CuentaUS,_xlfn.AGGREGATE(15,6,ROW('[1]U$S'!$H$5:$H$1008)-ROW('[1]U$S'!$O$5)+1/--('[1]U$S'!$H$5:$H$1008=$L$5),ROWS($D$7:D936)),1))</f>
        <v/>
      </c>
      <c r="E936" s="22" t="str" cm="1">
        <f t="array" ref="E936">IF(ROWS($E$7:E936)&gt;COUNTIF('[1]U$S'!$H$5:$H$1008,$L$5),"",INDEX(CuentaUS,_xlfn.AGGREGATE(15,6,ROW('[1]U$S'!$H$5:$H$1008)-ROW('[1]U$S'!$O$5)+1/--('[1]U$S'!$H$5:$H$1008=$L$5),ROWS($E$7:E936)),6))</f>
        <v/>
      </c>
      <c r="F936" s="22" t="str">
        <f>IF(E936="","",IF(E936&gt;0,SUMIFS('[1]UY$'!$L$5:$L$993,'[1]UY$'!$O$5:$O$993,"Cambio",'[1]UY$'!$E$5:$E$993,'Efecto TC'!D936),""))</f>
        <v/>
      </c>
      <c r="G936" s="23" t="str">
        <f t="shared" si="113"/>
        <v/>
      </c>
      <c r="H936" s="22" t="str">
        <f t="shared" si="114"/>
        <v/>
      </c>
      <c r="I936" s="54" t="str">
        <f t="shared" si="111"/>
        <v/>
      </c>
      <c r="R936" s="24" t="e">
        <f t="shared" si="115"/>
        <v>#VALUE!</v>
      </c>
      <c r="S936" s="25" t="e">
        <f t="shared" si="112"/>
        <v>#VALUE!</v>
      </c>
    </row>
    <row r="937" spans="1:19" x14ac:dyDescent="0.25">
      <c r="A937" t="e">
        <f t="shared" si="109"/>
        <v>#VALUE!</v>
      </c>
      <c r="B937" t="e">
        <f t="shared" si="110"/>
        <v>#VALUE!</v>
      </c>
      <c r="D937" s="21" t="str" cm="1">
        <f t="array" ref="D937">IF(ROWS($D$7:D937)&gt;COUNTIF('[1]U$S'!$H$5:$H$1008,$L$5),"",INDEX(CuentaUS,_xlfn.AGGREGATE(15,6,ROW('[1]U$S'!$H$5:$H$1008)-ROW('[1]U$S'!$O$5)+1/--('[1]U$S'!$H$5:$H$1008=$L$5),ROWS($D$7:D937)),1))</f>
        <v/>
      </c>
      <c r="E937" s="22" t="str" cm="1">
        <f t="array" ref="E937">IF(ROWS($E$7:E937)&gt;COUNTIF('[1]U$S'!$H$5:$H$1008,$L$5),"",INDEX(CuentaUS,_xlfn.AGGREGATE(15,6,ROW('[1]U$S'!$H$5:$H$1008)-ROW('[1]U$S'!$O$5)+1/--('[1]U$S'!$H$5:$H$1008=$L$5),ROWS($E$7:E937)),6))</f>
        <v/>
      </c>
      <c r="F937" s="22" t="str">
        <f>IF(E937="","",IF(E937&gt;0,SUMIFS('[1]UY$'!$L$5:$L$993,'[1]UY$'!$O$5:$O$993,"Cambio",'[1]UY$'!$E$5:$E$993,'Efecto TC'!D937),""))</f>
        <v/>
      </c>
      <c r="G937" s="23" t="str">
        <f t="shared" si="113"/>
        <v/>
      </c>
      <c r="H937" s="22" t="str">
        <f t="shared" si="114"/>
        <v/>
      </c>
      <c r="I937" s="54" t="str">
        <f t="shared" si="111"/>
        <v/>
      </c>
      <c r="R937" s="24" t="e">
        <f t="shared" si="115"/>
        <v>#VALUE!</v>
      </c>
      <c r="S937" s="25" t="e">
        <f t="shared" si="112"/>
        <v>#VALUE!</v>
      </c>
    </row>
    <row r="938" spans="1:19" x14ac:dyDescent="0.25">
      <c r="A938" t="e">
        <f t="shared" si="109"/>
        <v>#VALUE!</v>
      </c>
      <c r="B938" t="e">
        <f t="shared" si="110"/>
        <v>#VALUE!</v>
      </c>
      <c r="D938" s="21" t="str" cm="1">
        <f t="array" ref="D938">IF(ROWS($D$7:D938)&gt;COUNTIF('[1]U$S'!$H$5:$H$1008,$L$5),"",INDEX(CuentaUS,_xlfn.AGGREGATE(15,6,ROW('[1]U$S'!$H$5:$H$1008)-ROW('[1]U$S'!$O$5)+1/--('[1]U$S'!$H$5:$H$1008=$L$5),ROWS($D$7:D938)),1))</f>
        <v/>
      </c>
      <c r="E938" s="22" t="str" cm="1">
        <f t="array" ref="E938">IF(ROWS($E$7:E938)&gt;COUNTIF('[1]U$S'!$H$5:$H$1008,$L$5),"",INDEX(CuentaUS,_xlfn.AGGREGATE(15,6,ROW('[1]U$S'!$H$5:$H$1008)-ROW('[1]U$S'!$O$5)+1/--('[1]U$S'!$H$5:$H$1008=$L$5),ROWS($E$7:E938)),6))</f>
        <v/>
      </c>
      <c r="F938" s="22" t="str">
        <f>IF(E938="","",IF(E938&gt;0,SUMIFS('[1]UY$'!$L$5:$L$993,'[1]UY$'!$O$5:$O$993,"Cambio",'[1]UY$'!$E$5:$E$993,'Efecto TC'!D938),""))</f>
        <v/>
      </c>
      <c r="G938" s="23" t="str">
        <f t="shared" si="113"/>
        <v/>
      </c>
      <c r="H938" s="22" t="str">
        <f t="shared" si="114"/>
        <v/>
      </c>
      <c r="I938" s="54" t="str">
        <f t="shared" si="111"/>
        <v/>
      </c>
      <c r="R938" s="24" t="e">
        <f t="shared" si="115"/>
        <v>#VALUE!</v>
      </c>
      <c r="S938" s="25" t="e">
        <f t="shared" si="112"/>
        <v>#VALUE!</v>
      </c>
    </row>
    <row r="939" spans="1:19" x14ac:dyDescent="0.25">
      <c r="A939" t="e">
        <f t="shared" si="109"/>
        <v>#VALUE!</v>
      </c>
      <c r="B939" t="e">
        <f t="shared" si="110"/>
        <v>#VALUE!</v>
      </c>
      <c r="D939" s="21" t="str" cm="1">
        <f t="array" ref="D939">IF(ROWS($D$7:D939)&gt;COUNTIF('[1]U$S'!$H$5:$H$1008,$L$5),"",INDEX(CuentaUS,_xlfn.AGGREGATE(15,6,ROW('[1]U$S'!$H$5:$H$1008)-ROW('[1]U$S'!$O$5)+1/--('[1]U$S'!$H$5:$H$1008=$L$5),ROWS($D$7:D939)),1))</f>
        <v/>
      </c>
      <c r="E939" s="22" t="str" cm="1">
        <f t="array" ref="E939">IF(ROWS($E$7:E939)&gt;COUNTIF('[1]U$S'!$H$5:$H$1008,$L$5),"",INDEX(CuentaUS,_xlfn.AGGREGATE(15,6,ROW('[1]U$S'!$H$5:$H$1008)-ROW('[1]U$S'!$O$5)+1/--('[1]U$S'!$H$5:$H$1008=$L$5),ROWS($E$7:E939)),6))</f>
        <v/>
      </c>
      <c r="F939" s="22" t="str">
        <f>IF(E939="","",IF(E939&gt;0,SUMIFS('[1]UY$'!$L$5:$L$993,'[1]UY$'!$O$5:$O$993,"Cambio",'[1]UY$'!$E$5:$E$993,'Efecto TC'!D939),""))</f>
        <v/>
      </c>
      <c r="G939" s="23" t="str">
        <f t="shared" si="113"/>
        <v/>
      </c>
      <c r="H939" s="22" t="str">
        <f t="shared" si="114"/>
        <v/>
      </c>
      <c r="I939" s="54" t="str">
        <f t="shared" si="111"/>
        <v/>
      </c>
      <c r="R939" s="24" t="e">
        <f t="shared" si="115"/>
        <v>#VALUE!</v>
      </c>
      <c r="S939" s="25" t="e">
        <f t="shared" si="112"/>
        <v>#VALUE!</v>
      </c>
    </row>
    <row r="940" spans="1:19" x14ac:dyDescent="0.25">
      <c r="A940" t="e">
        <f t="shared" si="109"/>
        <v>#VALUE!</v>
      </c>
      <c r="B940" t="e">
        <f t="shared" si="110"/>
        <v>#VALUE!</v>
      </c>
      <c r="D940" s="21" t="str" cm="1">
        <f t="array" ref="D940">IF(ROWS($D$7:D940)&gt;COUNTIF('[1]U$S'!$H$5:$H$1008,$L$5),"",INDEX(CuentaUS,_xlfn.AGGREGATE(15,6,ROW('[1]U$S'!$H$5:$H$1008)-ROW('[1]U$S'!$O$5)+1/--('[1]U$S'!$H$5:$H$1008=$L$5),ROWS($D$7:D940)),1))</f>
        <v/>
      </c>
      <c r="E940" s="22" t="str" cm="1">
        <f t="array" ref="E940">IF(ROWS($E$7:E940)&gt;COUNTIF('[1]U$S'!$H$5:$H$1008,$L$5),"",INDEX(CuentaUS,_xlfn.AGGREGATE(15,6,ROW('[1]U$S'!$H$5:$H$1008)-ROW('[1]U$S'!$O$5)+1/--('[1]U$S'!$H$5:$H$1008=$L$5),ROWS($E$7:E940)),6))</f>
        <v/>
      </c>
      <c r="F940" s="22" t="str">
        <f>IF(E940="","",IF(E940&gt;0,SUMIFS('[1]UY$'!$L$5:$L$993,'[1]UY$'!$O$5:$O$993,"Cambio",'[1]UY$'!$E$5:$E$993,'Efecto TC'!D940),""))</f>
        <v/>
      </c>
      <c r="G940" s="23" t="str">
        <f t="shared" si="113"/>
        <v/>
      </c>
      <c r="H940" s="22" t="str">
        <f t="shared" si="114"/>
        <v/>
      </c>
      <c r="I940" s="54" t="str">
        <f t="shared" si="111"/>
        <v/>
      </c>
      <c r="R940" s="24" t="e">
        <f t="shared" si="115"/>
        <v>#VALUE!</v>
      </c>
      <c r="S940" s="25" t="e">
        <f t="shared" si="112"/>
        <v>#VALUE!</v>
      </c>
    </row>
    <row r="941" spans="1:19" x14ac:dyDescent="0.25">
      <c r="A941" t="e">
        <f t="shared" si="109"/>
        <v>#VALUE!</v>
      </c>
      <c r="B941" t="e">
        <f t="shared" si="110"/>
        <v>#VALUE!</v>
      </c>
      <c r="D941" s="21" t="str" cm="1">
        <f t="array" ref="D941">IF(ROWS($D$7:D941)&gt;COUNTIF('[1]U$S'!$H$5:$H$1008,$L$5),"",INDEX(CuentaUS,_xlfn.AGGREGATE(15,6,ROW('[1]U$S'!$H$5:$H$1008)-ROW('[1]U$S'!$O$5)+1/--('[1]U$S'!$H$5:$H$1008=$L$5),ROWS($D$7:D941)),1))</f>
        <v/>
      </c>
      <c r="E941" s="22" t="str" cm="1">
        <f t="array" ref="E941">IF(ROWS($E$7:E941)&gt;COUNTIF('[1]U$S'!$H$5:$H$1008,$L$5),"",INDEX(CuentaUS,_xlfn.AGGREGATE(15,6,ROW('[1]U$S'!$H$5:$H$1008)-ROW('[1]U$S'!$O$5)+1/--('[1]U$S'!$H$5:$H$1008=$L$5),ROWS($E$7:E941)),6))</f>
        <v/>
      </c>
      <c r="F941" s="22" t="str">
        <f>IF(E941="","",IF(E941&gt;0,SUMIFS('[1]UY$'!$L$5:$L$993,'[1]UY$'!$O$5:$O$993,"Cambio",'[1]UY$'!$E$5:$E$993,'Efecto TC'!D941),""))</f>
        <v/>
      </c>
      <c r="G941" s="23" t="str">
        <f t="shared" si="113"/>
        <v/>
      </c>
      <c r="H941" s="22" t="str">
        <f t="shared" si="114"/>
        <v/>
      </c>
      <c r="I941" s="54" t="str">
        <f t="shared" si="111"/>
        <v/>
      </c>
      <c r="R941" s="24" t="e">
        <f t="shared" si="115"/>
        <v>#VALUE!</v>
      </c>
      <c r="S941" s="25" t="e">
        <f t="shared" si="112"/>
        <v>#VALUE!</v>
      </c>
    </row>
    <row r="942" spans="1:19" x14ac:dyDescent="0.25">
      <c r="A942" t="e">
        <f t="shared" si="109"/>
        <v>#VALUE!</v>
      </c>
      <c r="B942" t="e">
        <f t="shared" si="110"/>
        <v>#VALUE!</v>
      </c>
      <c r="D942" s="21" t="str" cm="1">
        <f t="array" ref="D942">IF(ROWS($D$7:D942)&gt;COUNTIF('[1]U$S'!$H$5:$H$1008,$L$5),"",INDEX(CuentaUS,_xlfn.AGGREGATE(15,6,ROW('[1]U$S'!$H$5:$H$1008)-ROW('[1]U$S'!$O$5)+1/--('[1]U$S'!$H$5:$H$1008=$L$5),ROWS($D$7:D942)),1))</f>
        <v/>
      </c>
      <c r="E942" s="22" t="str" cm="1">
        <f t="array" ref="E942">IF(ROWS($E$7:E942)&gt;COUNTIF('[1]U$S'!$H$5:$H$1008,$L$5),"",INDEX(CuentaUS,_xlfn.AGGREGATE(15,6,ROW('[1]U$S'!$H$5:$H$1008)-ROW('[1]U$S'!$O$5)+1/--('[1]U$S'!$H$5:$H$1008=$L$5),ROWS($E$7:E942)),6))</f>
        <v/>
      </c>
      <c r="F942" s="22" t="str">
        <f>IF(E942="","",IF(E942&gt;0,SUMIFS('[1]UY$'!$L$5:$L$993,'[1]UY$'!$O$5:$O$993,"Cambio",'[1]UY$'!$E$5:$E$993,'Efecto TC'!D942),""))</f>
        <v/>
      </c>
      <c r="G942" s="23" t="str">
        <f t="shared" si="113"/>
        <v/>
      </c>
      <c r="H942" s="22" t="str">
        <f t="shared" si="114"/>
        <v/>
      </c>
      <c r="I942" s="54" t="str">
        <f t="shared" si="111"/>
        <v/>
      </c>
      <c r="R942" s="24" t="e">
        <f t="shared" si="115"/>
        <v>#VALUE!</v>
      </c>
      <c r="S942" s="25" t="e">
        <f t="shared" si="112"/>
        <v>#VALUE!</v>
      </c>
    </row>
    <row r="943" spans="1:19" x14ac:dyDescent="0.25">
      <c r="A943" t="e">
        <f t="shared" si="109"/>
        <v>#VALUE!</v>
      </c>
      <c r="B943" t="e">
        <f t="shared" si="110"/>
        <v>#VALUE!</v>
      </c>
      <c r="D943" s="21" t="str" cm="1">
        <f t="array" ref="D943">IF(ROWS($D$7:D943)&gt;COUNTIF('[1]U$S'!$H$5:$H$1008,$L$5),"",INDEX(CuentaUS,_xlfn.AGGREGATE(15,6,ROW('[1]U$S'!$H$5:$H$1008)-ROW('[1]U$S'!$O$5)+1/--('[1]U$S'!$H$5:$H$1008=$L$5),ROWS($D$7:D943)),1))</f>
        <v/>
      </c>
      <c r="E943" s="22" t="str" cm="1">
        <f t="array" ref="E943">IF(ROWS($E$7:E943)&gt;COUNTIF('[1]U$S'!$H$5:$H$1008,$L$5),"",INDEX(CuentaUS,_xlfn.AGGREGATE(15,6,ROW('[1]U$S'!$H$5:$H$1008)-ROW('[1]U$S'!$O$5)+1/--('[1]U$S'!$H$5:$H$1008=$L$5),ROWS($E$7:E943)),6))</f>
        <v/>
      </c>
      <c r="F943" s="22" t="str">
        <f>IF(E943="","",IF(E943&gt;0,SUMIFS('[1]UY$'!$L$5:$L$993,'[1]UY$'!$O$5:$O$993,"Cambio",'[1]UY$'!$E$5:$E$993,'Efecto TC'!D943),""))</f>
        <v/>
      </c>
      <c r="G943" s="23" t="str">
        <f t="shared" si="113"/>
        <v/>
      </c>
      <c r="H943" s="22" t="str">
        <f t="shared" si="114"/>
        <v/>
      </c>
      <c r="I943" s="54" t="str">
        <f t="shared" si="111"/>
        <v/>
      </c>
      <c r="R943" s="24" t="e">
        <f t="shared" si="115"/>
        <v>#VALUE!</v>
      </c>
      <c r="S943" s="25" t="e">
        <f t="shared" si="112"/>
        <v>#VALUE!</v>
      </c>
    </row>
    <row r="944" spans="1:19" x14ac:dyDescent="0.25">
      <c r="A944" t="e">
        <f t="shared" si="109"/>
        <v>#VALUE!</v>
      </c>
      <c r="B944" t="e">
        <f t="shared" si="110"/>
        <v>#VALUE!</v>
      </c>
      <c r="D944" s="21" t="str" cm="1">
        <f t="array" ref="D944">IF(ROWS($D$7:D944)&gt;COUNTIF('[1]U$S'!$H$5:$H$1008,$L$5),"",INDEX(CuentaUS,_xlfn.AGGREGATE(15,6,ROW('[1]U$S'!$H$5:$H$1008)-ROW('[1]U$S'!$O$5)+1/--('[1]U$S'!$H$5:$H$1008=$L$5),ROWS($D$7:D944)),1))</f>
        <v/>
      </c>
      <c r="E944" s="22" t="str" cm="1">
        <f t="array" ref="E944">IF(ROWS($E$7:E944)&gt;COUNTIF('[1]U$S'!$H$5:$H$1008,$L$5),"",INDEX(CuentaUS,_xlfn.AGGREGATE(15,6,ROW('[1]U$S'!$H$5:$H$1008)-ROW('[1]U$S'!$O$5)+1/--('[1]U$S'!$H$5:$H$1008=$L$5),ROWS($E$7:E944)),6))</f>
        <v/>
      </c>
      <c r="F944" s="22" t="str">
        <f>IF(E944="","",IF(E944&gt;0,SUMIFS('[1]UY$'!$L$5:$L$993,'[1]UY$'!$O$5:$O$993,"Cambio",'[1]UY$'!$E$5:$E$993,'Efecto TC'!D944),""))</f>
        <v/>
      </c>
      <c r="G944" s="23" t="str">
        <f t="shared" si="113"/>
        <v/>
      </c>
      <c r="H944" s="22" t="str">
        <f t="shared" si="114"/>
        <v/>
      </c>
      <c r="I944" s="54" t="str">
        <f t="shared" si="111"/>
        <v/>
      </c>
      <c r="R944" s="24" t="e">
        <f t="shared" si="115"/>
        <v>#VALUE!</v>
      </c>
      <c r="S944" s="25" t="e">
        <f t="shared" si="112"/>
        <v>#VALUE!</v>
      </c>
    </row>
    <row r="945" spans="1:19" x14ac:dyDescent="0.25">
      <c r="A945" t="e">
        <f t="shared" si="109"/>
        <v>#VALUE!</v>
      </c>
      <c r="B945" t="e">
        <f t="shared" si="110"/>
        <v>#VALUE!</v>
      </c>
      <c r="D945" s="21" t="str" cm="1">
        <f t="array" ref="D945">IF(ROWS($D$7:D945)&gt;COUNTIF('[1]U$S'!$H$5:$H$1008,$L$5),"",INDEX(CuentaUS,_xlfn.AGGREGATE(15,6,ROW('[1]U$S'!$H$5:$H$1008)-ROW('[1]U$S'!$O$5)+1/--('[1]U$S'!$H$5:$H$1008=$L$5),ROWS($D$7:D945)),1))</f>
        <v/>
      </c>
      <c r="E945" s="22" t="str" cm="1">
        <f t="array" ref="E945">IF(ROWS($E$7:E945)&gt;COUNTIF('[1]U$S'!$H$5:$H$1008,$L$5),"",INDEX(CuentaUS,_xlfn.AGGREGATE(15,6,ROW('[1]U$S'!$H$5:$H$1008)-ROW('[1]U$S'!$O$5)+1/--('[1]U$S'!$H$5:$H$1008=$L$5),ROWS($E$7:E945)),6))</f>
        <v/>
      </c>
      <c r="F945" s="22" t="str">
        <f>IF(E945="","",IF(E945&gt;0,SUMIFS('[1]UY$'!$L$5:$L$993,'[1]UY$'!$O$5:$O$993,"Cambio",'[1]UY$'!$E$5:$E$993,'Efecto TC'!D945),""))</f>
        <v/>
      </c>
      <c r="G945" s="23" t="str">
        <f t="shared" si="113"/>
        <v/>
      </c>
      <c r="H945" s="22" t="str">
        <f t="shared" si="114"/>
        <v/>
      </c>
      <c r="I945" s="54" t="str">
        <f t="shared" si="111"/>
        <v/>
      </c>
      <c r="R945" s="24" t="e">
        <f t="shared" si="115"/>
        <v>#VALUE!</v>
      </c>
      <c r="S945" s="25" t="e">
        <f t="shared" si="112"/>
        <v>#VALUE!</v>
      </c>
    </row>
    <row r="946" spans="1:19" x14ac:dyDescent="0.25">
      <c r="A946" t="e">
        <f t="shared" si="109"/>
        <v>#VALUE!</v>
      </c>
      <c r="B946" t="e">
        <f t="shared" si="110"/>
        <v>#VALUE!</v>
      </c>
      <c r="D946" s="21" t="str" cm="1">
        <f t="array" ref="D946">IF(ROWS($D$7:D946)&gt;COUNTIF('[1]U$S'!$H$5:$H$1008,$L$5),"",INDEX(CuentaUS,_xlfn.AGGREGATE(15,6,ROW('[1]U$S'!$H$5:$H$1008)-ROW('[1]U$S'!$O$5)+1/--('[1]U$S'!$H$5:$H$1008=$L$5),ROWS($D$7:D946)),1))</f>
        <v/>
      </c>
      <c r="E946" s="22" t="str" cm="1">
        <f t="array" ref="E946">IF(ROWS($E$7:E946)&gt;COUNTIF('[1]U$S'!$H$5:$H$1008,$L$5),"",INDEX(CuentaUS,_xlfn.AGGREGATE(15,6,ROW('[1]U$S'!$H$5:$H$1008)-ROW('[1]U$S'!$O$5)+1/--('[1]U$S'!$H$5:$H$1008=$L$5),ROWS($E$7:E946)),6))</f>
        <v/>
      </c>
      <c r="F946" s="22" t="str">
        <f>IF(E946="","",IF(E946&gt;0,SUMIFS('[1]UY$'!$L$5:$L$993,'[1]UY$'!$O$5:$O$993,"Cambio",'[1]UY$'!$E$5:$E$993,'Efecto TC'!D946),""))</f>
        <v/>
      </c>
      <c r="G946" s="23" t="str">
        <f t="shared" si="113"/>
        <v/>
      </c>
      <c r="H946" s="22" t="str">
        <f t="shared" si="114"/>
        <v/>
      </c>
      <c r="I946" s="54" t="str">
        <f t="shared" si="111"/>
        <v/>
      </c>
      <c r="R946" s="24" t="e">
        <f t="shared" si="115"/>
        <v>#VALUE!</v>
      </c>
      <c r="S946" s="25" t="e">
        <f t="shared" si="112"/>
        <v>#VALUE!</v>
      </c>
    </row>
    <row r="947" spans="1:19" x14ac:dyDescent="0.25">
      <c r="A947" t="e">
        <f t="shared" si="109"/>
        <v>#VALUE!</v>
      </c>
      <c r="B947" t="e">
        <f t="shared" si="110"/>
        <v>#VALUE!</v>
      </c>
      <c r="D947" s="21" t="str" cm="1">
        <f t="array" ref="D947">IF(ROWS($D$7:D947)&gt;COUNTIF('[1]U$S'!$H$5:$H$1008,$L$5),"",INDEX(CuentaUS,_xlfn.AGGREGATE(15,6,ROW('[1]U$S'!$H$5:$H$1008)-ROW('[1]U$S'!$O$5)+1/--('[1]U$S'!$H$5:$H$1008=$L$5),ROWS($D$7:D947)),1))</f>
        <v/>
      </c>
      <c r="E947" s="22" t="str" cm="1">
        <f t="array" ref="E947">IF(ROWS($E$7:E947)&gt;COUNTIF('[1]U$S'!$H$5:$H$1008,$L$5),"",INDEX(CuentaUS,_xlfn.AGGREGATE(15,6,ROW('[1]U$S'!$H$5:$H$1008)-ROW('[1]U$S'!$O$5)+1/--('[1]U$S'!$H$5:$H$1008=$L$5),ROWS($E$7:E947)),6))</f>
        <v/>
      </c>
      <c r="F947" s="22" t="str">
        <f>IF(E947="","",IF(E947&gt;0,SUMIFS('[1]UY$'!$L$5:$L$993,'[1]UY$'!$O$5:$O$993,"Cambio",'[1]UY$'!$E$5:$E$993,'Efecto TC'!D947),""))</f>
        <v/>
      </c>
      <c r="G947" s="23" t="str">
        <f t="shared" si="113"/>
        <v/>
      </c>
      <c r="H947" s="22" t="str">
        <f t="shared" si="114"/>
        <v/>
      </c>
      <c r="I947" s="54" t="str">
        <f t="shared" si="111"/>
        <v/>
      </c>
      <c r="R947" s="24" t="e">
        <f t="shared" si="115"/>
        <v>#VALUE!</v>
      </c>
      <c r="S947" s="25" t="e">
        <f t="shared" si="112"/>
        <v>#VALUE!</v>
      </c>
    </row>
    <row r="948" spans="1:19" x14ac:dyDescent="0.25">
      <c r="A948" t="e">
        <f t="shared" si="109"/>
        <v>#VALUE!</v>
      </c>
      <c r="B948" t="e">
        <f t="shared" si="110"/>
        <v>#VALUE!</v>
      </c>
      <c r="D948" s="21" t="str" cm="1">
        <f t="array" ref="D948">IF(ROWS($D$7:D948)&gt;COUNTIF('[1]U$S'!$H$5:$H$1008,$L$5),"",INDEX(CuentaUS,_xlfn.AGGREGATE(15,6,ROW('[1]U$S'!$H$5:$H$1008)-ROW('[1]U$S'!$O$5)+1/--('[1]U$S'!$H$5:$H$1008=$L$5),ROWS($D$7:D948)),1))</f>
        <v/>
      </c>
      <c r="E948" s="22" t="str" cm="1">
        <f t="array" ref="E948">IF(ROWS($E$7:E948)&gt;COUNTIF('[1]U$S'!$H$5:$H$1008,$L$5),"",INDEX(CuentaUS,_xlfn.AGGREGATE(15,6,ROW('[1]U$S'!$H$5:$H$1008)-ROW('[1]U$S'!$O$5)+1/--('[1]U$S'!$H$5:$H$1008=$L$5),ROWS($E$7:E948)),6))</f>
        <v/>
      </c>
      <c r="F948" s="22" t="str">
        <f>IF(E948="","",IF(E948&gt;0,SUMIFS('[1]UY$'!$L$5:$L$993,'[1]UY$'!$O$5:$O$993,"Cambio",'[1]UY$'!$E$5:$E$993,'Efecto TC'!D948),""))</f>
        <v/>
      </c>
      <c r="G948" s="23" t="str">
        <f t="shared" si="113"/>
        <v/>
      </c>
      <c r="H948" s="22" t="str">
        <f t="shared" si="114"/>
        <v/>
      </c>
      <c r="I948" s="54" t="str">
        <f t="shared" si="111"/>
        <v/>
      </c>
      <c r="R948" s="24" t="e">
        <f t="shared" si="115"/>
        <v>#VALUE!</v>
      </c>
      <c r="S948" s="25" t="e">
        <f t="shared" si="112"/>
        <v>#VALUE!</v>
      </c>
    </row>
    <row r="949" spans="1:19" x14ac:dyDescent="0.25">
      <c r="A949" t="e">
        <f t="shared" si="109"/>
        <v>#VALUE!</v>
      </c>
      <c r="B949" t="e">
        <f t="shared" si="110"/>
        <v>#VALUE!</v>
      </c>
      <c r="D949" s="21" t="str" cm="1">
        <f t="array" ref="D949">IF(ROWS($D$7:D949)&gt;COUNTIF('[1]U$S'!$H$5:$H$1008,$L$5),"",INDEX(CuentaUS,_xlfn.AGGREGATE(15,6,ROW('[1]U$S'!$H$5:$H$1008)-ROW('[1]U$S'!$O$5)+1/--('[1]U$S'!$H$5:$H$1008=$L$5),ROWS($D$7:D949)),1))</f>
        <v/>
      </c>
      <c r="E949" s="22" t="str" cm="1">
        <f t="array" ref="E949">IF(ROWS($E$7:E949)&gt;COUNTIF('[1]U$S'!$H$5:$H$1008,$L$5),"",INDEX(CuentaUS,_xlfn.AGGREGATE(15,6,ROW('[1]U$S'!$H$5:$H$1008)-ROW('[1]U$S'!$O$5)+1/--('[1]U$S'!$H$5:$H$1008=$L$5),ROWS($E$7:E949)),6))</f>
        <v/>
      </c>
      <c r="F949" s="22" t="str">
        <f>IF(E949="","",IF(E949&gt;0,SUMIFS('[1]UY$'!$L$5:$L$993,'[1]UY$'!$O$5:$O$993,"Cambio",'[1]UY$'!$E$5:$E$993,'Efecto TC'!D949),""))</f>
        <v/>
      </c>
      <c r="G949" s="23" t="str">
        <f t="shared" si="113"/>
        <v/>
      </c>
      <c r="H949" s="22" t="str">
        <f t="shared" si="114"/>
        <v/>
      </c>
      <c r="I949" s="54" t="str">
        <f t="shared" si="111"/>
        <v/>
      </c>
      <c r="R949" s="24" t="e">
        <f t="shared" si="115"/>
        <v>#VALUE!</v>
      </c>
      <c r="S949" s="25" t="e">
        <f t="shared" si="112"/>
        <v>#VALUE!</v>
      </c>
    </row>
    <row r="950" spans="1:19" x14ac:dyDescent="0.25">
      <c r="A950" t="e">
        <f t="shared" si="109"/>
        <v>#VALUE!</v>
      </c>
      <c r="B950" t="e">
        <f t="shared" si="110"/>
        <v>#VALUE!</v>
      </c>
      <c r="D950" s="21" t="str" cm="1">
        <f t="array" ref="D950">IF(ROWS($D$7:D950)&gt;COUNTIF('[1]U$S'!$H$5:$H$1008,$L$5),"",INDEX(CuentaUS,_xlfn.AGGREGATE(15,6,ROW('[1]U$S'!$H$5:$H$1008)-ROW('[1]U$S'!$O$5)+1/--('[1]U$S'!$H$5:$H$1008=$L$5),ROWS($D$7:D950)),1))</f>
        <v/>
      </c>
      <c r="E950" s="22" t="str" cm="1">
        <f t="array" ref="E950">IF(ROWS($E$7:E950)&gt;COUNTIF('[1]U$S'!$H$5:$H$1008,$L$5),"",INDEX(CuentaUS,_xlfn.AGGREGATE(15,6,ROW('[1]U$S'!$H$5:$H$1008)-ROW('[1]U$S'!$O$5)+1/--('[1]U$S'!$H$5:$H$1008=$L$5),ROWS($E$7:E950)),6))</f>
        <v/>
      </c>
      <c r="F950" s="22" t="str">
        <f>IF(E950="","",IF(E950&gt;0,SUMIFS('[1]UY$'!$L$5:$L$993,'[1]UY$'!$O$5:$O$993,"Cambio",'[1]UY$'!$E$5:$E$993,'Efecto TC'!D950),""))</f>
        <v/>
      </c>
      <c r="G950" s="23" t="str">
        <f t="shared" si="113"/>
        <v/>
      </c>
      <c r="H950" s="22" t="str">
        <f t="shared" si="114"/>
        <v/>
      </c>
      <c r="I950" s="54" t="str">
        <f t="shared" si="111"/>
        <v/>
      </c>
      <c r="R950" s="24" t="e">
        <f t="shared" si="115"/>
        <v>#VALUE!</v>
      </c>
      <c r="S950" s="25" t="e">
        <f t="shared" si="112"/>
        <v>#VALUE!</v>
      </c>
    </row>
    <row r="951" spans="1:19" x14ac:dyDescent="0.25">
      <c r="A951" t="e">
        <f t="shared" si="109"/>
        <v>#VALUE!</v>
      </c>
      <c r="B951" t="e">
        <f t="shared" si="110"/>
        <v>#VALUE!</v>
      </c>
      <c r="D951" s="21" t="str" cm="1">
        <f t="array" ref="D951">IF(ROWS($D$7:D951)&gt;COUNTIF('[1]U$S'!$H$5:$H$1008,$L$5),"",INDEX(CuentaUS,_xlfn.AGGREGATE(15,6,ROW('[1]U$S'!$H$5:$H$1008)-ROW('[1]U$S'!$O$5)+1/--('[1]U$S'!$H$5:$H$1008=$L$5),ROWS($D$7:D951)),1))</f>
        <v/>
      </c>
      <c r="E951" s="22" t="str" cm="1">
        <f t="array" ref="E951">IF(ROWS($E$7:E951)&gt;COUNTIF('[1]U$S'!$H$5:$H$1008,$L$5),"",INDEX(CuentaUS,_xlfn.AGGREGATE(15,6,ROW('[1]U$S'!$H$5:$H$1008)-ROW('[1]U$S'!$O$5)+1/--('[1]U$S'!$H$5:$H$1008=$L$5),ROWS($E$7:E951)),6))</f>
        <v/>
      </c>
      <c r="F951" s="22" t="str">
        <f>IF(E951="","",IF(E951&gt;0,SUMIFS('[1]UY$'!$L$5:$L$993,'[1]UY$'!$O$5:$O$993,"Cambio",'[1]UY$'!$E$5:$E$993,'Efecto TC'!D951),""))</f>
        <v/>
      </c>
      <c r="G951" s="23" t="str">
        <f t="shared" si="113"/>
        <v/>
      </c>
      <c r="H951" s="22" t="str">
        <f t="shared" si="114"/>
        <v/>
      </c>
      <c r="I951" s="54" t="str">
        <f t="shared" si="111"/>
        <v/>
      </c>
      <c r="R951" s="24" t="e">
        <f t="shared" si="115"/>
        <v>#VALUE!</v>
      </c>
      <c r="S951" s="25" t="e">
        <f t="shared" si="112"/>
        <v>#VALUE!</v>
      </c>
    </row>
    <row r="952" spans="1:19" x14ac:dyDescent="0.25">
      <c r="A952" t="e">
        <f t="shared" si="109"/>
        <v>#VALUE!</v>
      </c>
      <c r="B952" t="e">
        <f t="shared" si="110"/>
        <v>#VALUE!</v>
      </c>
      <c r="D952" s="21" t="str" cm="1">
        <f t="array" ref="D952">IF(ROWS($D$7:D952)&gt;COUNTIF('[1]U$S'!$H$5:$H$1008,$L$5),"",INDEX(CuentaUS,_xlfn.AGGREGATE(15,6,ROW('[1]U$S'!$H$5:$H$1008)-ROW('[1]U$S'!$O$5)+1/--('[1]U$S'!$H$5:$H$1008=$L$5),ROWS($D$7:D952)),1))</f>
        <v/>
      </c>
      <c r="E952" s="22" t="str" cm="1">
        <f t="array" ref="E952">IF(ROWS($E$7:E952)&gt;COUNTIF('[1]U$S'!$H$5:$H$1008,$L$5),"",INDEX(CuentaUS,_xlfn.AGGREGATE(15,6,ROW('[1]U$S'!$H$5:$H$1008)-ROW('[1]U$S'!$O$5)+1/--('[1]U$S'!$H$5:$H$1008=$L$5),ROWS($E$7:E952)),6))</f>
        <v/>
      </c>
      <c r="F952" s="22" t="str">
        <f>IF(E952="","",IF(E952&gt;0,SUMIFS('[1]UY$'!$L$5:$L$993,'[1]UY$'!$O$5:$O$993,"Cambio",'[1]UY$'!$E$5:$E$993,'Efecto TC'!D952),""))</f>
        <v/>
      </c>
      <c r="G952" s="23" t="str">
        <f t="shared" si="113"/>
        <v/>
      </c>
      <c r="H952" s="22" t="str">
        <f t="shared" si="114"/>
        <v/>
      </c>
      <c r="I952" s="54" t="str">
        <f t="shared" si="111"/>
        <v/>
      </c>
      <c r="R952" s="24" t="e">
        <f t="shared" si="115"/>
        <v>#VALUE!</v>
      </c>
      <c r="S952" s="25" t="e">
        <f t="shared" si="112"/>
        <v>#VALUE!</v>
      </c>
    </row>
    <row r="953" spans="1:19" x14ac:dyDescent="0.25">
      <c r="A953" t="e">
        <f t="shared" si="109"/>
        <v>#VALUE!</v>
      </c>
      <c r="B953" t="e">
        <f t="shared" si="110"/>
        <v>#VALUE!</v>
      </c>
      <c r="D953" s="21" t="str" cm="1">
        <f t="array" ref="D953">IF(ROWS($D$7:D953)&gt;COUNTIF('[1]U$S'!$H$5:$H$1008,$L$5),"",INDEX(CuentaUS,_xlfn.AGGREGATE(15,6,ROW('[1]U$S'!$H$5:$H$1008)-ROW('[1]U$S'!$O$5)+1/--('[1]U$S'!$H$5:$H$1008=$L$5),ROWS($D$7:D953)),1))</f>
        <v/>
      </c>
      <c r="E953" s="22" t="str" cm="1">
        <f t="array" ref="E953">IF(ROWS($E$7:E953)&gt;COUNTIF('[1]U$S'!$H$5:$H$1008,$L$5),"",INDEX(CuentaUS,_xlfn.AGGREGATE(15,6,ROW('[1]U$S'!$H$5:$H$1008)-ROW('[1]U$S'!$O$5)+1/--('[1]U$S'!$H$5:$H$1008=$L$5),ROWS($E$7:E953)),6))</f>
        <v/>
      </c>
      <c r="F953" s="22" t="str">
        <f>IF(E953="","",IF(E953&gt;0,SUMIFS('[1]UY$'!$L$5:$L$993,'[1]UY$'!$O$5:$O$993,"Cambio",'[1]UY$'!$E$5:$E$993,'Efecto TC'!D953),""))</f>
        <v/>
      </c>
      <c r="G953" s="23" t="str">
        <f t="shared" si="113"/>
        <v/>
      </c>
      <c r="H953" s="22" t="str">
        <f t="shared" si="114"/>
        <v/>
      </c>
      <c r="I953" s="54" t="str">
        <f t="shared" si="111"/>
        <v/>
      </c>
      <c r="R953" s="24" t="e">
        <f t="shared" si="115"/>
        <v>#VALUE!</v>
      </c>
      <c r="S953" s="25" t="e">
        <f t="shared" si="112"/>
        <v>#VALUE!</v>
      </c>
    </row>
    <row r="954" spans="1:19" x14ac:dyDescent="0.25">
      <c r="A954" t="e">
        <f t="shared" si="109"/>
        <v>#VALUE!</v>
      </c>
      <c r="B954" t="e">
        <f t="shared" si="110"/>
        <v>#VALUE!</v>
      </c>
      <c r="D954" s="21" t="str" cm="1">
        <f t="array" ref="D954">IF(ROWS($D$7:D954)&gt;COUNTIF('[1]U$S'!$H$5:$H$1008,$L$5),"",INDEX(CuentaUS,_xlfn.AGGREGATE(15,6,ROW('[1]U$S'!$H$5:$H$1008)-ROW('[1]U$S'!$O$5)+1/--('[1]U$S'!$H$5:$H$1008=$L$5),ROWS($D$7:D954)),1))</f>
        <v/>
      </c>
      <c r="E954" s="22" t="str" cm="1">
        <f t="array" ref="E954">IF(ROWS($E$7:E954)&gt;COUNTIF('[1]U$S'!$H$5:$H$1008,$L$5),"",INDEX(CuentaUS,_xlfn.AGGREGATE(15,6,ROW('[1]U$S'!$H$5:$H$1008)-ROW('[1]U$S'!$O$5)+1/--('[1]U$S'!$H$5:$H$1008=$L$5),ROWS($E$7:E954)),6))</f>
        <v/>
      </c>
      <c r="F954" s="22" t="str">
        <f>IF(E954="","",IF(E954&gt;0,SUMIFS('[1]UY$'!$L$5:$L$993,'[1]UY$'!$O$5:$O$993,"Cambio",'[1]UY$'!$E$5:$E$993,'Efecto TC'!D954),""))</f>
        <v/>
      </c>
      <c r="G954" s="23" t="str">
        <f t="shared" si="113"/>
        <v/>
      </c>
      <c r="H954" s="22" t="str">
        <f t="shared" si="114"/>
        <v/>
      </c>
      <c r="I954" s="54" t="str">
        <f t="shared" si="111"/>
        <v/>
      </c>
      <c r="R954" s="24" t="e">
        <f t="shared" si="115"/>
        <v>#VALUE!</v>
      </c>
      <c r="S954" s="25" t="e">
        <f t="shared" si="112"/>
        <v>#VALUE!</v>
      </c>
    </row>
    <row r="955" spans="1:19" x14ac:dyDescent="0.25">
      <c r="A955" t="e">
        <f t="shared" si="109"/>
        <v>#VALUE!</v>
      </c>
      <c r="B955" t="e">
        <f t="shared" si="110"/>
        <v>#VALUE!</v>
      </c>
      <c r="D955" s="21" t="str" cm="1">
        <f t="array" ref="D955">IF(ROWS($D$7:D955)&gt;COUNTIF('[1]U$S'!$H$5:$H$1008,$L$5),"",INDEX(CuentaUS,_xlfn.AGGREGATE(15,6,ROW('[1]U$S'!$H$5:$H$1008)-ROW('[1]U$S'!$O$5)+1/--('[1]U$S'!$H$5:$H$1008=$L$5),ROWS($D$7:D955)),1))</f>
        <v/>
      </c>
      <c r="E955" s="22" t="str" cm="1">
        <f t="array" ref="E955">IF(ROWS($E$7:E955)&gt;COUNTIF('[1]U$S'!$H$5:$H$1008,$L$5),"",INDEX(CuentaUS,_xlfn.AGGREGATE(15,6,ROW('[1]U$S'!$H$5:$H$1008)-ROW('[1]U$S'!$O$5)+1/--('[1]U$S'!$H$5:$H$1008=$L$5),ROWS($E$7:E955)),6))</f>
        <v/>
      </c>
      <c r="F955" s="22" t="str">
        <f>IF(E955="","",IF(E955&gt;0,SUMIFS('[1]UY$'!$L$5:$L$993,'[1]UY$'!$O$5:$O$993,"Cambio",'[1]UY$'!$E$5:$E$993,'Efecto TC'!D955),""))</f>
        <v/>
      </c>
      <c r="G955" s="23" t="str">
        <f t="shared" si="113"/>
        <v/>
      </c>
      <c r="H955" s="22" t="str">
        <f t="shared" si="114"/>
        <v/>
      </c>
      <c r="I955" s="54" t="str">
        <f t="shared" si="111"/>
        <v/>
      </c>
      <c r="R955" s="24" t="e">
        <f t="shared" si="115"/>
        <v>#VALUE!</v>
      </c>
      <c r="S955" s="25" t="e">
        <f t="shared" si="112"/>
        <v>#VALUE!</v>
      </c>
    </row>
    <row r="956" spans="1:19" x14ac:dyDescent="0.25">
      <c r="A956" t="e">
        <f t="shared" si="109"/>
        <v>#VALUE!</v>
      </c>
      <c r="B956" t="e">
        <f t="shared" si="110"/>
        <v>#VALUE!</v>
      </c>
      <c r="D956" s="21" t="str" cm="1">
        <f t="array" ref="D956">IF(ROWS($D$7:D956)&gt;COUNTIF('[1]U$S'!$H$5:$H$1008,$L$5),"",INDEX(CuentaUS,_xlfn.AGGREGATE(15,6,ROW('[1]U$S'!$H$5:$H$1008)-ROW('[1]U$S'!$O$5)+1/--('[1]U$S'!$H$5:$H$1008=$L$5),ROWS($D$7:D956)),1))</f>
        <v/>
      </c>
      <c r="E956" s="22" t="str" cm="1">
        <f t="array" ref="E956">IF(ROWS($E$7:E956)&gt;COUNTIF('[1]U$S'!$H$5:$H$1008,$L$5),"",INDEX(CuentaUS,_xlfn.AGGREGATE(15,6,ROW('[1]U$S'!$H$5:$H$1008)-ROW('[1]U$S'!$O$5)+1/--('[1]U$S'!$H$5:$H$1008=$L$5),ROWS($E$7:E956)),6))</f>
        <v/>
      </c>
      <c r="F956" s="22" t="str">
        <f>IF(E956="","",IF(E956&gt;0,SUMIFS('[1]UY$'!$L$5:$L$993,'[1]UY$'!$O$5:$O$993,"Cambio",'[1]UY$'!$E$5:$E$993,'Efecto TC'!D956),""))</f>
        <v/>
      </c>
      <c r="G956" s="23" t="str">
        <f t="shared" si="113"/>
        <v/>
      </c>
      <c r="H956" s="22" t="str">
        <f t="shared" si="114"/>
        <v/>
      </c>
      <c r="I956" s="54" t="str">
        <f t="shared" si="111"/>
        <v/>
      </c>
      <c r="R956" s="24" t="e">
        <f t="shared" si="115"/>
        <v>#VALUE!</v>
      </c>
      <c r="S956" s="25" t="e">
        <f t="shared" si="112"/>
        <v>#VALUE!</v>
      </c>
    </row>
    <row r="957" spans="1:19" x14ac:dyDescent="0.25">
      <c r="A957" t="e">
        <f t="shared" si="109"/>
        <v>#VALUE!</v>
      </c>
      <c r="B957" t="e">
        <f t="shared" si="110"/>
        <v>#VALUE!</v>
      </c>
      <c r="D957" s="21" t="str" cm="1">
        <f t="array" ref="D957">IF(ROWS($D$7:D957)&gt;COUNTIF('[1]U$S'!$H$5:$H$1008,$L$5),"",INDEX(CuentaUS,_xlfn.AGGREGATE(15,6,ROW('[1]U$S'!$H$5:$H$1008)-ROW('[1]U$S'!$O$5)+1/--('[1]U$S'!$H$5:$H$1008=$L$5),ROWS($D$7:D957)),1))</f>
        <v/>
      </c>
      <c r="E957" s="22" t="str" cm="1">
        <f t="array" ref="E957">IF(ROWS($E$7:E957)&gt;COUNTIF('[1]U$S'!$H$5:$H$1008,$L$5),"",INDEX(CuentaUS,_xlfn.AGGREGATE(15,6,ROW('[1]U$S'!$H$5:$H$1008)-ROW('[1]U$S'!$O$5)+1/--('[1]U$S'!$H$5:$H$1008=$L$5),ROWS($E$7:E957)),6))</f>
        <v/>
      </c>
      <c r="F957" s="22" t="str">
        <f>IF(E957="","",IF(E957&gt;0,SUMIFS('[1]UY$'!$L$5:$L$993,'[1]UY$'!$O$5:$O$993,"Cambio",'[1]UY$'!$E$5:$E$993,'Efecto TC'!D957),""))</f>
        <v/>
      </c>
      <c r="G957" s="23" t="str">
        <f t="shared" si="113"/>
        <v/>
      </c>
      <c r="H957" s="22" t="str">
        <f t="shared" si="114"/>
        <v/>
      </c>
      <c r="I957" s="54" t="str">
        <f t="shared" si="111"/>
        <v/>
      </c>
      <c r="R957" s="24" t="e">
        <f t="shared" si="115"/>
        <v>#VALUE!</v>
      </c>
      <c r="S957" s="25" t="e">
        <f t="shared" si="112"/>
        <v>#VALUE!</v>
      </c>
    </row>
    <row r="958" spans="1:19" x14ac:dyDescent="0.25">
      <c r="A958" t="e">
        <f t="shared" si="109"/>
        <v>#VALUE!</v>
      </c>
      <c r="B958" t="e">
        <f t="shared" si="110"/>
        <v>#VALUE!</v>
      </c>
      <c r="D958" s="21" t="str" cm="1">
        <f t="array" ref="D958">IF(ROWS($D$7:D958)&gt;COUNTIF('[1]U$S'!$H$5:$H$1008,$L$5),"",INDEX(CuentaUS,_xlfn.AGGREGATE(15,6,ROW('[1]U$S'!$H$5:$H$1008)-ROW('[1]U$S'!$O$5)+1/--('[1]U$S'!$H$5:$H$1008=$L$5),ROWS($D$7:D958)),1))</f>
        <v/>
      </c>
      <c r="E958" s="22" t="str" cm="1">
        <f t="array" ref="E958">IF(ROWS($E$7:E958)&gt;COUNTIF('[1]U$S'!$H$5:$H$1008,$L$5),"",INDEX(CuentaUS,_xlfn.AGGREGATE(15,6,ROW('[1]U$S'!$H$5:$H$1008)-ROW('[1]U$S'!$O$5)+1/--('[1]U$S'!$H$5:$H$1008=$L$5),ROWS($E$7:E958)),6))</f>
        <v/>
      </c>
      <c r="F958" s="22" t="str">
        <f>IF(E958="","",IF(E958&gt;0,SUMIFS('[1]UY$'!$L$5:$L$993,'[1]UY$'!$O$5:$O$993,"Cambio",'[1]UY$'!$E$5:$E$993,'Efecto TC'!D958),""))</f>
        <v/>
      </c>
      <c r="G958" s="23" t="str">
        <f t="shared" si="113"/>
        <v/>
      </c>
      <c r="H958" s="22" t="str">
        <f t="shared" si="114"/>
        <v/>
      </c>
      <c r="I958" s="54" t="str">
        <f t="shared" si="111"/>
        <v/>
      </c>
      <c r="R958" s="24" t="e">
        <f t="shared" si="115"/>
        <v>#VALUE!</v>
      </c>
      <c r="S958" s="25" t="e">
        <f t="shared" si="112"/>
        <v>#VALUE!</v>
      </c>
    </row>
    <row r="959" spans="1:19" x14ac:dyDescent="0.25">
      <c r="A959" t="e">
        <f t="shared" si="109"/>
        <v>#VALUE!</v>
      </c>
      <c r="B959" t="e">
        <f t="shared" si="110"/>
        <v>#VALUE!</v>
      </c>
      <c r="D959" s="21" t="str" cm="1">
        <f t="array" ref="D959">IF(ROWS($D$7:D959)&gt;COUNTIF('[1]U$S'!$H$5:$H$1008,$L$5),"",INDEX(CuentaUS,_xlfn.AGGREGATE(15,6,ROW('[1]U$S'!$H$5:$H$1008)-ROW('[1]U$S'!$O$5)+1/--('[1]U$S'!$H$5:$H$1008=$L$5),ROWS($D$7:D959)),1))</f>
        <v/>
      </c>
      <c r="E959" s="22" t="str" cm="1">
        <f t="array" ref="E959">IF(ROWS($E$7:E959)&gt;COUNTIF('[1]U$S'!$H$5:$H$1008,$L$5),"",INDEX(CuentaUS,_xlfn.AGGREGATE(15,6,ROW('[1]U$S'!$H$5:$H$1008)-ROW('[1]U$S'!$O$5)+1/--('[1]U$S'!$H$5:$H$1008=$L$5),ROWS($E$7:E959)),6))</f>
        <v/>
      </c>
      <c r="F959" s="22" t="str">
        <f>IF(E959="","",IF(E959&gt;0,SUMIFS('[1]UY$'!$L$5:$L$993,'[1]UY$'!$O$5:$O$993,"Cambio",'[1]UY$'!$E$5:$E$993,'Efecto TC'!D959),""))</f>
        <v/>
      </c>
      <c r="G959" s="23" t="str">
        <f t="shared" si="113"/>
        <v/>
      </c>
      <c r="H959" s="22" t="str">
        <f t="shared" si="114"/>
        <v/>
      </c>
      <c r="I959" s="54" t="str">
        <f t="shared" si="111"/>
        <v/>
      </c>
      <c r="R959" s="24" t="e">
        <f t="shared" si="115"/>
        <v>#VALUE!</v>
      </c>
      <c r="S959" s="25" t="e">
        <f t="shared" si="112"/>
        <v>#VALUE!</v>
      </c>
    </row>
    <row r="960" spans="1:19" x14ac:dyDescent="0.25">
      <c r="A960" t="e">
        <f t="shared" si="109"/>
        <v>#VALUE!</v>
      </c>
      <c r="B960" t="e">
        <f t="shared" si="110"/>
        <v>#VALUE!</v>
      </c>
      <c r="D960" s="21" t="str" cm="1">
        <f t="array" ref="D960">IF(ROWS($D$7:D960)&gt;COUNTIF('[1]U$S'!$H$5:$H$1008,$L$5),"",INDEX(CuentaUS,_xlfn.AGGREGATE(15,6,ROW('[1]U$S'!$H$5:$H$1008)-ROW('[1]U$S'!$O$5)+1/--('[1]U$S'!$H$5:$H$1008=$L$5),ROWS($D$7:D960)),1))</f>
        <v/>
      </c>
      <c r="E960" s="22" t="str" cm="1">
        <f t="array" ref="E960">IF(ROWS($E$7:E960)&gt;COUNTIF('[1]U$S'!$H$5:$H$1008,$L$5),"",INDEX(CuentaUS,_xlfn.AGGREGATE(15,6,ROW('[1]U$S'!$H$5:$H$1008)-ROW('[1]U$S'!$O$5)+1/--('[1]U$S'!$H$5:$H$1008=$L$5),ROWS($E$7:E960)),6))</f>
        <v/>
      </c>
      <c r="F960" s="22" t="str">
        <f>IF(E960="","",IF(E960&gt;0,SUMIFS('[1]UY$'!$L$5:$L$993,'[1]UY$'!$O$5:$O$993,"Cambio",'[1]UY$'!$E$5:$E$993,'Efecto TC'!D960),""))</f>
        <v/>
      </c>
      <c r="G960" s="23" t="str">
        <f t="shared" si="113"/>
        <v/>
      </c>
      <c r="H960" s="22" t="str">
        <f t="shared" si="114"/>
        <v/>
      </c>
      <c r="I960" s="54" t="str">
        <f t="shared" si="111"/>
        <v/>
      </c>
      <c r="R960" s="24" t="e">
        <f t="shared" si="115"/>
        <v>#VALUE!</v>
      </c>
      <c r="S960" s="25" t="e">
        <f t="shared" si="112"/>
        <v>#VALUE!</v>
      </c>
    </row>
    <row r="961" spans="1:19" x14ac:dyDescent="0.25">
      <c r="A961" t="e">
        <f t="shared" si="109"/>
        <v>#VALUE!</v>
      </c>
      <c r="B961" t="e">
        <f t="shared" si="110"/>
        <v>#VALUE!</v>
      </c>
      <c r="D961" s="21" t="str" cm="1">
        <f t="array" ref="D961">IF(ROWS($D$7:D961)&gt;COUNTIF('[1]U$S'!$H$5:$H$1008,$L$5),"",INDEX(CuentaUS,_xlfn.AGGREGATE(15,6,ROW('[1]U$S'!$H$5:$H$1008)-ROW('[1]U$S'!$O$5)+1/--('[1]U$S'!$H$5:$H$1008=$L$5),ROWS($D$7:D961)),1))</f>
        <v/>
      </c>
      <c r="E961" s="22" t="str" cm="1">
        <f t="array" ref="E961">IF(ROWS($E$7:E961)&gt;COUNTIF('[1]U$S'!$H$5:$H$1008,$L$5),"",INDEX(CuentaUS,_xlfn.AGGREGATE(15,6,ROW('[1]U$S'!$H$5:$H$1008)-ROW('[1]U$S'!$O$5)+1/--('[1]U$S'!$H$5:$H$1008=$L$5),ROWS($E$7:E961)),6))</f>
        <v/>
      </c>
      <c r="F961" s="22" t="str">
        <f>IF(E961="","",IF(E961&gt;0,SUMIFS('[1]UY$'!$L$5:$L$993,'[1]UY$'!$O$5:$O$993,"Cambio",'[1]UY$'!$E$5:$E$993,'Efecto TC'!D961),""))</f>
        <v/>
      </c>
      <c r="G961" s="23" t="str">
        <f t="shared" si="113"/>
        <v/>
      </c>
      <c r="H961" s="22" t="str">
        <f t="shared" si="114"/>
        <v/>
      </c>
      <c r="I961" s="54" t="str">
        <f t="shared" si="111"/>
        <v/>
      </c>
      <c r="R961" s="24" t="e">
        <f t="shared" si="115"/>
        <v>#VALUE!</v>
      </c>
      <c r="S961" s="25" t="e">
        <f t="shared" si="112"/>
        <v>#VALUE!</v>
      </c>
    </row>
    <row r="962" spans="1:19" x14ac:dyDescent="0.25">
      <c r="A962" t="e">
        <f t="shared" si="109"/>
        <v>#VALUE!</v>
      </c>
      <c r="B962" t="e">
        <f t="shared" si="110"/>
        <v>#VALUE!</v>
      </c>
      <c r="D962" s="21" t="str" cm="1">
        <f t="array" ref="D962">IF(ROWS($D$7:D962)&gt;COUNTIF('[1]U$S'!$H$5:$H$1008,$L$5),"",INDEX(CuentaUS,_xlfn.AGGREGATE(15,6,ROW('[1]U$S'!$H$5:$H$1008)-ROW('[1]U$S'!$O$5)+1/--('[1]U$S'!$H$5:$H$1008=$L$5),ROWS($D$7:D962)),1))</f>
        <v/>
      </c>
      <c r="E962" s="22" t="str" cm="1">
        <f t="array" ref="E962">IF(ROWS($E$7:E962)&gt;COUNTIF('[1]U$S'!$H$5:$H$1008,$L$5),"",INDEX(CuentaUS,_xlfn.AGGREGATE(15,6,ROW('[1]U$S'!$H$5:$H$1008)-ROW('[1]U$S'!$O$5)+1/--('[1]U$S'!$H$5:$H$1008=$L$5),ROWS($E$7:E962)),6))</f>
        <v/>
      </c>
      <c r="F962" s="22" t="str">
        <f>IF(E962="","",IF(E962&gt;0,SUMIFS('[1]UY$'!$L$5:$L$993,'[1]UY$'!$O$5:$O$993,"Cambio",'[1]UY$'!$E$5:$E$993,'Efecto TC'!D962),""))</f>
        <v/>
      </c>
      <c r="G962" s="23" t="str">
        <f t="shared" si="113"/>
        <v/>
      </c>
      <c r="H962" s="22" t="str">
        <f t="shared" si="114"/>
        <v/>
      </c>
      <c r="I962" s="54" t="str">
        <f t="shared" si="111"/>
        <v/>
      </c>
      <c r="R962" s="24" t="e">
        <f t="shared" si="115"/>
        <v>#VALUE!</v>
      </c>
      <c r="S962" s="25" t="e">
        <f t="shared" si="112"/>
        <v>#VALUE!</v>
      </c>
    </row>
    <row r="963" spans="1:19" x14ac:dyDescent="0.25">
      <c r="A963" t="e">
        <f t="shared" si="109"/>
        <v>#VALUE!</v>
      </c>
      <c r="B963" t="e">
        <f t="shared" si="110"/>
        <v>#VALUE!</v>
      </c>
      <c r="D963" s="21" t="str" cm="1">
        <f t="array" ref="D963">IF(ROWS($D$7:D963)&gt;COUNTIF('[1]U$S'!$H$5:$H$1008,$L$5),"",INDEX(CuentaUS,_xlfn.AGGREGATE(15,6,ROW('[1]U$S'!$H$5:$H$1008)-ROW('[1]U$S'!$O$5)+1/--('[1]U$S'!$H$5:$H$1008=$L$5),ROWS($D$7:D963)),1))</f>
        <v/>
      </c>
      <c r="E963" s="22" t="str" cm="1">
        <f t="array" ref="E963">IF(ROWS($E$7:E963)&gt;COUNTIF('[1]U$S'!$H$5:$H$1008,$L$5),"",INDEX(CuentaUS,_xlfn.AGGREGATE(15,6,ROW('[1]U$S'!$H$5:$H$1008)-ROW('[1]U$S'!$O$5)+1/--('[1]U$S'!$H$5:$H$1008=$L$5),ROWS($E$7:E963)),6))</f>
        <v/>
      </c>
      <c r="F963" s="22" t="str">
        <f>IF(E963="","",IF(E963&gt;0,SUMIFS('[1]UY$'!$L$5:$L$993,'[1]UY$'!$O$5:$O$993,"Cambio",'[1]UY$'!$E$5:$E$993,'Efecto TC'!D963),""))</f>
        <v/>
      </c>
      <c r="G963" s="23" t="str">
        <f t="shared" si="113"/>
        <v/>
      </c>
      <c r="H963" s="22" t="str">
        <f t="shared" si="114"/>
        <v/>
      </c>
      <c r="I963" s="54" t="str">
        <f t="shared" si="111"/>
        <v/>
      </c>
      <c r="R963" s="24" t="e">
        <f t="shared" si="115"/>
        <v>#VALUE!</v>
      </c>
      <c r="S963" s="25" t="e">
        <f t="shared" si="112"/>
        <v>#VALUE!</v>
      </c>
    </row>
    <row r="964" spans="1:19" x14ac:dyDescent="0.25">
      <c r="A964" t="e">
        <f t="shared" si="109"/>
        <v>#VALUE!</v>
      </c>
      <c r="B964" t="e">
        <f t="shared" si="110"/>
        <v>#VALUE!</v>
      </c>
      <c r="D964" s="21" t="str" cm="1">
        <f t="array" ref="D964">IF(ROWS($D$7:D964)&gt;COUNTIF('[1]U$S'!$H$5:$H$1008,$L$5),"",INDEX(CuentaUS,_xlfn.AGGREGATE(15,6,ROW('[1]U$S'!$H$5:$H$1008)-ROW('[1]U$S'!$O$5)+1/--('[1]U$S'!$H$5:$H$1008=$L$5),ROWS($D$7:D964)),1))</f>
        <v/>
      </c>
      <c r="E964" s="22" t="str" cm="1">
        <f t="array" ref="E964">IF(ROWS($E$7:E964)&gt;COUNTIF('[1]U$S'!$H$5:$H$1008,$L$5),"",INDEX(CuentaUS,_xlfn.AGGREGATE(15,6,ROW('[1]U$S'!$H$5:$H$1008)-ROW('[1]U$S'!$O$5)+1/--('[1]U$S'!$H$5:$H$1008=$L$5),ROWS($E$7:E964)),6))</f>
        <v/>
      </c>
      <c r="F964" s="22" t="str">
        <f>IF(E964="","",IF(E964&gt;0,SUMIFS('[1]UY$'!$L$5:$L$993,'[1]UY$'!$O$5:$O$993,"Cambio",'[1]UY$'!$E$5:$E$993,'Efecto TC'!D964),""))</f>
        <v/>
      </c>
      <c r="G964" s="23" t="str">
        <f t="shared" si="113"/>
        <v/>
      </c>
      <c r="H964" s="22" t="str">
        <f t="shared" si="114"/>
        <v/>
      </c>
      <c r="I964" s="54" t="str">
        <f t="shared" si="111"/>
        <v/>
      </c>
      <c r="R964" s="24" t="e">
        <f t="shared" si="115"/>
        <v>#VALUE!</v>
      </c>
      <c r="S964" s="25" t="e">
        <f t="shared" si="112"/>
        <v>#VALUE!</v>
      </c>
    </row>
    <row r="965" spans="1:19" x14ac:dyDescent="0.25">
      <c r="A965" t="e">
        <f t="shared" si="109"/>
        <v>#VALUE!</v>
      </c>
      <c r="B965" t="e">
        <f t="shared" si="110"/>
        <v>#VALUE!</v>
      </c>
      <c r="D965" s="21" t="str" cm="1">
        <f t="array" ref="D965">IF(ROWS($D$7:D965)&gt;COUNTIF('[1]U$S'!$H$5:$H$1008,$L$5),"",INDEX(CuentaUS,_xlfn.AGGREGATE(15,6,ROW('[1]U$S'!$H$5:$H$1008)-ROW('[1]U$S'!$O$5)+1/--('[1]U$S'!$H$5:$H$1008=$L$5),ROWS($D$7:D965)),1))</f>
        <v/>
      </c>
      <c r="E965" s="22" t="str" cm="1">
        <f t="array" ref="E965">IF(ROWS($E$7:E965)&gt;COUNTIF('[1]U$S'!$H$5:$H$1008,$L$5),"",INDEX(CuentaUS,_xlfn.AGGREGATE(15,6,ROW('[1]U$S'!$H$5:$H$1008)-ROW('[1]U$S'!$O$5)+1/--('[1]U$S'!$H$5:$H$1008=$L$5),ROWS($E$7:E965)),6))</f>
        <v/>
      </c>
      <c r="F965" s="22" t="str">
        <f>IF(E965="","",IF(E965&gt;0,SUMIFS('[1]UY$'!$L$5:$L$993,'[1]UY$'!$O$5:$O$993,"Cambio",'[1]UY$'!$E$5:$E$993,'Efecto TC'!D965),""))</f>
        <v/>
      </c>
      <c r="G965" s="23" t="str">
        <f t="shared" si="113"/>
        <v/>
      </c>
      <c r="H965" s="22" t="str">
        <f t="shared" si="114"/>
        <v/>
      </c>
      <c r="I965" s="54" t="str">
        <f t="shared" si="111"/>
        <v/>
      </c>
      <c r="R965" s="24" t="e">
        <f t="shared" si="115"/>
        <v>#VALUE!</v>
      </c>
      <c r="S965" s="25" t="e">
        <f t="shared" si="112"/>
        <v>#VALUE!</v>
      </c>
    </row>
    <row r="966" spans="1:19" x14ac:dyDescent="0.25">
      <c r="A966" t="e">
        <f t="shared" si="109"/>
        <v>#VALUE!</v>
      </c>
      <c r="B966" t="e">
        <f t="shared" si="110"/>
        <v>#VALUE!</v>
      </c>
      <c r="D966" s="21" t="str" cm="1">
        <f t="array" ref="D966">IF(ROWS($D$7:D966)&gt;COUNTIF('[1]U$S'!$H$5:$H$1008,$L$5),"",INDEX(CuentaUS,_xlfn.AGGREGATE(15,6,ROW('[1]U$S'!$H$5:$H$1008)-ROW('[1]U$S'!$O$5)+1/--('[1]U$S'!$H$5:$H$1008=$L$5),ROWS($D$7:D966)),1))</f>
        <v/>
      </c>
      <c r="E966" s="22" t="str" cm="1">
        <f t="array" ref="E966">IF(ROWS($E$7:E966)&gt;COUNTIF('[1]U$S'!$H$5:$H$1008,$L$5),"",INDEX(CuentaUS,_xlfn.AGGREGATE(15,6,ROW('[1]U$S'!$H$5:$H$1008)-ROW('[1]U$S'!$O$5)+1/--('[1]U$S'!$H$5:$H$1008=$L$5),ROWS($E$7:E966)),6))</f>
        <v/>
      </c>
      <c r="F966" s="22" t="str">
        <f>IF(E966="","",IF(E966&gt;0,SUMIFS('[1]UY$'!$L$5:$L$993,'[1]UY$'!$O$5:$O$993,"Cambio",'[1]UY$'!$E$5:$E$993,'Efecto TC'!D966),""))</f>
        <v/>
      </c>
      <c r="G966" s="23" t="str">
        <f t="shared" si="113"/>
        <v/>
      </c>
      <c r="H966" s="22" t="str">
        <f t="shared" si="114"/>
        <v/>
      </c>
      <c r="I966" s="54" t="str">
        <f t="shared" si="111"/>
        <v/>
      </c>
      <c r="R966" s="24" t="e">
        <f t="shared" si="115"/>
        <v>#VALUE!</v>
      </c>
      <c r="S966" s="25" t="e">
        <f t="shared" si="112"/>
        <v>#VALUE!</v>
      </c>
    </row>
    <row r="967" spans="1:19" x14ac:dyDescent="0.25">
      <c r="A967" t="e">
        <f t="shared" ref="A967:A1000" si="116">MONTH(D967)</f>
        <v>#VALUE!</v>
      </c>
      <c r="B967" t="e">
        <f t="shared" ref="B967:B1000" si="117">YEAR(D967)</f>
        <v>#VALUE!</v>
      </c>
      <c r="D967" s="21" t="str" cm="1">
        <f t="array" ref="D967">IF(ROWS($D$7:D967)&gt;COUNTIF('[1]U$S'!$H$5:$H$1008,$L$5),"",INDEX(CuentaUS,_xlfn.AGGREGATE(15,6,ROW('[1]U$S'!$H$5:$H$1008)-ROW('[1]U$S'!$O$5)+1/--('[1]U$S'!$H$5:$H$1008=$L$5),ROWS($D$7:D967)),1))</f>
        <v/>
      </c>
      <c r="E967" s="22" t="str" cm="1">
        <f t="array" ref="E967">IF(ROWS($E$7:E967)&gt;COUNTIF('[1]U$S'!$H$5:$H$1008,$L$5),"",INDEX(CuentaUS,_xlfn.AGGREGATE(15,6,ROW('[1]U$S'!$H$5:$H$1008)-ROW('[1]U$S'!$O$5)+1/--('[1]U$S'!$H$5:$H$1008=$L$5),ROWS($E$7:E967)),6))</f>
        <v/>
      </c>
      <c r="F967" s="22" t="str">
        <f>IF(E967="","",IF(E967&gt;0,SUMIFS('[1]UY$'!$L$5:$L$993,'[1]UY$'!$O$5:$O$993,"Cambio",'[1]UY$'!$E$5:$E$993,'Efecto TC'!D967),""))</f>
        <v/>
      </c>
      <c r="G967" s="23" t="str">
        <f t="shared" si="113"/>
        <v/>
      </c>
      <c r="H967" s="22" t="str">
        <f t="shared" si="114"/>
        <v/>
      </c>
      <c r="I967" s="54" t="str">
        <f t="shared" si="111"/>
        <v/>
      </c>
      <c r="R967" s="24" t="e">
        <f t="shared" si="115"/>
        <v>#VALUE!</v>
      </c>
      <c r="S967" s="25" t="e">
        <f t="shared" si="112"/>
        <v>#VALUE!</v>
      </c>
    </row>
    <row r="968" spans="1:19" x14ac:dyDescent="0.25">
      <c r="A968" t="e">
        <f t="shared" si="116"/>
        <v>#VALUE!</v>
      </c>
      <c r="B968" t="e">
        <f t="shared" si="117"/>
        <v>#VALUE!</v>
      </c>
      <c r="D968" s="21" t="str" cm="1">
        <f t="array" ref="D968">IF(ROWS($D$7:D968)&gt;COUNTIF('[1]U$S'!$H$5:$H$1008,$L$5),"",INDEX(CuentaUS,_xlfn.AGGREGATE(15,6,ROW('[1]U$S'!$H$5:$H$1008)-ROW('[1]U$S'!$O$5)+1/--('[1]U$S'!$H$5:$H$1008=$L$5),ROWS($D$7:D968)),1))</f>
        <v/>
      </c>
      <c r="E968" s="22" t="str" cm="1">
        <f t="array" ref="E968">IF(ROWS($E$7:E968)&gt;COUNTIF('[1]U$S'!$H$5:$H$1008,$L$5),"",INDEX(CuentaUS,_xlfn.AGGREGATE(15,6,ROW('[1]U$S'!$H$5:$H$1008)-ROW('[1]U$S'!$O$5)+1/--('[1]U$S'!$H$5:$H$1008=$L$5),ROWS($E$7:E968)),6))</f>
        <v/>
      </c>
      <c r="F968" s="22" t="str">
        <f>IF(E968="","",IF(E968&gt;0,SUMIFS('[1]UY$'!$L$5:$L$993,'[1]UY$'!$O$5:$O$993,"Cambio",'[1]UY$'!$E$5:$E$993,'Efecto TC'!D968),""))</f>
        <v/>
      </c>
      <c r="G968" s="23" t="str">
        <f t="shared" si="113"/>
        <v/>
      </c>
      <c r="H968" s="22" t="str">
        <f t="shared" si="114"/>
        <v/>
      </c>
      <c r="I968" s="54" t="str">
        <f t="shared" si="111"/>
        <v/>
      </c>
      <c r="R968" s="24" t="e">
        <f t="shared" si="115"/>
        <v>#VALUE!</v>
      </c>
      <c r="S968" s="25" t="e">
        <f t="shared" si="112"/>
        <v>#VALUE!</v>
      </c>
    </row>
    <row r="969" spans="1:19" x14ac:dyDescent="0.25">
      <c r="A969" t="e">
        <f t="shared" si="116"/>
        <v>#VALUE!</v>
      </c>
      <c r="B969" t="e">
        <f t="shared" si="117"/>
        <v>#VALUE!</v>
      </c>
      <c r="D969" s="21" t="str" cm="1">
        <f t="array" ref="D969">IF(ROWS($D$7:D969)&gt;COUNTIF('[1]U$S'!$H$5:$H$1008,$L$5),"",INDEX(CuentaUS,_xlfn.AGGREGATE(15,6,ROW('[1]U$S'!$H$5:$H$1008)-ROW('[1]U$S'!$O$5)+1/--('[1]U$S'!$H$5:$H$1008=$L$5),ROWS($D$7:D969)),1))</f>
        <v/>
      </c>
      <c r="E969" s="22" t="str" cm="1">
        <f t="array" ref="E969">IF(ROWS($E$7:E969)&gt;COUNTIF('[1]U$S'!$H$5:$H$1008,$L$5),"",INDEX(CuentaUS,_xlfn.AGGREGATE(15,6,ROW('[1]U$S'!$H$5:$H$1008)-ROW('[1]U$S'!$O$5)+1/--('[1]U$S'!$H$5:$H$1008=$L$5),ROWS($E$7:E969)),6))</f>
        <v/>
      </c>
      <c r="F969" s="22" t="str">
        <f>IF(E969="","",IF(E969&gt;0,SUMIFS('[1]UY$'!$L$5:$L$993,'[1]UY$'!$O$5:$O$993,"Cambio",'[1]UY$'!$E$5:$E$993,'Efecto TC'!D969),""))</f>
        <v/>
      </c>
      <c r="G969" s="23" t="str">
        <f t="shared" si="113"/>
        <v/>
      </c>
      <c r="H969" s="22" t="str">
        <f t="shared" si="114"/>
        <v/>
      </c>
      <c r="I969" s="54" t="str">
        <f t="shared" si="111"/>
        <v/>
      </c>
      <c r="R969" s="24" t="e">
        <f t="shared" si="115"/>
        <v>#VALUE!</v>
      </c>
      <c r="S969" s="25" t="e">
        <f t="shared" si="112"/>
        <v>#VALUE!</v>
      </c>
    </row>
    <row r="970" spans="1:19" x14ac:dyDescent="0.25">
      <c r="A970" t="e">
        <f t="shared" si="116"/>
        <v>#VALUE!</v>
      </c>
      <c r="B970" t="e">
        <f t="shared" si="117"/>
        <v>#VALUE!</v>
      </c>
      <c r="D970" s="21" t="str" cm="1">
        <f t="array" ref="D970">IF(ROWS($D$7:D970)&gt;COUNTIF('[1]U$S'!$H$5:$H$1008,$L$5),"",INDEX(CuentaUS,_xlfn.AGGREGATE(15,6,ROW('[1]U$S'!$H$5:$H$1008)-ROW('[1]U$S'!$O$5)+1/--('[1]U$S'!$H$5:$H$1008=$L$5),ROWS($D$7:D970)),1))</f>
        <v/>
      </c>
      <c r="E970" s="22" t="str" cm="1">
        <f t="array" ref="E970">IF(ROWS($E$7:E970)&gt;COUNTIF('[1]U$S'!$H$5:$H$1008,$L$5),"",INDEX(CuentaUS,_xlfn.AGGREGATE(15,6,ROW('[1]U$S'!$H$5:$H$1008)-ROW('[1]U$S'!$O$5)+1/--('[1]U$S'!$H$5:$H$1008=$L$5),ROWS($E$7:E970)),6))</f>
        <v/>
      </c>
      <c r="F970" s="22" t="str">
        <f>IF(E970="","",IF(E970&gt;0,SUMIFS('[1]UY$'!$L$5:$L$993,'[1]UY$'!$O$5:$O$993,"Cambio",'[1]UY$'!$E$5:$E$993,'Efecto TC'!D970),""))</f>
        <v/>
      </c>
      <c r="G970" s="23" t="str">
        <f t="shared" si="113"/>
        <v/>
      </c>
      <c r="H970" s="22" t="str">
        <f t="shared" si="114"/>
        <v/>
      </c>
      <c r="I970" s="54" t="str">
        <f t="shared" ref="I970:I1000" si="118">IF(H970="","",+H970+I969)</f>
        <v/>
      </c>
      <c r="R970" s="24" t="e">
        <f t="shared" si="115"/>
        <v>#VALUE!</v>
      </c>
      <c r="S970" s="25" t="e">
        <f t="shared" si="112"/>
        <v>#VALUE!</v>
      </c>
    </row>
    <row r="971" spans="1:19" x14ac:dyDescent="0.25">
      <c r="A971" t="e">
        <f t="shared" si="116"/>
        <v>#VALUE!</v>
      </c>
      <c r="B971" t="e">
        <f t="shared" si="117"/>
        <v>#VALUE!</v>
      </c>
      <c r="D971" s="21" t="str" cm="1">
        <f t="array" ref="D971">IF(ROWS($D$7:D971)&gt;COUNTIF('[1]U$S'!$H$5:$H$1008,$L$5),"",INDEX(CuentaUS,_xlfn.AGGREGATE(15,6,ROW('[1]U$S'!$H$5:$H$1008)-ROW('[1]U$S'!$O$5)+1/--('[1]U$S'!$H$5:$H$1008=$L$5),ROWS($D$7:D971)),1))</f>
        <v/>
      </c>
      <c r="E971" s="22" t="str" cm="1">
        <f t="array" ref="E971">IF(ROWS($E$7:E971)&gt;COUNTIF('[1]U$S'!$H$5:$H$1008,$L$5),"",INDEX(CuentaUS,_xlfn.AGGREGATE(15,6,ROW('[1]U$S'!$H$5:$H$1008)-ROW('[1]U$S'!$O$5)+1/--('[1]U$S'!$H$5:$H$1008=$L$5),ROWS($E$7:E971)),6))</f>
        <v/>
      </c>
      <c r="F971" s="22" t="str">
        <f>IF(E971="","",IF(E971&gt;0,SUMIFS('[1]UY$'!$L$5:$L$993,'[1]UY$'!$O$5:$O$993,"Cambio",'[1]UY$'!$E$5:$E$993,'Efecto TC'!D971),""))</f>
        <v/>
      </c>
      <c r="G971" s="23" t="str">
        <f t="shared" si="113"/>
        <v/>
      </c>
      <c r="H971" s="22" t="str">
        <f t="shared" si="114"/>
        <v/>
      </c>
      <c r="I971" s="54" t="str">
        <f t="shared" si="118"/>
        <v/>
      </c>
      <c r="R971" s="24" t="e">
        <f t="shared" si="115"/>
        <v>#VALUE!</v>
      </c>
      <c r="S971" s="25" t="e">
        <f t="shared" si="112"/>
        <v>#VALUE!</v>
      </c>
    </row>
    <row r="972" spans="1:19" x14ac:dyDescent="0.25">
      <c r="A972" t="e">
        <f t="shared" si="116"/>
        <v>#VALUE!</v>
      </c>
      <c r="B972" t="e">
        <f t="shared" si="117"/>
        <v>#VALUE!</v>
      </c>
      <c r="D972" s="21" t="str" cm="1">
        <f t="array" ref="D972">IF(ROWS($D$7:D972)&gt;COUNTIF('[1]U$S'!$H$5:$H$1008,$L$5),"",INDEX(CuentaUS,_xlfn.AGGREGATE(15,6,ROW('[1]U$S'!$H$5:$H$1008)-ROW('[1]U$S'!$O$5)+1/--('[1]U$S'!$H$5:$H$1008=$L$5),ROWS($D$7:D972)),1))</f>
        <v/>
      </c>
      <c r="E972" s="22" t="str" cm="1">
        <f t="array" ref="E972">IF(ROWS($E$7:E972)&gt;COUNTIF('[1]U$S'!$H$5:$H$1008,$L$5),"",INDEX(CuentaUS,_xlfn.AGGREGATE(15,6,ROW('[1]U$S'!$H$5:$H$1008)-ROW('[1]U$S'!$O$5)+1/--('[1]U$S'!$H$5:$H$1008=$L$5),ROWS($E$7:E972)),6))</f>
        <v/>
      </c>
      <c r="F972" s="22" t="str">
        <f>IF(E972="","",IF(E972&gt;0,SUMIFS('[1]UY$'!$L$5:$L$993,'[1]UY$'!$O$5:$O$993,"Cambio",'[1]UY$'!$E$5:$E$993,'Efecto TC'!D972),""))</f>
        <v/>
      </c>
      <c r="G972" s="23" t="str">
        <f t="shared" si="113"/>
        <v/>
      </c>
      <c r="H972" s="22" t="str">
        <f t="shared" si="114"/>
        <v/>
      </c>
      <c r="I972" s="54" t="str">
        <f t="shared" si="118"/>
        <v/>
      </c>
      <c r="R972" s="24" t="e">
        <f t="shared" si="115"/>
        <v>#VALUE!</v>
      </c>
      <c r="S972" s="25" t="e">
        <f t="shared" si="112"/>
        <v>#VALUE!</v>
      </c>
    </row>
    <row r="973" spans="1:19" x14ac:dyDescent="0.25">
      <c r="A973" t="e">
        <f t="shared" si="116"/>
        <v>#VALUE!</v>
      </c>
      <c r="B973" t="e">
        <f t="shared" si="117"/>
        <v>#VALUE!</v>
      </c>
      <c r="D973" s="21" t="str" cm="1">
        <f t="array" ref="D973">IF(ROWS($D$7:D973)&gt;COUNTIF('[1]U$S'!$H$5:$H$1008,$L$5),"",INDEX(CuentaUS,_xlfn.AGGREGATE(15,6,ROW('[1]U$S'!$H$5:$H$1008)-ROW('[1]U$S'!$O$5)+1/--('[1]U$S'!$H$5:$H$1008=$L$5),ROWS($D$7:D973)),1))</f>
        <v/>
      </c>
      <c r="E973" s="22" t="str" cm="1">
        <f t="array" ref="E973">IF(ROWS($E$7:E973)&gt;COUNTIF('[1]U$S'!$H$5:$H$1008,$L$5),"",INDEX(CuentaUS,_xlfn.AGGREGATE(15,6,ROW('[1]U$S'!$H$5:$H$1008)-ROW('[1]U$S'!$O$5)+1/--('[1]U$S'!$H$5:$H$1008=$L$5),ROWS($E$7:E973)),6))</f>
        <v/>
      </c>
      <c r="F973" s="22" t="str">
        <f>IF(E973="","",IF(E973&gt;0,SUMIFS('[1]UY$'!$L$5:$L$993,'[1]UY$'!$O$5:$O$993,"Cambio",'[1]UY$'!$E$5:$E$993,'Efecto TC'!D973),""))</f>
        <v/>
      </c>
      <c r="G973" s="23" t="str">
        <f t="shared" si="113"/>
        <v/>
      </c>
      <c r="H973" s="22" t="str">
        <f t="shared" si="114"/>
        <v/>
      </c>
      <c r="I973" s="54" t="str">
        <f t="shared" si="118"/>
        <v/>
      </c>
      <c r="R973" s="24" t="e">
        <f t="shared" si="115"/>
        <v>#VALUE!</v>
      </c>
      <c r="S973" s="25" t="e">
        <f t="shared" si="112"/>
        <v>#VALUE!</v>
      </c>
    </row>
    <row r="974" spans="1:19" x14ac:dyDescent="0.25">
      <c r="A974" t="e">
        <f t="shared" si="116"/>
        <v>#VALUE!</v>
      </c>
      <c r="B974" t="e">
        <f t="shared" si="117"/>
        <v>#VALUE!</v>
      </c>
      <c r="D974" s="21" t="str" cm="1">
        <f t="array" ref="D974">IF(ROWS($D$7:D974)&gt;COUNTIF('[1]U$S'!$H$5:$H$1008,$L$5),"",INDEX(CuentaUS,_xlfn.AGGREGATE(15,6,ROW('[1]U$S'!$H$5:$H$1008)-ROW('[1]U$S'!$O$5)+1/--('[1]U$S'!$H$5:$H$1008=$L$5),ROWS($D$7:D974)),1))</f>
        <v/>
      </c>
      <c r="E974" s="22" t="str" cm="1">
        <f t="array" ref="E974">IF(ROWS($E$7:E974)&gt;COUNTIF('[1]U$S'!$H$5:$H$1008,$L$5),"",INDEX(CuentaUS,_xlfn.AGGREGATE(15,6,ROW('[1]U$S'!$H$5:$H$1008)-ROW('[1]U$S'!$O$5)+1/--('[1]U$S'!$H$5:$H$1008=$L$5),ROWS($E$7:E974)),6))</f>
        <v/>
      </c>
      <c r="F974" s="22" t="str">
        <f>IF(E974="","",IF(E974&gt;0,SUMIFS('[1]UY$'!$L$5:$L$993,'[1]UY$'!$O$5:$O$993,"Cambio",'[1]UY$'!$E$5:$E$993,'Efecto TC'!D974),""))</f>
        <v/>
      </c>
      <c r="G974" s="23" t="str">
        <f t="shared" si="113"/>
        <v/>
      </c>
      <c r="H974" s="22" t="str">
        <f t="shared" si="114"/>
        <v/>
      </c>
      <c r="I974" s="54" t="str">
        <f t="shared" si="118"/>
        <v/>
      </c>
      <c r="R974" s="24" t="e">
        <f t="shared" si="115"/>
        <v>#VALUE!</v>
      </c>
      <c r="S974" s="25" t="e">
        <f t="shared" si="112"/>
        <v>#VALUE!</v>
      </c>
    </row>
    <row r="975" spans="1:19" x14ac:dyDescent="0.25">
      <c r="A975" t="e">
        <f t="shared" si="116"/>
        <v>#VALUE!</v>
      </c>
      <c r="B975" t="e">
        <f t="shared" si="117"/>
        <v>#VALUE!</v>
      </c>
      <c r="D975" s="21" t="str" cm="1">
        <f t="array" ref="D975">IF(ROWS($D$7:D975)&gt;COUNTIF('[1]U$S'!$H$5:$H$1008,$L$5),"",INDEX(CuentaUS,_xlfn.AGGREGATE(15,6,ROW('[1]U$S'!$H$5:$H$1008)-ROW('[1]U$S'!$O$5)+1/--('[1]U$S'!$H$5:$H$1008=$L$5),ROWS($D$7:D975)),1))</f>
        <v/>
      </c>
      <c r="E975" s="22" t="str" cm="1">
        <f t="array" ref="E975">IF(ROWS($E$7:E975)&gt;COUNTIF('[1]U$S'!$H$5:$H$1008,$L$5),"",INDEX(CuentaUS,_xlfn.AGGREGATE(15,6,ROW('[1]U$S'!$H$5:$H$1008)-ROW('[1]U$S'!$O$5)+1/--('[1]U$S'!$H$5:$H$1008=$L$5),ROWS($E$7:E975)),6))</f>
        <v/>
      </c>
      <c r="F975" s="22" t="str">
        <f>IF(E975="","",IF(E975&gt;0,SUMIFS('[1]UY$'!$L$5:$L$993,'[1]UY$'!$O$5:$O$993,"Cambio",'[1]UY$'!$E$5:$E$993,'Efecto TC'!D975),""))</f>
        <v/>
      </c>
      <c r="G975" s="23" t="str">
        <f t="shared" si="113"/>
        <v/>
      </c>
      <c r="H975" s="22" t="str">
        <f t="shared" si="114"/>
        <v/>
      </c>
      <c r="I975" s="54" t="str">
        <f t="shared" si="118"/>
        <v/>
      </c>
      <c r="R975" s="24" t="e">
        <f t="shared" si="115"/>
        <v>#VALUE!</v>
      </c>
      <c r="S975" s="25" t="e">
        <f t="shared" si="112"/>
        <v>#VALUE!</v>
      </c>
    </row>
    <row r="976" spans="1:19" x14ac:dyDescent="0.25">
      <c r="A976" t="e">
        <f t="shared" si="116"/>
        <v>#VALUE!</v>
      </c>
      <c r="B976" t="e">
        <f t="shared" si="117"/>
        <v>#VALUE!</v>
      </c>
      <c r="D976" s="21" t="str" cm="1">
        <f t="array" ref="D976">IF(ROWS($D$7:D976)&gt;COUNTIF('[1]U$S'!$H$5:$H$1008,$L$5),"",INDEX(CuentaUS,_xlfn.AGGREGATE(15,6,ROW('[1]U$S'!$H$5:$H$1008)-ROW('[1]U$S'!$O$5)+1/--('[1]U$S'!$H$5:$H$1008=$L$5),ROWS($D$7:D976)),1))</f>
        <v/>
      </c>
      <c r="E976" s="22" t="str" cm="1">
        <f t="array" ref="E976">IF(ROWS($E$7:E976)&gt;COUNTIF('[1]U$S'!$H$5:$H$1008,$L$5),"",INDEX(CuentaUS,_xlfn.AGGREGATE(15,6,ROW('[1]U$S'!$H$5:$H$1008)-ROW('[1]U$S'!$O$5)+1/--('[1]U$S'!$H$5:$H$1008=$L$5),ROWS($E$7:E976)),6))</f>
        <v/>
      </c>
      <c r="F976" s="22" t="str">
        <f>IF(E976="","",IF(E976&gt;0,SUMIFS('[1]UY$'!$L$5:$L$993,'[1]UY$'!$O$5:$O$993,"Cambio",'[1]UY$'!$E$5:$E$993,'Efecto TC'!D976),""))</f>
        <v/>
      </c>
      <c r="G976" s="23" t="str">
        <f t="shared" si="113"/>
        <v/>
      </c>
      <c r="H976" s="22" t="str">
        <f t="shared" si="114"/>
        <v/>
      </c>
      <c r="I976" s="54" t="str">
        <f t="shared" si="118"/>
        <v/>
      </c>
      <c r="R976" s="24" t="e">
        <f t="shared" si="115"/>
        <v>#VALUE!</v>
      </c>
      <c r="S976" s="25" t="e">
        <f t="shared" si="112"/>
        <v>#VALUE!</v>
      </c>
    </row>
    <row r="977" spans="1:19" x14ac:dyDescent="0.25">
      <c r="A977" t="e">
        <f t="shared" si="116"/>
        <v>#VALUE!</v>
      </c>
      <c r="B977" t="e">
        <f t="shared" si="117"/>
        <v>#VALUE!</v>
      </c>
      <c r="D977" s="21" t="str" cm="1">
        <f t="array" ref="D977">IF(ROWS($D$7:D977)&gt;COUNTIF('[1]U$S'!$H$5:$H$1008,$L$5),"",INDEX(CuentaUS,_xlfn.AGGREGATE(15,6,ROW('[1]U$S'!$H$5:$H$1008)-ROW('[1]U$S'!$O$5)+1/--('[1]U$S'!$H$5:$H$1008=$L$5),ROWS($D$7:D977)),1))</f>
        <v/>
      </c>
      <c r="E977" s="22" t="str" cm="1">
        <f t="array" ref="E977">IF(ROWS($E$7:E977)&gt;COUNTIF('[1]U$S'!$H$5:$H$1008,$L$5),"",INDEX(CuentaUS,_xlfn.AGGREGATE(15,6,ROW('[1]U$S'!$H$5:$H$1008)-ROW('[1]U$S'!$O$5)+1/--('[1]U$S'!$H$5:$H$1008=$L$5),ROWS($E$7:E977)),6))</f>
        <v/>
      </c>
      <c r="F977" s="22" t="str">
        <f>IF(E977="","",IF(E977&gt;0,SUMIFS('[1]UY$'!$L$5:$L$993,'[1]UY$'!$O$5:$O$993,"Cambio",'[1]UY$'!$E$5:$E$993,'Efecto TC'!D977),""))</f>
        <v/>
      </c>
      <c r="G977" s="23" t="str">
        <f t="shared" si="113"/>
        <v/>
      </c>
      <c r="H977" s="22" t="str">
        <f t="shared" si="114"/>
        <v/>
      </c>
      <c r="I977" s="54" t="str">
        <f t="shared" si="118"/>
        <v/>
      </c>
      <c r="R977" s="24" t="e">
        <f t="shared" si="115"/>
        <v>#VALUE!</v>
      </c>
      <c r="S977" s="25" t="e">
        <f t="shared" si="112"/>
        <v>#VALUE!</v>
      </c>
    </row>
    <row r="978" spans="1:19" x14ac:dyDescent="0.25">
      <c r="A978" t="e">
        <f t="shared" si="116"/>
        <v>#VALUE!</v>
      </c>
      <c r="B978" t="e">
        <f t="shared" si="117"/>
        <v>#VALUE!</v>
      </c>
      <c r="D978" s="21" t="str" cm="1">
        <f t="array" ref="D978">IF(ROWS($D$7:D978)&gt;COUNTIF('[1]U$S'!$H$5:$H$1008,$L$5),"",INDEX(CuentaUS,_xlfn.AGGREGATE(15,6,ROW('[1]U$S'!$H$5:$H$1008)-ROW('[1]U$S'!$O$5)+1/--('[1]U$S'!$H$5:$H$1008=$L$5),ROWS($D$7:D978)),1))</f>
        <v/>
      </c>
      <c r="E978" s="22" t="str" cm="1">
        <f t="array" ref="E978">IF(ROWS($E$7:E978)&gt;COUNTIF('[1]U$S'!$H$5:$H$1008,$L$5),"",INDEX(CuentaUS,_xlfn.AGGREGATE(15,6,ROW('[1]U$S'!$H$5:$H$1008)-ROW('[1]U$S'!$O$5)+1/--('[1]U$S'!$H$5:$H$1008=$L$5),ROWS($E$7:E978)),6))</f>
        <v/>
      </c>
      <c r="F978" s="22" t="str">
        <f>IF(E978="","",IF(E978&gt;0,SUMIFS('[1]UY$'!$L$5:$L$993,'[1]UY$'!$O$5:$O$993,"Cambio",'[1]UY$'!$E$5:$E$993,'Efecto TC'!D978),""))</f>
        <v/>
      </c>
      <c r="G978" s="23" t="str">
        <f t="shared" si="113"/>
        <v/>
      </c>
      <c r="H978" s="22" t="str">
        <f t="shared" si="114"/>
        <v/>
      </c>
      <c r="I978" s="54" t="str">
        <f t="shared" si="118"/>
        <v/>
      </c>
      <c r="R978" s="24" t="e">
        <f t="shared" si="115"/>
        <v>#VALUE!</v>
      </c>
      <c r="S978" s="25" t="e">
        <f t="shared" si="112"/>
        <v>#VALUE!</v>
      </c>
    </row>
    <row r="979" spans="1:19" x14ac:dyDescent="0.25">
      <c r="A979" t="e">
        <f t="shared" si="116"/>
        <v>#VALUE!</v>
      </c>
      <c r="B979" t="e">
        <f t="shared" si="117"/>
        <v>#VALUE!</v>
      </c>
      <c r="D979" s="21" t="str" cm="1">
        <f t="array" ref="D979">IF(ROWS($D$7:D979)&gt;COUNTIF('[1]U$S'!$H$5:$H$1008,$L$5),"",INDEX(CuentaUS,_xlfn.AGGREGATE(15,6,ROW('[1]U$S'!$H$5:$H$1008)-ROW('[1]U$S'!$O$5)+1/--('[1]U$S'!$H$5:$H$1008=$L$5),ROWS($D$7:D979)),1))</f>
        <v/>
      </c>
      <c r="E979" s="22" t="str" cm="1">
        <f t="array" ref="E979">IF(ROWS($E$7:E979)&gt;COUNTIF('[1]U$S'!$H$5:$H$1008,$L$5),"",INDEX(CuentaUS,_xlfn.AGGREGATE(15,6,ROW('[1]U$S'!$H$5:$H$1008)-ROW('[1]U$S'!$O$5)+1/--('[1]U$S'!$H$5:$H$1008=$L$5),ROWS($E$7:E979)),6))</f>
        <v/>
      </c>
      <c r="F979" s="22" t="str">
        <f>IF(E979="","",IF(E979&gt;0,SUMIFS('[1]UY$'!$L$5:$L$993,'[1]UY$'!$O$5:$O$993,"Cambio",'[1]UY$'!$E$5:$E$993,'Efecto TC'!D979),""))</f>
        <v/>
      </c>
      <c r="G979" s="23" t="str">
        <f t="shared" si="113"/>
        <v/>
      </c>
      <c r="H979" s="22" t="str">
        <f t="shared" si="114"/>
        <v/>
      </c>
      <c r="I979" s="54" t="str">
        <f t="shared" si="118"/>
        <v/>
      </c>
      <c r="R979" s="24" t="e">
        <f t="shared" si="115"/>
        <v>#VALUE!</v>
      </c>
      <c r="S979" s="25" t="e">
        <f t="shared" si="112"/>
        <v>#VALUE!</v>
      </c>
    </row>
    <row r="980" spans="1:19" x14ac:dyDescent="0.25">
      <c r="A980" t="e">
        <f t="shared" si="116"/>
        <v>#VALUE!</v>
      </c>
      <c r="B980" t="e">
        <f t="shared" si="117"/>
        <v>#VALUE!</v>
      </c>
      <c r="D980" s="21" t="str" cm="1">
        <f t="array" ref="D980">IF(ROWS($D$7:D980)&gt;COUNTIF('[1]U$S'!$H$5:$H$1008,$L$5),"",INDEX(CuentaUS,_xlfn.AGGREGATE(15,6,ROW('[1]U$S'!$H$5:$H$1008)-ROW('[1]U$S'!$O$5)+1/--('[1]U$S'!$H$5:$H$1008=$L$5),ROWS($D$7:D980)),1))</f>
        <v/>
      </c>
      <c r="E980" s="22" t="str" cm="1">
        <f t="array" ref="E980">IF(ROWS($E$7:E980)&gt;COUNTIF('[1]U$S'!$H$5:$H$1008,$L$5),"",INDEX(CuentaUS,_xlfn.AGGREGATE(15,6,ROW('[1]U$S'!$H$5:$H$1008)-ROW('[1]U$S'!$O$5)+1/--('[1]U$S'!$H$5:$H$1008=$L$5),ROWS($E$7:E980)),6))</f>
        <v/>
      </c>
      <c r="F980" s="22" t="str">
        <f>IF(E980="","",IF(E980&gt;0,SUMIFS('[1]UY$'!$L$5:$L$993,'[1]UY$'!$O$5:$O$993,"Cambio",'[1]UY$'!$E$5:$E$993,'Efecto TC'!D980),""))</f>
        <v/>
      </c>
      <c r="G980" s="23" t="str">
        <f t="shared" si="113"/>
        <v/>
      </c>
      <c r="H980" s="22" t="str">
        <f t="shared" si="114"/>
        <v/>
      </c>
      <c r="I980" s="54" t="str">
        <f t="shared" si="118"/>
        <v/>
      </c>
      <c r="R980" s="24" t="e">
        <f t="shared" si="115"/>
        <v>#VALUE!</v>
      </c>
      <c r="S980" s="25" t="e">
        <f t="shared" si="112"/>
        <v>#VALUE!</v>
      </c>
    </row>
    <row r="981" spans="1:19" x14ac:dyDescent="0.25">
      <c r="A981" t="e">
        <f t="shared" si="116"/>
        <v>#VALUE!</v>
      </c>
      <c r="B981" t="e">
        <f t="shared" si="117"/>
        <v>#VALUE!</v>
      </c>
      <c r="D981" s="21" t="str" cm="1">
        <f t="array" ref="D981">IF(ROWS($D$7:D981)&gt;COUNTIF('[1]U$S'!$H$5:$H$1008,$L$5),"",INDEX(CuentaUS,_xlfn.AGGREGATE(15,6,ROW('[1]U$S'!$H$5:$H$1008)-ROW('[1]U$S'!$O$5)+1/--('[1]U$S'!$H$5:$H$1008=$L$5),ROWS($D$7:D981)),1))</f>
        <v/>
      </c>
      <c r="E981" s="22" t="str" cm="1">
        <f t="array" ref="E981">IF(ROWS($E$7:E981)&gt;COUNTIF('[1]U$S'!$H$5:$H$1008,$L$5),"",INDEX(CuentaUS,_xlfn.AGGREGATE(15,6,ROW('[1]U$S'!$H$5:$H$1008)-ROW('[1]U$S'!$O$5)+1/--('[1]U$S'!$H$5:$H$1008=$L$5),ROWS($E$7:E981)),6))</f>
        <v/>
      </c>
      <c r="F981" s="22" t="str">
        <f>IF(E981="","",IF(E981&gt;0,SUMIFS('[1]UY$'!$L$5:$L$993,'[1]UY$'!$O$5:$O$993,"Cambio",'[1]UY$'!$E$5:$E$993,'Efecto TC'!D981),""))</f>
        <v/>
      </c>
      <c r="G981" s="23" t="str">
        <f t="shared" si="113"/>
        <v/>
      </c>
      <c r="H981" s="22" t="str">
        <f t="shared" si="114"/>
        <v/>
      </c>
      <c r="I981" s="54" t="str">
        <f t="shared" si="118"/>
        <v/>
      </c>
      <c r="R981" s="24" t="e">
        <f t="shared" si="115"/>
        <v>#VALUE!</v>
      </c>
      <c r="S981" s="25" t="e">
        <f t="shared" si="112"/>
        <v>#VALUE!</v>
      </c>
    </row>
    <row r="982" spans="1:19" x14ac:dyDescent="0.25">
      <c r="A982" t="e">
        <f t="shared" si="116"/>
        <v>#VALUE!</v>
      </c>
      <c r="B982" t="e">
        <f t="shared" si="117"/>
        <v>#VALUE!</v>
      </c>
      <c r="D982" s="21" t="str" cm="1">
        <f t="array" ref="D982">IF(ROWS($D$7:D982)&gt;COUNTIF('[1]U$S'!$H$5:$H$1008,$L$5),"",INDEX(CuentaUS,_xlfn.AGGREGATE(15,6,ROW('[1]U$S'!$H$5:$H$1008)-ROW('[1]U$S'!$O$5)+1/--('[1]U$S'!$H$5:$H$1008=$L$5),ROWS($D$7:D982)),1))</f>
        <v/>
      </c>
      <c r="E982" s="22" t="str" cm="1">
        <f t="array" ref="E982">IF(ROWS($E$7:E982)&gt;COUNTIF('[1]U$S'!$H$5:$H$1008,$L$5),"",INDEX(CuentaUS,_xlfn.AGGREGATE(15,6,ROW('[1]U$S'!$H$5:$H$1008)-ROW('[1]U$S'!$O$5)+1/--('[1]U$S'!$H$5:$H$1008=$L$5),ROWS($E$7:E982)),6))</f>
        <v/>
      </c>
      <c r="F982" s="22" t="str">
        <f>IF(E982="","",IF(E982&gt;0,SUMIFS('[1]UY$'!$L$5:$L$993,'[1]UY$'!$O$5:$O$993,"Cambio",'[1]UY$'!$E$5:$E$993,'Efecto TC'!D982),""))</f>
        <v/>
      </c>
      <c r="G982" s="23" t="str">
        <f t="shared" si="113"/>
        <v/>
      </c>
      <c r="H982" s="22" t="str">
        <f t="shared" si="114"/>
        <v/>
      </c>
      <c r="I982" s="54" t="str">
        <f t="shared" si="118"/>
        <v/>
      </c>
      <c r="R982" s="24" t="e">
        <f t="shared" si="115"/>
        <v>#VALUE!</v>
      </c>
      <c r="S982" s="25" t="e">
        <f t="shared" si="112"/>
        <v>#VALUE!</v>
      </c>
    </row>
    <row r="983" spans="1:19" x14ac:dyDescent="0.25">
      <c r="A983" t="e">
        <f t="shared" si="116"/>
        <v>#VALUE!</v>
      </c>
      <c r="B983" t="e">
        <f t="shared" si="117"/>
        <v>#VALUE!</v>
      </c>
      <c r="D983" s="21" t="str" cm="1">
        <f t="array" ref="D983">IF(ROWS($D$7:D983)&gt;COUNTIF('[1]U$S'!$H$5:$H$1008,$L$5),"",INDEX(CuentaUS,_xlfn.AGGREGATE(15,6,ROW('[1]U$S'!$H$5:$H$1008)-ROW('[1]U$S'!$O$5)+1/--('[1]U$S'!$H$5:$H$1008=$L$5),ROWS($D$7:D983)),1))</f>
        <v/>
      </c>
      <c r="E983" s="22" t="str" cm="1">
        <f t="array" ref="E983">IF(ROWS($E$7:E983)&gt;COUNTIF('[1]U$S'!$H$5:$H$1008,$L$5),"",INDEX(CuentaUS,_xlfn.AGGREGATE(15,6,ROW('[1]U$S'!$H$5:$H$1008)-ROW('[1]U$S'!$O$5)+1/--('[1]U$S'!$H$5:$H$1008=$L$5),ROWS($E$7:E983)),6))</f>
        <v/>
      </c>
      <c r="F983" s="22" t="str">
        <f>IF(E983="","",IF(E983&gt;0,SUMIFS('[1]UY$'!$L$5:$L$993,'[1]UY$'!$O$5:$O$993,"Cambio",'[1]UY$'!$E$5:$E$993,'Efecto TC'!D983),""))</f>
        <v/>
      </c>
      <c r="G983" s="23" t="str">
        <f t="shared" si="113"/>
        <v/>
      </c>
      <c r="H983" s="22" t="str">
        <f t="shared" si="114"/>
        <v/>
      </c>
      <c r="I983" s="54" t="str">
        <f t="shared" si="118"/>
        <v/>
      </c>
      <c r="R983" s="24" t="e">
        <f t="shared" si="115"/>
        <v>#VALUE!</v>
      </c>
      <c r="S983" s="25" t="e">
        <f t="shared" si="112"/>
        <v>#VALUE!</v>
      </c>
    </row>
    <row r="984" spans="1:19" x14ac:dyDescent="0.25">
      <c r="A984" t="e">
        <f t="shared" si="116"/>
        <v>#VALUE!</v>
      </c>
      <c r="B984" t="e">
        <f t="shared" si="117"/>
        <v>#VALUE!</v>
      </c>
      <c r="D984" s="21" t="str" cm="1">
        <f t="array" ref="D984">IF(ROWS($D$7:D984)&gt;COUNTIF('[1]U$S'!$H$5:$H$1008,$L$5),"",INDEX(CuentaUS,_xlfn.AGGREGATE(15,6,ROW('[1]U$S'!$H$5:$H$1008)-ROW('[1]U$S'!$O$5)+1/--('[1]U$S'!$H$5:$H$1008=$L$5),ROWS($D$7:D984)),1))</f>
        <v/>
      </c>
      <c r="E984" s="22" t="str" cm="1">
        <f t="array" ref="E984">IF(ROWS($E$7:E984)&gt;COUNTIF('[1]U$S'!$H$5:$H$1008,$L$5),"",INDEX(CuentaUS,_xlfn.AGGREGATE(15,6,ROW('[1]U$S'!$H$5:$H$1008)-ROW('[1]U$S'!$O$5)+1/--('[1]U$S'!$H$5:$H$1008=$L$5),ROWS($E$7:E984)),6))</f>
        <v/>
      </c>
      <c r="F984" s="22" t="str">
        <f>IF(E984="","",IF(E984&gt;0,SUMIFS('[1]UY$'!$L$5:$L$993,'[1]UY$'!$O$5:$O$993,"Cambio",'[1]UY$'!$E$5:$E$993,'Efecto TC'!D984),""))</f>
        <v/>
      </c>
      <c r="G984" s="23" t="str">
        <f t="shared" si="113"/>
        <v/>
      </c>
      <c r="H984" s="22" t="str">
        <f t="shared" si="114"/>
        <v/>
      </c>
      <c r="I984" s="54" t="str">
        <f t="shared" si="118"/>
        <v/>
      </c>
      <c r="R984" s="24" t="e">
        <f t="shared" si="115"/>
        <v>#VALUE!</v>
      </c>
      <c r="S984" s="25" t="e">
        <f t="shared" si="112"/>
        <v>#VALUE!</v>
      </c>
    </row>
    <row r="985" spans="1:19" x14ac:dyDescent="0.25">
      <c r="A985" t="e">
        <f t="shared" si="116"/>
        <v>#VALUE!</v>
      </c>
      <c r="B985" t="e">
        <f t="shared" si="117"/>
        <v>#VALUE!</v>
      </c>
      <c r="D985" s="21" t="str" cm="1">
        <f t="array" ref="D985">IF(ROWS($D$7:D985)&gt;COUNTIF('[1]U$S'!$H$5:$H$1008,$L$5),"",INDEX(CuentaUS,_xlfn.AGGREGATE(15,6,ROW('[1]U$S'!$H$5:$H$1008)-ROW('[1]U$S'!$O$5)+1/--('[1]U$S'!$H$5:$H$1008=$L$5),ROWS($D$7:D985)),1))</f>
        <v/>
      </c>
      <c r="E985" s="22" t="str" cm="1">
        <f t="array" ref="E985">IF(ROWS($E$7:E985)&gt;COUNTIF('[1]U$S'!$H$5:$H$1008,$L$5),"",INDEX(CuentaUS,_xlfn.AGGREGATE(15,6,ROW('[1]U$S'!$H$5:$H$1008)-ROW('[1]U$S'!$O$5)+1/--('[1]U$S'!$H$5:$H$1008=$L$5),ROWS($E$7:E985)),6))</f>
        <v/>
      </c>
      <c r="F985" s="22" t="str">
        <f>IF(E985="","",IF(E985&gt;0,SUMIFS('[1]UY$'!$L$5:$L$993,'[1]UY$'!$O$5:$O$993,"Cambio",'[1]UY$'!$E$5:$E$993,'Efecto TC'!D985),""))</f>
        <v/>
      </c>
      <c r="G985" s="23" t="str">
        <f t="shared" si="113"/>
        <v/>
      </c>
      <c r="H985" s="22" t="str">
        <f t="shared" si="114"/>
        <v/>
      </c>
      <c r="I985" s="54" t="str">
        <f t="shared" si="118"/>
        <v/>
      </c>
      <c r="R985" s="24" t="e">
        <f t="shared" si="115"/>
        <v>#VALUE!</v>
      </c>
      <c r="S985" s="25" t="e">
        <f t="shared" si="112"/>
        <v>#VALUE!</v>
      </c>
    </row>
    <row r="986" spans="1:19" x14ac:dyDescent="0.25">
      <c r="A986" t="e">
        <f t="shared" si="116"/>
        <v>#VALUE!</v>
      </c>
      <c r="B986" t="e">
        <f t="shared" si="117"/>
        <v>#VALUE!</v>
      </c>
      <c r="D986" s="21" t="str" cm="1">
        <f t="array" ref="D986">IF(ROWS($D$7:D986)&gt;COUNTIF('[1]U$S'!$H$5:$H$1008,$L$5),"",INDEX(CuentaUS,_xlfn.AGGREGATE(15,6,ROW('[1]U$S'!$H$5:$H$1008)-ROW('[1]U$S'!$O$5)+1/--('[1]U$S'!$H$5:$H$1008=$L$5),ROWS($D$7:D986)),1))</f>
        <v/>
      </c>
      <c r="E986" s="22" t="str" cm="1">
        <f t="array" ref="E986">IF(ROWS($E$7:E986)&gt;COUNTIF('[1]U$S'!$H$5:$H$1008,$L$5),"",INDEX(CuentaUS,_xlfn.AGGREGATE(15,6,ROW('[1]U$S'!$H$5:$H$1008)-ROW('[1]U$S'!$O$5)+1/--('[1]U$S'!$H$5:$H$1008=$L$5),ROWS($E$7:E986)),6))</f>
        <v/>
      </c>
      <c r="F986" s="22" t="str">
        <f>IF(E986="","",IF(E986&gt;0,SUMIFS('[1]UY$'!$L$5:$L$993,'[1]UY$'!$O$5:$O$993,"Cambio",'[1]UY$'!$E$5:$E$993,'Efecto TC'!D986),""))</f>
        <v/>
      </c>
      <c r="G986" s="23" t="str">
        <f t="shared" si="113"/>
        <v/>
      </c>
      <c r="H986" s="22" t="str">
        <f t="shared" si="114"/>
        <v/>
      </c>
      <c r="I986" s="54" t="str">
        <f t="shared" si="118"/>
        <v/>
      </c>
      <c r="R986" s="24" t="e">
        <f t="shared" si="115"/>
        <v>#VALUE!</v>
      </c>
      <c r="S986" s="25" t="e">
        <f t="shared" si="112"/>
        <v>#VALUE!</v>
      </c>
    </row>
    <row r="987" spans="1:19" x14ac:dyDescent="0.25">
      <c r="A987" t="e">
        <f t="shared" si="116"/>
        <v>#VALUE!</v>
      </c>
      <c r="B987" t="e">
        <f t="shared" si="117"/>
        <v>#VALUE!</v>
      </c>
      <c r="D987" s="21" t="str" cm="1">
        <f t="array" ref="D987">IF(ROWS($D$7:D987)&gt;COUNTIF('[1]U$S'!$H$5:$H$1008,$L$5),"",INDEX(CuentaUS,_xlfn.AGGREGATE(15,6,ROW('[1]U$S'!$H$5:$H$1008)-ROW('[1]U$S'!$O$5)+1/--('[1]U$S'!$H$5:$H$1008=$L$5),ROWS($D$7:D987)),1))</f>
        <v/>
      </c>
      <c r="E987" s="22" t="str" cm="1">
        <f t="array" ref="E987">IF(ROWS($E$7:E987)&gt;COUNTIF('[1]U$S'!$H$5:$H$1008,$L$5),"",INDEX(CuentaUS,_xlfn.AGGREGATE(15,6,ROW('[1]U$S'!$H$5:$H$1008)-ROW('[1]U$S'!$O$5)+1/--('[1]U$S'!$H$5:$H$1008=$L$5),ROWS($E$7:E987)),6))</f>
        <v/>
      </c>
      <c r="F987" s="22" t="str">
        <f>IF(E987="","",IF(E987&gt;0,SUMIFS('[1]UY$'!$L$5:$L$993,'[1]UY$'!$O$5:$O$993,"Cambio",'[1]UY$'!$E$5:$E$993,'Efecto TC'!D987),""))</f>
        <v/>
      </c>
      <c r="G987" s="23" t="str">
        <f t="shared" si="113"/>
        <v/>
      </c>
      <c r="H987" s="22" t="str">
        <f t="shared" si="114"/>
        <v/>
      </c>
      <c r="I987" s="54" t="str">
        <f t="shared" si="118"/>
        <v/>
      </c>
      <c r="R987" s="24" t="e">
        <f t="shared" si="115"/>
        <v>#VALUE!</v>
      </c>
      <c r="S987" s="25" t="e">
        <f t="shared" ref="S987:S1050" si="119">R987*G981</f>
        <v>#VALUE!</v>
      </c>
    </row>
    <row r="988" spans="1:19" x14ac:dyDescent="0.25">
      <c r="A988" t="e">
        <f t="shared" si="116"/>
        <v>#VALUE!</v>
      </c>
      <c r="B988" t="e">
        <f t="shared" si="117"/>
        <v>#VALUE!</v>
      </c>
      <c r="D988" s="21" t="str" cm="1">
        <f t="array" ref="D988">IF(ROWS($D$7:D988)&gt;COUNTIF('[1]U$S'!$H$5:$H$1008,$L$5),"",INDEX(CuentaUS,_xlfn.AGGREGATE(15,6,ROW('[1]U$S'!$H$5:$H$1008)-ROW('[1]U$S'!$O$5)+1/--('[1]U$S'!$H$5:$H$1008=$L$5),ROWS($D$7:D988)),1))</f>
        <v/>
      </c>
      <c r="E988" s="22" t="str" cm="1">
        <f t="array" ref="E988">IF(ROWS($E$7:E988)&gt;COUNTIF('[1]U$S'!$H$5:$H$1008,$L$5),"",INDEX(CuentaUS,_xlfn.AGGREGATE(15,6,ROW('[1]U$S'!$H$5:$H$1008)-ROW('[1]U$S'!$O$5)+1/--('[1]U$S'!$H$5:$H$1008=$L$5),ROWS($E$7:E988)),6))</f>
        <v/>
      </c>
      <c r="F988" s="22" t="str">
        <f>IF(E988="","",IF(E988&gt;0,SUMIFS('[1]UY$'!$L$5:$L$993,'[1]UY$'!$O$5:$O$993,"Cambio",'[1]UY$'!$E$5:$E$993,'Efecto TC'!D988),""))</f>
        <v/>
      </c>
      <c r="G988" s="23" t="str">
        <f t="shared" si="113"/>
        <v/>
      </c>
      <c r="H988" s="22" t="str">
        <f t="shared" si="114"/>
        <v/>
      </c>
      <c r="I988" s="54" t="str">
        <f t="shared" si="118"/>
        <v/>
      </c>
      <c r="R988" s="24" t="e">
        <f t="shared" si="115"/>
        <v>#VALUE!</v>
      </c>
      <c r="S988" s="25" t="e">
        <f t="shared" si="119"/>
        <v>#VALUE!</v>
      </c>
    </row>
    <row r="989" spans="1:19" x14ac:dyDescent="0.25">
      <c r="A989" t="e">
        <f t="shared" si="116"/>
        <v>#VALUE!</v>
      </c>
      <c r="B989" t="e">
        <f t="shared" si="117"/>
        <v>#VALUE!</v>
      </c>
      <c r="D989" s="21" t="str" cm="1">
        <f t="array" ref="D989">IF(ROWS($D$7:D989)&gt;COUNTIF('[1]U$S'!$H$5:$H$1008,$L$5),"",INDEX(CuentaUS,_xlfn.AGGREGATE(15,6,ROW('[1]U$S'!$H$5:$H$1008)-ROW('[1]U$S'!$O$5)+1/--('[1]U$S'!$H$5:$H$1008=$L$5),ROWS($D$7:D989)),1))</f>
        <v/>
      </c>
      <c r="E989" s="22" t="str" cm="1">
        <f t="array" ref="E989">IF(ROWS($E$7:E989)&gt;COUNTIF('[1]U$S'!$H$5:$H$1008,$L$5),"",INDEX(CuentaUS,_xlfn.AGGREGATE(15,6,ROW('[1]U$S'!$H$5:$H$1008)-ROW('[1]U$S'!$O$5)+1/--('[1]U$S'!$H$5:$H$1008=$L$5),ROWS($E$7:E989)),6))</f>
        <v/>
      </c>
      <c r="F989" s="22" t="str">
        <f>IF(E989="","",IF(E989&gt;0,SUMIFS('[1]UY$'!$L$5:$L$993,'[1]UY$'!$O$5:$O$993,"Cambio",'[1]UY$'!$E$5:$E$993,'Efecto TC'!D989),""))</f>
        <v/>
      </c>
      <c r="G989" s="23" t="str">
        <f t="shared" si="113"/>
        <v/>
      </c>
      <c r="H989" s="22" t="str">
        <f t="shared" si="114"/>
        <v/>
      </c>
      <c r="I989" s="54" t="str">
        <f t="shared" si="118"/>
        <v/>
      </c>
      <c r="R989" s="24" t="e">
        <f t="shared" si="115"/>
        <v>#VALUE!</v>
      </c>
      <c r="S989" s="25" t="e">
        <f t="shared" si="119"/>
        <v>#VALUE!</v>
      </c>
    </row>
    <row r="990" spans="1:19" x14ac:dyDescent="0.25">
      <c r="A990" t="e">
        <f t="shared" si="116"/>
        <v>#VALUE!</v>
      </c>
      <c r="B990" t="e">
        <f t="shared" si="117"/>
        <v>#VALUE!</v>
      </c>
      <c r="D990" s="21" t="str" cm="1">
        <f t="array" ref="D990">IF(ROWS($D$7:D990)&gt;COUNTIF('[1]U$S'!$H$5:$H$1008,$L$5),"",INDEX(CuentaUS,_xlfn.AGGREGATE(15,6,ROW('[1]U$S'!$H$5:$H$1008)-ROW('[1]U$S'!$O$5)+1/--('[1]U$S'!$H$5:$H$1008=$L$5),ROWS($D$7:D990)),1))</f>
        <v/>
      </c>
      <c r="E990" s="22" t="str" cm="1">
        <f t="array" ref="E990">IF(ROWS($E$7:E990)&gt;COUNTIF('[1]U$S'!$H$5:$H$1008,$L$5),"",INDEX(CuentaUS,_xlfn.AGGREGATE(15,6,ROW('[1]U$S'!$H$5:$H$1008)-ROW('[1]U$S'!$O$5)+1/--('[1]U$S'!$H$5:$H$1008=$L$5),ROWS($E$7:E990)),6))</f>
        <v/>
      </c>
      <c r="F990" s="22" t="str">
        <f>IF(E990="","",IF(E990&gt;0,SUMIFS('[1]UY$'!$L$5:$L$993,'[1]UY$'!$O$5:$O$993,"Cambio",'[1]UY$'!$E$5:$E$993,'Efecto TC'!D990),""))</f>
        <v/>
      </c>
      <c r="G990" s="23" t="str">
        <f t="shared" si="113"/>
        <v/>
      </c>
      <c r="H990" s="22" t="str">
        <f t="shared" si="114"/>
        <v/>
      </c>
      <c r="I990" s="54" t="str">
        <f t="shared" si="118"/>
        <v/>
      </c>
      <c r="R990" s="24" t="e">
        <f t="shared" si="115"/>
        <v>#VALUE!</v>
      </c>
      <c r="S990" s="25" t="e">
        <f t="shared" si="119"/>
        <v>#VALUE!</v>
      </c>
    </row>
    <row r="991" spans="1:19" x14ac:dyDescent="0.25">
      <c r="A991" t="e">
        <f t="shared" si="116"/>
        <v>#VALUE!</v>
      </c>
      <c r="B991" t="e">
        <f t="shared" si="117"/>
        <v>#VALUE!</v>
      </c>
      <c r="D991" s="21" t="str" cm="1">
        <f t="array" ref="D991">IF(ROWS($D$7:D991)&gt;COUNTIF('[1]U$S'!$H$5:$H$1008,$L$5),"",INDEX(CuentaUS,_xlfn.AGGREGATE(15,6,ROW('[1]U$S'!$H$5:$H$1008)-ROW('[1]U$S'!$O$5)+1/--('[1]U$S'!$H$5:$H$1008=$L$5),ROWS($D$7:D991)),1))</f>
        <v/>
      </c>
      <c r="E991" s="22" t="str" cm="1">
        <f t="array" ref="E991">IF(ROWS($E$7:E991)&gt;COUNTIF('[1]U$S'!$H$5:$H$1008,$L$5),"",INDEX(CuentaUS,_xlfn.AGGREGATE(15,6,ROW('[1]U$S'!$H$5:$H$1008)-ROW('[1]U$S'!$O$5)+1/--('[1]U$S'!$H$5:$H$1008=$L$5),ROWS($E$7:E991)),6))</f>
        <v/>
      </c>
      <c r="F991" s="22" t="str">
        <f>IF(E991="","",IF(E991&gt;0,SUMIFS('[1]UY$'!$L$5:$L$993,'[1]UY$'!$O$5:$O$993,"Cambio",'[1]UY$'!$E$5:$E$993,'Efecto TC'!D991),""))</f>
        <v/>
      </c>
      <c r="G991" s="23" t="str">
        <f t="shared" si="113"/>
        <v/>
      </c>
      <c r="H991" s="22" t="str">
        <f t="shared" si="114"/>
        <v/>
      </c>
      <c r="I991" s="54" t="str">
        <f t="shared" si="118"/>
        <v/>
      </c>
      <c r="R991" s="24" t="e">
        <f t="shared" si="115"/>
        <v>#VALUE!</v>
      </c>
      <c r="S991" s="25" t="e">
        <f t="shared" si="119"/>
        <v>#VALUE!</v>
      </c>
    </row>
    <row r="992" spans="1:19" x14ac:dyDescent="0.25">
      <c r="A992" t="e">
        <f t="shared" si="116"/>
        <v>#VALUE!</v>
      </c>
      <c r="B992" t="e">
        <f t="shared" si="117"/>
        <v>#VALUE!</v>
      </c>
      <c r="D992" s="21" t="str" cm="1">
        <f t="array" ref="D992">IF(ROWS($D$7:D992)&gt;COUNTIF('[1]U$S'!$H$5:$H$1008,$L$5),"",INDEX(CuentaUS,_xlfn.AGGREGATE(15,6,ROW('[1]U$S'!$H$5:$H$1008)-ROW('[1]U$S'!$O$5)+1/--('[1]U$S'!$H$5:$H$1008=$L$5),ROWS($D$7:D992)),1))</f>
        <v/>
      </c>
      <c r="E992" s="22" t="str" cm="1">
        <f t="array" ref="E992">IF(ROWS($E$7:E992)&gt;COUNTIF('[1]U$S'!$H$5:$H$1008,$L$5),"",INDEX(CuentaUS,_xlfn.AGGREGATE(15,6,ROW('[1]U$S'!$H$5:$H$1008)-ROW('[1]U$S'!$O$5)+1/--('[1]U$S'!$H$5:$H$1008=$L$5),ROWS($E$7:E992)),6))</f>
        <v/>
      </c>
      <c r="F992" s="22" t="str">
        <f>IF(E992="","",IF(E992&gt;0,SUMIFS('[1]UY$'!$L$5:$L$993,'[1]UY$'!$O$5:$O$993,"Cambio",'[1]UY$'!$E$5:$E$993,'Efecto TC'!D992),""))</f>
        <v/>
      </c>
      <c r="G992" s="23" t="str">
        <f t="shared" si="113"/>
        <v/>
      </c>
      <c r="H992" s="22" t="str">
        <f t="shared" si="114"/>
        <v/>
      </c>
      <c r="I992" s="54" t="str">
        <f t="shared" si="118"/>
        <v/>
      </c>
      <c r="R992" s="24" t="e">
        <f t="shared" si="115"/>
        <v>#VALUE!</v>
      </c>
      <c r="S992" s="25" t="e">
        <f t="shared" si="119"/>
        <v>#VALUE!</v>
      </c>
    </row>
    <row r="993" spans="1:19" x14ac:dyDescent="0.25">
      <c r="A993" t="e">
        <f t="shared" si="116"/>
        <v>#VALUE!</v>
      </c>
      <c r="B993" t="e">
        <f t="shared" si="117"/>
        <v>#VALUE!</v>
      </c>
      <c r="D993" s="21" t="str" cm="1">
        <f t="array" ref="D993">IF(ROWS($D$7:D993)&gt;COUNTIF('[1]U$S'!$H$5:$H$1008,$L$5),"",INDEX(CuentaUS,_xlfn.AGGREGATE(15,6,ROW('[1]U$S'!$H$5:$H$1008)-ROW('[1]U$S'!$O$5)+1/--('[1]U$S'!$H$5:$H$1008=$L$5),ROWS($D$7:D993)),1))</f>
        <v/>
      </c>
      <c r="E993" s="22" t="str" cm="1">
        <f t="array" ref="E993">IF(ROWS($E$7:E993)&gt;COUNTIF('[1]U$S'!$H$5:$H$1008,$L$5),"",INDEX(CuentaUS,_xlfn.AGGREGATE(15,6,ROW('[1]U$S'!$H$5:$H$1008)-ROW('[1]U$S'!$O$5)+1/--('[1]U$S'!$H$5:$H$1008=$L$5),ROWS($E$7:E993)),6))</f>
        <v/>
      </c>
      <c r="F993" s="22" t="str">
        <f>IF(E993="","",IF(E993&gt;0,SUMIFS('[1]UY$'!$L$5:$L$993,'[1]UY$'!$O$5:$O$993,"Cambio",'[1]UY$'!$E$5:$E$993,'Efecto TC'!D993),""))</f>
        <v/>
      </c>
      <c r="G993" s="23" t="str">
        <f t="shared" si="113"/>
        <v/>
      </c>
      <c r="H993" s="22" t="str">
        <f t="shared" si="114"/>
        <v/>
      </c>
      <c r="I993" s="54" t="str">
        <f t="shared" si="118"/>
        <v/>
      </c>
      <c r="R993" s="24" t="e">
        <f t="shared" si="115"/>
        <v>#VALUE!</v>
      </c>
      <c r="S993" s="25" t="e">
        <f t="shared" si="119"/>
        <v>#VALUE!</v>
      </c>
    </row>
    <row r="994" spans="1:19" x14ac:dyDescent="0.25">
      <c r="A994" t="e">
        <f t="shared" si="116"/>
        <v>#VALUE!</v>
      </c>
      <c r="B994" t="e">
        <f t="shared" si="117"/>
        <v>#VALUE!</v>
      </c>
      <c r="D994" s="21" t="str" cm="1">
        <f t="array" ref="D994">IF(ROWS($D$7:D994)&gt;COUNTIF('[1]U$S'!$H$5:$H$1008,$L$5),"",INDEX(CuentaUS,_xlfn.AGGREGATE(15,6,ROW('[1]U$S'!$H$5:$H$1008)-ROW('[1]U$S'!$O$5)+1/--('[1]U$S'!$H$5:$H$1008=$L$5),ROWS($D$7:D994)),1))</f>
        <v/>
      </c>
      <c r="E994" s="22" t="str" cm="1">
        <f t="array" ref="E994">IF(ROWS($E$7:E994)&gt;COUNTIF('[1]U$S'!$H$5:$H$1008,$L$5),"",INDEX(CuentaUS,_xlfn.AGGREGATE(15,6,ROW('[1]U$S'!$H$5:$H$1008)-ROW('[1]U$S'!$O$5)+1/--('[1]U$S'!$H$5:$H$1008=$L$5),ROWS($E$7:E994)),6))</f>
        <v/>
      </c>
      <c r="F994" s="22" t="str">
        <f>IF(E994="","",IF(E994&gt;0,SUMIFS('[1]UY$'!$L$5:$L$993,'[1]UY$'!$O$5:$O$993,"Cambio",'[1]UY$'!$E$5:$E$993,'Efecto TC'!D994),""))</f>
        <v/>
      </c>
      <c r="G994" s="23" t="str">
        <f t="shared" ref="G994:G1026" si="120">IF(F994="","",F994/E994)</f>
        <v/>
      </c>
      <c r="H994" s="22" t="str">
        <f t="shared" ref="H994:H1025" si="121">IF(E994="","",F994/$F$2-F994/G994)</f>
        <v/>
      </c>
      <c r="I994" s="54" t="str">
        <f t="shared" si="118"/>
        <v/>
      </c>
      <c r="R994" s="24" t="e">
        <f t="shared" ref="R994:R1031" si="122">E994/$E$1001</f>
        <v>#VALUE!</v>
      </c>
      <c r="S994" s="25" t="e">
        <f t="shared" si="119"/>
        <v>#VALUE!</v>
      </c>
    </row>
    <row r="995" spans="1:19" x14ac:dyDescent="0.25">
      <c r="A995" t="e">
        <f t="shared" si="116"/>
        <v>#VALUE!</v>
      </c>
      <c r="B995" t="e">
        <f t="shared" si="117"/>
        <v>#VALUE!</v>
      </c>
      <c r="D995" s="21" t="str" cm="1">
        <f t="array" ref="D995">IF(ROWS($D$7:D995)&gt;COUNTIF('[1]U$S'!$H$5:$H$1008,$L$5),"",INDEX(CuentaUS,_xlfn.AGGREGATE(15,6,ROW('[1]U$S'!$H$5:$H$1008)-ROW('[1]U$S'!$O$5)+1/--('[1]U$S'!$H$5:$H$1008=$L$5),ROWS($D$7:D995)),1))</f>
        <v/>
      </c>
      <c r="E995" s="22" t="str" cm="1">
        <f t="array" ref="E995">IF(ROWS($E$7:E995)&gt;COUNTIF('[1]U$S'!$H$5:$H$1008,$L$5),"",INDEX(CuentaUS,_xlfn.AGGREGATE(15,6,ROW('[1]U$S'!$H$5:$H$1008)-ROW('[1]U$S'!$O$5)+1/--('[1]U$S'!$H$5:$H$1008=$L$5),ROWS($E$7:E995)),6))</f>
        <v/>
      </c>
      <c r="F995" s="22" t="str">
        <f>IF(E995="","",IF(E995&gt;0,SUMIFS('[1]UY$'!$L$5:$L$993,'[1]UY$'!$O$5:$O$993,"Cambio",'[1]UY$'!$E$5:$E$993,'Efecto TC'!D995),""))</f>
        <v/>
      </c>
      <c r="G995" s="23" t="str">
        <f t="shared" si="120"/>
        <v/>
      </c>
      <c r="H995" s="22" t="str">
        <f t="shared" si="121"/>
        <v/>
      </c>
      <c r="I995" s="54" t="str">
        <f t="shared" si="118"/>
        <v/>
      </c>
      <c r="R995" s="24" t="e">
        <f t="shared" si="122"/>
        <v>#VALUE!</v>
      </c>
      <c r="S995" s="25" t="e">
        <f t="shared" si="119"/>
        <v>#VALUE!</v>
      </c>
    </row>
    <row r="996" spans="1:19" x14ac:dyDescent="0.25">
      <c r="A996" t="e">
        <f t="shared" si="116"/>
        <v>#VALUE!</v>
      </c>
      <c r="B996" t="e">
        <f t="shared" si="117"/>
        <v>#VALUE!</v>
      </c>
      <c r="D996" s="21" t="str" cm="1">
        <f t="array" ref="D996">IF(ROWS($D$7:D996)&gt;COUNTIF('[1]U$S'!$H$5:$H$1008,$L$5),"",INDEX(CuentaUS,_xlfn.AGGREGATE(15,6,ROW('[1]U$S'!$H$5:$H$1008)-ROW('[1]U$S'!$O$5)+1/--('[1]U$S'!$H$5:$H$1008=$L$5),ROWS($D$7:D996)),1))</f>
        <v/>
      </c>
      <c r="E996" s="22" t="str" cm="1">
        <f t="array" ref="E996">IF(ROWS($E$7:E996)&gt;COUNTIF('[1]U$S'!$H$5:$H$1008,$L$5),"",INDEX(CuentaUS,_xlfn.AGGREGATE(15,6,ROW('[1]U$S'!$H$5:$H$1008)-ROW('[1]U$S'!$O$5)+1/--('[1]U$S'!$H$5:$H$1008=$L$5),ROWS($E$7:E996)),6))</f>
        <v/>
      </c>
      <c r="F996" s="22" t="str">
        <f>IF(E996="","",IF(E996&gt;0,SUMIFS('[1]UY$'!$L$5:$L$993,'[1]UY$'!$O$5:$O$993,"Cambio",'[1]UY$'!$E$5:$E$993,'Efecto TC'!D996),""))</f>
        <v/>
      </c>
      <c r="G996" s="23" t="str">
        <f t="shared" si="120"/>
        <v/>
      </c>
      <c r="H996" s="70" t="str">
        <f t="shared" si="121"/>
        <v/>
      </c>
      <c r="I996" s="54" t="str">
        <f t="shared" si="118"/>
        <v/>
      </c>
      <c r="R996" s="24" t="e">
        <f t="shared" si="122"/>
        <v>#VALUE!</v>
      </c>
      <c r="S996" s="25" t="e">
        <f t="shared" si="119"/>
        <v>#VALUE!</v>
      </c>
    </row>
    <row r="997" spans="1:19" x14ac:dyDescent="0.25">
      <c r="A997" t="e">
        <f t="shared" si="116"/>
        <v>#VALUE!</v>
      </c>
      <c r="B997" t="e">
        <f t="shared" si="117"/>
        <v>#VALUE!</v>
      </c>
      <c r="D997" s="21" t="str" cm="1">
        <f t="array" ref="D997">IF(ROWS($D$7:D997)&gt;COUNTIF('[1]U$S'!$H$5:$H$1008,$L$5),"",INDEX(CuentaUS,_xlfn.AGGREGATE(15,6,ROW('[1]U$S'!$H$5:$H$1008)-ROW('[1]U$S'!$O$5)+1/--('[1]U$S'!$H$5:$H$1008=$L$5),ROWS($D$7:D997)),1))</f>
        <v/>
      </c>
      <c r="E997" s="22" t="str" cm="1">
        <f t="array" ref="E997">IF(ROWS($E$7:E997)&gt;COUNTIF('[1]U$S'!$H$5:$H$1008,$L$5),"",INDEX(CuentaUS,_xlfn.AGGREGATE(15,6,ROW('[1]U$S'!$H$5:$H$1008)-ROW('[1]U$S'!$O$5)+1/--('[1]U$S'!$H$5:$H$1008=$L$5),ROWS($E$7:E997)),6))</f>
        <v/>
      </c>
      <c r="F997" s="22" t="str">
        <f>IF(E997="","",IF(E997&gt;0,SUMIFS('[1]UY$'!$L$5:$L$993,'[1]UY$'!$O$5:$O$993,"Cambio",'[1]UY$'!$E$5:$E$993,'Efecto TC'!D997),""))</f>
        <v/>
      </c>
      <c r="G997" s="23" t="str">
        <f t="shared" si="120"/>
        <v/>
      </c>
      <c r="H997" s="70" t="str">
        <f t="shared" si="121"/>
        <v/>
      </c>
      <c r="I997" s="54" t="str">
        <f t="shared" si="118"/>
        <v/>
      </c>
      <c r="R997" s="24" t="e">
        <f t="shared" si="122"/>
        <v>#VALUE!</v>
      </c>
      <c r="S997" s="25" t="e">
        <f t="shared" si="119"/>
        <v>#VALUE!</v>
      </c>
    </row>
    <row r="998" spans="1:19" x14ac:dyDescent="0.25">
      <c r="A998" t="e">
        <f t="shared" si="116"/>
        <v>#VALUE!</v>
      </c>
      <c r="B998" t="e">
        <f t="shared" si="117"/>
        <v>#VALUE!</v>
      </c>
      <c r="D998" s="21" t="str" cm="1">
        <f t="array" ref="D998">IF(ROWS($D$7:D998)&gt;COUNTIF('[1]U$S'!$H$5:$H$1008,$L$5),"",INDEX(CuentaUS,_xlfn.AGGREGATE(15,6,ROW('[1]U$S'!$H$5:$H$1008)-ROW('[1]U$S'!$O$5)+1/--('[1]U$S'!$H$5:$H$1008=$L$5),ROWS($D$7:D998)),1))</f>
        <v/>
      </c>
      <c r="E998" s="22" t="str" cm="1">
        <f t="array" ref="E998">IF(ROWS($E$7:E998)&gt;COUNTIF('[1]U$S'!$H$5:$H$1008,$L$5),"",INDEX(CuentaUS,_xlfn.AGGREGATE(15,6,ROW('[1]U$S'!$H$5:$H$1008)-ROW('[1]U$S'!$O$5)+1/--('[1]U$S'!$H$5:$H$1008=$L$5),ROWS($E$7:E998)),6))</f>
        <v/>
      </c>
      <c r="F998" s="22" t="str">
        <f>IF(E998="","",IF(E998&gt;0,SUMIFS('[1]UY$'!$L$5:$L$993,'[1]UY$'!$O$5:$O$993,"Cambio",'[1]UY$'!$E$5:$E$993,'Efecto TC'!D998),""))</f>
        <v/>
      </c>
      <c r="G998" s="23" t="str">
        <f t="shared" si="120"/>
        <v/>
      </c>
      <c r="H998" s="70" t="str">
        <f t="shared" si="121"/>
        <v/>
      </c>
      <c r="I998" s="54" t="str">
        <f t="shared" si="118"/>
        <v/>
      </c>
      <c r="R998" s="24" t="e">
        <f t="shared" si="122"/>
        <v>#VALUE!</v>
      </c>
      <c r="S998" s="25" t="e">
        <f t="shared" si="119"/>
        <v>#VALUE!</v>
      </c>
    </row>
    <row r="999" spans="1:19" x14ac:dyDescent="0.25">
      <c r="A999" t="e">
        <f t="shared" si="116"/>
        <v>#VALUE!</v>
      </c>
      <c r="B999" t="e">
        <f t="shared" si="117"/>
        <v>#VALUE!</v>
      </c>
      <c r="D999" s="21" t="str" cm="1">
        <f t="array" ref="D999">IF(ROWS($D$7:D999)&gt;COUNTIF('[1]U$S'!$H$5:$H$1008,$L$5),"",INDEX(CuentaUS,_xlfn.AGGREGATE(15,6,ROW('[1]U$S'!$H$5:$H$1008)-ROW('[1]U$S'!$O$5)+1/--('[1]U$S'!$H$5:$H$1008=$L$5),ROWS($D$7:D999)),1))</f>
        <v/>
      </c>
      <c r="E999" s="22" t="str" cm="1">
        <f t="array" ref="E999">IF(ROWS($E$7:E999)&gt;COUNTIF('[1]U$S'!$H$5:$H$1008,$L$5),"",INDEX(CuentaUS,_xlfn.AGGREGATE(15,6,ROW('[1]U$S'!$H$5:$H$1008)-ROW('[1]U$S'!$O$5)+1/--('[1]U$S'!$H$5:$H$1008=$L$5),ROWS($E$7:E999)),6))</f>
        <v/>
      </c>
      <c r="F999" s="22" t="str">
        <f>IF(E999="","",IF(E999&gt;0,SUMIFS('[1]UY$'!$L$5:$L$993,'[1]UY$'!$O$5:$O$993,"Cambio",'[1]UY$'!$E$5:$E$993,'Efecto TC'!D999),""))</f>
        <v/>
      </c>
      <c r="G999" s="23" t="str">
        <f t="shared" si="120"/>
        <v/>
      </c>
      <c r="H999" s="70" t="str">
        <f>IF(E999="","",F999/$F$2-F999/G999)</f>
        <v/>
      </c>
      <c r="I999" s="54" t="str">
        <f t="shared" si="118"/>
        <v/>
      </c>
      <c r="R999" s="24" t="e">
        <f t="shared" si="122"/>
        <v>#VALUE!</v>
      </c>
      <c r="S999" s="25" t="e">
        <f t="shared" si="119"/>
        <v>#VALUE!</v>
      </c>
    </row>
    <row r="1000" spans="1:19" x14ac:dyDescent="0.25">
      <c r="A1000" t="e">
        <f t="shared" si="116"/>
        <v>#VALUE!</v>
      </c>
      <c r="B1000" t="e">
        <f t="shared" si="117"/>
        <v>#VALUE!</v>
      </c>
      <c r="D1000" s="21" t="str" cm="1">
        <f t="array" ref="D1000">IF(ROWS($D$7:D1000)&gt;COUNTIF('[1]U$S'!$H$5:$H$1008,$L$5),"",INDEX(CuentaUS,_xlfn.AGGREGATE(15,6,ROW('[1]U$S'!$H$5:$H$1008)-ROW('[1]U$S'!$O$5)+1/--('[1]U$S'!$H$5:$H$1008=$L$5),ROWS($D$7:D1000)),1))</f>
        <v/>
      </c>
      <c r="E1000" s="22" t="str" cm="1">
        <f t="array" ref="E1000">IF(ROWS($E$7:E1000)&gt;COUNTIF('[1]U$S'!$H$5:$H$1008,$L$5),"",INDEX(CuentaUS,_xlfn.AGGREGATE(15,6,ROW('[1]U$S'!$H$5:$H$1008)-ROW('[1]U$S'!$O$5)+1/--('[1]U$S'!$H$5:$H$1008=$L$5),ROWS($E$7:E1000)),6))</f>
        <v/>
      </c>
      <c r="F1000" s="22" t="str">
        <f>IF(E1000="","",IF(E1000&gt;0,SUMIFS('[1]UY$'!$L$5:$L$993,'[1]UY$'!$O$5:$O$993,"Cambio",'[1]UY$'!$E$5:$E$993,'Efecto TC'!D1000),""))</f>
        <v/>
      </c>
      <c r="G1000" s="23" t="str">
        <f t="shared" si="120"/>
        <v/>
      </c>
      <c r="H1000" s="54"/>
      <c r="I1000" s="54" t="str">
        <f t="shared" si="118"/>
        <v/>
      </c>
      <c r="R1000" s="24" t="e">
        <f t="shared" si="122"/>
        <v>#VALUE!</v>
      </c>
      <c r="S1000" s="25" t="e">
        <f t="shared" si="119"/>
        <v>#VALUE!</v>
      </c>
    </row>
    <row r="1001" spans="1:19" x14ac:dyDescent="0.25">
      <c r="D1001" s="71"/>
      <c r="E1001" s="72">
        <f>SUM(E6:E1000)</f>
        <v>8510428.2599999961</v>
      </c>
      <c r="F1001" s="72">
        <f>SUM(F6:F1000)</f>
        <v>340402000</v>
      </c>
      <c r="G1001" s="72">
        <f>SUM(G6:G1000)</f>
        <v>4903.9551824003593</v>
      </c>
      <c r="H1001" s="72">
        <f>SUM(H6:H1000)</f>
        <v>-405618.7361904764</v>
      </c>
      <c r="I1001" s="72">
        <f>SUM(I6:I1000)</f>
        <v>-12904091.324285729</v>
      </c>
      <c r="R1001" s="24">
        <f t="shared" si="122"/>
        <v>1</v>
      </c>
      <c r="S1001" s="25" t="e">
        <f t="shared" si="119"/>
        <v>#VALUE!</v>
      </c>
    </row>
    <row r="1002" spans="1:19" x14ac:dyDescent="0.25">
      <c r="R1002" s="24">
        <f t="shared" si="122"/>
        <v>0</v>
      </c>
      <c r="S1002" s="25" t="e">
        <f t="shared" si="119"/>
        <v>#VALUE!</v>
      </c>
    </row>
    <row r="1003" spans="1:19" x14ac:dyDescent="0.25">
      <c r="D1003" t="s">
        <v>32</v>
      </c>
      <c r="E1003" s="51">
        <f>+F1001/E1001</f>
        <v>39.998222134123267</v>
      </c>
      <c r="H1003" s="73"/>
      <c r="R1003" s="24">
        <f t="shared" si="122"/>
        <v>4.6999070918815649E-6</v>
      </c>
      <c r="S1003" s="25" t="e">
        <f t="shared" si="119"/>
        <v>#VALUE!</v>
      </c>
    </row>
    <row r="1004" spans="1:19" x14ac:dyDescent="0.25">
      <c r="R1004" s="24">
        <f t="shared" si="122"/>
        <v>0</v>
      </c>
      <c r="S1004" s="25" t="e">
        <f t="shared" si="119"/>
        <v>#VALUE!</v>
      </c>
    </row>
    <row r="1005" spans="1:19" x14ac:dyDescent="0.25">
      <c r="D1005" s="21"/>
      <c r="E1005" s="22"/>
      <c r="F1005" s="22"/>
      <c r="G1005" s="23"/>
      <c r="H1005" s="70"/>
      <c r="R1005" s="24"/>
      <c r="S1005" s="25"/>
    </row>
    <row r="1006" spans="1:19" x14ac:dyDescent="0.25">
      <c r="R1006" s="24" t="e">
        <f t="shared" ref="R1006:R1007" si="123">E1000/$E$1001</f>
        <v>#VALUE!</v>
      </c>
      <c r="S1006" s="25" t="e">
        <f t="shared" si="119"/>
        <v>#VALUE!</v>
      </c>
    </row>
    <row r="1007" spans="1:19" x14ac:dyDescent="0.25">
      <c r="R1007" s="24">
        <f t="shared" si="123"/>
        <v>1</v>
      </c>
    </row>
    <row r="1009" spans="4:6" x14ac:dyDescent="0.25">
      <c r="E1009" s="33"/>
      <c r="F1009" s="33"/>
    </row>
    <row r="1010" spans="4:6" x14ac:dyDescent="0.25">
      <c r="D1010" t="s">
        <v>33</v>
      </c>
      <c r="E1010" s="51"/>
    </row>
  </sheetData>
  <mergeCells count="1">
    <mergeCell ref="V18:Y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Efecto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Sonsoles Fabini</dc:creator>
  <cp:lastModifiedBy>Sonsoles Fabini</cp:lastModifiedBy>
  <dcterms:created xsi:type="dcterms:W3CDTF">2026-07-24T16:20:25Z</dcterms:created>
  <dcterms:modified xsi:type="dcterms:W3CDTF">2026-07-24T16:20:51Z</dcterms:modified>
</cp:coreProperties>
</file>